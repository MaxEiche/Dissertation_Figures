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embers\Elias\STEM_Paper\Preparation_Experiments\Plate_Reader_Experiments\"/>
    </mc:Choice>
  </mc:AlternateContent>
  <xr:revisionPtr revIDLastSave="0" documentId="13_ncr:1_{B9C4B9D7-6679-4A20-8221-80454CA994FD}" xr6:coauthVersionLast="36" xr6:coauthVersionMax="47" xr10:uidLastSave="{00000000-0000-0000-0000-000000000000}"/>
  <bookViews>
    <workbookView xWindow="0" yWindow="600" windowWidth="3855" windowHeight="11235" firstSheet="2" activeTab="2" xr2:uid="{00000000-000D-0000-FFFF-FFFF00000000}"/>
  </bookViews>
  <sheets>
    <sheet name="Calibration Plates" sheetId="1" r:id="rId1"/>
    <sheet name="Drug Background Test" sheetId="3" r:id="rId2"/>
    <sheet name="G418 alpha-2" sheetId="2" r:id="rId3"/>
    <sheet name="G418 alpha-3" sheetId="4" r:id="rId4"/>
    <sheet name="G418 alpha-4" sheetId="6" r:id="rId5"/>
    <sheet name="HygB alpha-3" sheetId="5" r:id="rId6"/>
    <sheet name="HygB alpha-4" sheetId="7" r:id="rId7"/>
    <sheet name="Max Growth Rate" sheetId="9" r:id="rId8"/>
  </sheets>
  <definedNames>
    <definedName name="MethodPointer1">18214176</definedName>
    <definedName name="MethodPointer2">470</definedName>
  </definedNames>
  <calcPr calcId="191029"/>
</workbook>
</file>

<file path=xl/calcChain.xml><?xml version="1.0" encoding="utf-8"?>
<calcChain xmlns="http://schemas.openxmlformats.org/spreadsheetml/2006/main">
  <c r="E297" i="2" l="1"/>
  <c r="CW94" i="4" l="1"/>
  <c r="CW95" i="4"/>
  <c r="CW96" i="4"/>
  <c r="CW97" i="4"/>
  <c r="CW98" i="4"/>
  <c r="CW99" i="4"/>
  <c r="CW100" i="4"/>
  <c r="CW101" i="4"/>
  <c r="CW102" i="4"/>
  <c r="CW103" i="4"/>
  <c r="CW104" i="4"/>
  <c r="CW105" i="4"/>
  <c r="CW106" i="4"/>
  <c r="CW107" i="4"/>
  <c r="CW108" i="4"/>
  <c r="CW109" i="4"/>
  <c r="CW110" i="4"/>
  <c r="CW111" i="4"/>
  <c r="CW112" i="4"/>
  <c r="CW113" i="4"/>
  <c r="CW114" i="4"/>
  <c r="CW115" i="4"/>
  <c r="CW116" i="4"/>
  <c r="CW117" i="4"/>
  <c r="CW118" i="4"/>
  <c r="CW119" i="4"/>
  <c r="CW120" i="4"/>
  <c r="CW121" i="4"/>
  <c r="CW122" i="4"/>
  <c r="CW123" i="4"/>
  <c r="CW124" i="4"/>
  <c r="CW125" i="4"/>
  <c r="CW126" i="4"/>
  <c r="CW127" i="4"/>
  <c r="CW128" i="4"/>
  <c r="CW129" i="4"/>
  <c r="CW130" i="4"/>
  <c r="CW131" i="4"/>
  <c r="CW132" i="4"/>
  <c r="CW133" i="4"/>
  <c r="CW134" i="4"/>
  <c r="CW135" i="4"/>
  <c r="CW136" i="4"/>
  <c r="CW137" i="4"/>
  <c r="CW138" i="4"/>
  <c r="CW139" i="4"/>
  <c r="CW140" i="4"/>
  <c r="CW141" i="4"/>
  <c r="CW142" i="4"/>
  <c r="CW143" i="4"/>
  <c r="CW144" i="4"/>
  <c r="CW145" i="4"/>
  <c r="CW146" i="4"/>
  <c r="CW147" i="4"/>
  <c r="CW148" i="4"/>
  <c r="CW149" i="4"/>
  <c r="CW150" i="4"/>
  <c r="CW151" i="4"/>
  <c r="CW152" i="4"/>
  <c r="CW93" i="4"/>
  <c r="BQ94" i="4"/>
  <c r="BQ95" i="4"/>
  <c r="BQ96" i="4"/>
  <c r="BQ97" i="4"/>
  <c r="BQ98" i="4"/>
  <c r="BQ99" i="4"/>
  <c r="BQ100" i="4"/>
  <c r="BQ101" i="4"/>
  <c r="BQ102" i="4"/>
  <c r="BQ103" i="4"/>
  <c r="BQ104" i="4"/>
  <c r="BQ105" i="4"/>
  <c r="BQ106" i="4"/>
  <c r="BQ107" i="4"/>
  <c r="BQ108" i="4"/>
  <c r="BQ109" i="4"/>
  <c r="BQ110" i="4"/>
  <c r="BQ111" i="4"/>
  <c r="BQ112" i="4"/>
  <c r="BQ113" i="4"/>
  <c r="BQ114" i="4"/>
  <c r="BQ115" i="4"/>
  <c r="BQ116" i="4"/>
  <c r="BQ117" i="4"/>
  <c r="BQ118" i="4"/>
  <c r="BQ119" i="4"/>
  <c r="BQ120" i="4"/>
  <c r="BQ121" i="4"/>
  <c r="BQ122" i="4"/>
  <c r="BQ123" i="4"/>
  <c r="BQ124" i="4"/>
  <c r="BQ125" i="4"/>
  <c r="BQ126" i="4"/>
  <c r="BQ127" i="4"/>
  <c r="BQ128" i="4"/>
  <c r="BQ129" i="4"/>
  <c r="BQ130" i="4"/>
  <c r="BQ131" i="4"/>
  <c r="BQ132" i="4"/>
  <c r="BQ133" i="4"/>
  <c r="BQ134" i="4"/>
  <c r="BQ135" i="4"/>
  <c r="BQ136" i="4"/>
  <c r="BQ137" i="4"/>
  <c r="BQ138" i="4"/>
  <c r="BQ139" i="4"/>
  <c r="BQ140" i="4"/>
  <c r="BQ141" i="4"/>
  <c r="BQ142" i="4"/>
  <c r="BQ143" i="4"/>
  <c r="BQ144" i="4"/>
  <c r="BQ145" i="4"/>
  <c r="BQ146" i="4"/>
  <c r="BQ147" i="4"/>
  <c r="BQ148" i="4"/>
  <c r="BQ149" i="4"/>
  <c r="BQ150" i="4"/>
  <c r="BQ151" i="4"/>
  <c r="BQ152" i="4"/>
  <c r="BQ93" i="4"/>
  <c r="C286" i="4"/>
  <c r="E226" i="9"/>
  <c r="E227" i="9"/>
  <c r="E228" i="9"/>
  <c r="E221" i="9"/>
  <c r="E222" i="9"/>
  <c r="E223" i="9"/>
  <c r="G217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158" i="9"/>
  <c r="E228" i="7"/>
  <c r="E229" i="7"/>
  <c r="E230" i="7"/>
  <c r="E231" i="7"/>
  <c r="E232" i="7"/>
  <c r="E221" i="7"/>
  <c r="E222" i="7"/>
  <c r="E223" i="7"/>
  <c r="E224" i="7"/>
  <c r="E225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158" i="7"/>
  <c r="E228" i="5"/>
  <c r="E229" i="5"/>
  <c r="E230" i="5"/>
  <c r="E231" i="5"/>
  <c r="E232" i="5"/>
  <c r="E221" i="5"/>
  <c r="E222" i="5"/>
  <c r="E223" i="5"/>
  <c r="E224" i="5"/>
  <c r="E225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158" i="5"/>
  <c r="E297" i="6"/>
  <c r="E298" i="6"/>
  <c r="E299" i="6"/>
  <c r="E300" i="6"/>
  <c r="E301" i="6"/>
  <c r="E302" i="6"/>
  <c r="E303" i="6"/>
  <c r="E304" i="6"/>
  <c r="E305" i="6"/>
  <c r="E306" i="6"/>
  <c r="E307" i="6"/>
  <c r="E308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20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158" i="6"/>
  <c r="E303" i="4"/>
  <c r="E304" i="4"/>
  <c r="E305" i="4"/>
  <c r="E306" i="4"/>
  <c r="E307" i="4"/>
  <c r="E308" i="4"/>
  <c r="E289" i="4"/>
  <c r="E290" i="4"/>
  <c r="E291" i="4"/>
  <c r="E292" i="4"/>
  <c r="E293" i="4"/>
  <c r="E294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20" i="4"/>
  <c r="E298" i="2"/>
  <c r="E299" i="2"/>
  <c r="E300" i="2"/>
  <c r="E301" i="2"/>
  <c r="E302" i="2"/>
  <c r="E303" i="2"/>
  <c r="E304" i="2"/>
  <c r="E305" i="2"/>
  <c r="E306" i="2"/>
  <c r="E307" i="2"/>
  <c r="E308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20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158" i="2"/>
  <c r="BA94" i="9"/>
  <c r="BB94" i="9"/>
  <c r="BA95" i="9"/>
  <c r="BB95" i="9"/>
  <c r="BA96" i="9"/>
  <c r="BB96" i="9"/>
  <c r="BA97" i="9"/>
  <c r="BB97" i="9"/>
  <c r="BA98" i="9"/>
  <c r="BB98" i="9"/>
  <c r="BA99" i="9"/>
  <c r="BB99" i="9"/>
  <c r="BA100" i="9"/>
  <c r="BB100" i="9"/>
  <c r="BA101" i="9"/>
  <c r="BB101" i="9"/>
  <c r="BA102" i="9"/>
  <c r="BB102" i="9"/>
  <c r="BA103" i="9"/>
  <c r="BB103" i="9"/>
  <c r="BA104" i="9"/>
  <c r="BB104" i="9"/>
  <c r="BA105" i="9"/>
  <c r="BB105" i="9"/>
  <c r="BA106" i="9"/>
  <c r="BB106" i="9"/>
  <c r="BA107" i="9"/>
  <c r="BB107" i="9"/>
  <c r="BA108" i="9"/>
  <c r="BB108" i="9"/>
  <c r="BA109" i="9"/>
  <c r="BB109" i="9"/>
  <c r="BA110" i="9"/>
  <c r="BB110" i="9"/>
  <c r="BA111" i="9"/>
  <c r="BB111" i="9"/>
  <c r="BA112" i="9"/>
  <c r="BB112" i="9"/>
  <c r="BA113" i="9"/>
  <c r="BB113" i="9"/>
  <c r="BA114" i="9"/>
  <c r="BB114" i="9"/>
  <c r="BA115" i="9"/>
  <c r="BB115" i="9"/>
  <c r="BA116" i="9"/>
  <c r="BB116" i="9"/>
  <c r="BA117" i="9"/>
  <c r="BB117" i="9"/>
  <c r="BA118" i="9"/>
  <c r="BB118" i="9"/>
  <c r="BA119" i="9"/>
  <c r="BB119" i="9"/>
  <c r="BA120" i="9"/>
  <c r="BB120" i="9"/>
  <c r="BA121" i="9"/>
  <c r="BB121" i="9"/>
  <c r="BA122" i="9"/>
  <c r="BB122" i="9"/>
  <c r="BA123" i="9"/>
  <c r="BB123" i="9"/>
  <c r="BA124" i="9"/>
  <c r="BB124" i="9"/>
  <c r="BA125" i="9"/>
  <c r="BB125" i="9"/>
  <c r="BA126" i="9"/>
  <c r="BB126" i="9"/>
  <c r="BA127" i="9"/>
  <c r="BB127" i="9"/>
  <c r="BA128" i="9"/>
  <c r="BB128" i="9"/>
  <c r="BA129" i="9"/>
  <c r="BB129" i="9"/>
  <c r="BA130" i="9"/>
  <c r="BB130" i="9"/>
  <c r="BA131" i="9"/>
  <c r="BB131" i="9"/>
  <c r="BA132" i="9"/>
  <c r="BB132" i="9"/>
  <c r="BA133" i="9"/>
  <c r="BB133" i="9"/>
  <c r="BA134" i="9"/>
  <c r="BB134" i="9"/>
  <c r="BA135" i="9"/>
  <c r="BB135" i="9" s="1"/>
  <c r="BA136" i="9"/>
  <c r="BB136" i="9"/>
  <c r="BA137" i="9"/>
  <c r="BB137" i="9"/>
  <c r="BA138" i="9"/>
  <c r="BB138" i="9"/>
  <c r="BA139" i="9"/>
  <c r="BB139" i="9" s="1"/>
  <c r="BA140" i="9"/>
  <c r="BB140" i="9" s="1"/>
  <c r="BA141" i="9"/>
  <c r="BB141" i="9"/>
  <c r="BA142" i="9"/>
  <c r="BB142" i="9"/>
  <c r="BA143" i="9"/>
  <c r="BB143" i="9" s="1"/>
  <c r="BA144" i="9"/>
  <c r="BB144" i="9" s="1"/>
  <c r="BA145" i="9"/>
  <c r="BB145" i="9"/>
  <c r="BA146" i="9"/>
  <c r="BB146" i="9"/>
  <c r="BA147" i="9"/>
  <c r="BB147" i="9" s="1"/>
  <c r="BA148" i="9"/>
  <c r="BB148" i="9" s="1"/>
  <c r="BA149" i="9"/>
  <c r="BB149" i="9"/>
  <c r="BA150" i="9"/>
  <c r="BB150" i="9"/>
  <c r="BA151" i="9"/>
  <c r="BB151" i="9" s="1"/>
  <c r="BA152" i="9"/>
  <c r="BB152" i="9" s="1"/>
  <c r="BB93" i="9"/>
  <c r="BA93" i="9"/>
  <c r="AZ79" i="9"/>
  <c r="BA79" i="9"/>
  <c r="AZ80" i="9"/>
  <c r="BA80" i="9"/>
  <c r="AY80" i="9"/>
  <c r="AY79" i="9"/>
  <c r="BA66" i="9"/>
  <c r="BB66" i="9"/>
  <c r="BC66" i="9"/>
  <c r="BD66" i="9"/>
  <c r="BE66" i="9"/>
  <c r="BF66" i="9"/>
  <c r="BG66" i="9"/>
  <c r="BH66" i="9"/>
  <c r="BI66" i="9"/>
  <c r="BJ66" i="9"/>
  <c r="BA67" i="9"/>
  <c r="BB67" i="9"/>
  <c r="BC67" i="9"/>
  <c r="BD67" i="9"/>
  <c r="BE67" i="9"/>
  <c r="BF67" i="9"/>
  <c r="BG67" i="9"/>
  <c r="BH67" i="9"/>
  <c r="BI67" i="9"/>
  <c r="BJ67" i="9"/>
  <c r="BA68" i="9"/>
  <c r="BB68" i="9"/>
  <c r="BC68" i="9"/>
  <c r="BD68" i="9"/>
  <c r="BE68" i="9"/>
  <c r="BF68" i="9"/>
  <c r="BG68" i="9"/>
  <c r="BH68" i="9"/>
  <c r="BI68" i="9"/>
  <c r="BJ68" i="9"/>
  <c r="BA69" i="9"/>
  <c r="BB69" i="9"/>
  <c r="BC69" i="9"/>
  <c r="BD69" i="9"/>
  <c r="BE69" i="9"/>
  <c r="BF69" i="9"/>
  <c r="BG69" i="9"/>
  <c r="BH69" i="9"/>
  <c r="BI69" i="9"/>
  <c r="BJ69" i="9"/>
  <c r="BA70" i="9"/>
  <c r="BB70" i="9"/>
  <c r="BC70" i="9"/>
  <c r="BD70" i="9"/>
  <c r="BE70" i="9"/>
  <c r="BF70" i="9"/>
  <c r="BG70" i="9"/>
  <c r="BH70" i="9"/>
  <c r="BI70" i="9"/>
  <c r="BJ70" i="9"/>
  <c r="BB65" i="9"/>
  <c r="BC65" i="9"/>
  <c r="BD65" i="9"/>
  <c r="BE65" i="9"/>
  <c r="BF65" i="9"/>
  <c r="BG65" i="9"/>
  <c r="BH65" i="9"/>
  <c r="BI65" i="9"/>
  <c r="BJ65" i="9"/>
  <c r="BA65" i="9"/>
  <c r="AZ152" i="9"/>
  <c r="AZ151" i="9"/>
  <c r="AZ150" i="9"/>
  <c r="AZ149" i="9"/>
  <c r="AZ148" i="9"/>
  <c r="AZ147" i="9"/>
  <c r="AZ146" i="9"/>
  <c r="AZ145" i="9"/>
  <c r="AZ144" i="9"/>
  <c r="AZ143" i="9"/>
  <c r="AZ142" i="9"/>
  <c r="AZ141" i="9"/>
  <c r="AZ140" i="9"/>
  <c r="AZ139" i="9"/>
  <c r="AZ138" i="9"/>
  <c r="AZ137" i="9"/>
  <c r="AZ136" i="9"/>
  <c r="AZ135" i="9"/>
  <c r="AZ134" i="9"/>
  <c r="AZ133" i="9"/>
  <c r="AZ132" i="9"/>
  <c r="AZ131" i="9"/>
  <c r="AZ130" i="9"/>
  <c r="AZ129" i="9"/>
  <c r="AZ128" i="9"/>
  <c r="AZ127" i="9"/>
  <c r="AZ126" i="9"/>
  <c r="AZ125" i="9"/>
  <c r="AZ124" i="9"/>
  <c r="AZ123" i="9"/>
  <c r="AZ122" i="9"/>
  <c r="AZ121" i="9"/>
  <c r="AZ120" i="9"/>
  <c r="AZ119" i="9"/>
  <c r="AZ118" i="9"/>
  <c r="AZ117" i="9"/>
  <c r="AZ116" i="9"/>
  <c r="AZ115" i="9"/>
  <c r="AZ114" i="9"/>
  <c r="AZ113" i="9"/>
  <c r="AZ112" i="9"/>
  <c r="AZ111" i="9"/>
  <c r="AZ110" i="9"/>
  <c r="AZ109" i="9"/>
  <c r="AZ108" i="9"/>
  <c r="AZ107" i="9"/>
  <c r="AZ106" i="9"/>
  <c r="AZ105" i="9"/>
  <c r="AZ104" i="9"/>
  <c r="AZ103" i="9"/>
  <c r="AZ102" i="9"/>
  <c r="AZ101" i="9"/>
  <c r="AZ100" i="9"/>
  <c r="AZ99" i="9"/>
  <c r="AZ98" i="9"/>
  <c r="AZ97" i="9"/>
  <c r="AZ96" i="9"/>
  <c r="AZ95" i="9"/>
  <c r="AZ94" i="9"/>
  <c r="AZ93" i="9"/>
  <c r="BA94" i="7"/>
  <c r="BB94" i="7" s="1"/>
  <c r="BA95" i="7"/>
  <c r="BB95" i="7"/>
  <c r="BA96" i="7"/>
  <c r="BB96" i="7"/>
  <c r="BA97" i="7"/>
  <c r="BB97" i="7"/>
  <c r="BA98" i="7"/>
  <c r="BB98" i="7" s="1"/>
  <c r="BA99" i="7"/>
  <c r="BB99" i="7"/>
  <c r="BA100" i="7"/>
  <c r="BB100" i="7"/>
  <c r="BA101" i="7"/>
  <c r="BB101" i="7"/>
  <c r="BA102" i="7"/>
  <c r="BB102" i="7" s="1"/>
  <c r="BA103" i="7"/>
  <c r="BB103" i="7"/>
  <c r="BA104" i="7"/>
  <c r="BB104" i="7"/>
  <c r="BA105" i="7"/>
  <c r="BB105" i="7"/>
  <c r="BA106" i="7"/>
  <c r="BB106" i="7" s="1"/>
  <c r="BA107" i="7"/>
  <c r="BB107" i="7"/>
  <c r="BA108" i="7"/>
  <c r="BB108" i="7"/>
  <c r="BA109" i="7"/>
  <c r="BB109" i="7"/>
  <c r="BA110" i="7"/>
  <c r="BB110" i="7" s="1"/>
  <c r="BA111" i="7"/>
  <c r="BB111" i="7"/>
  <c r="BA112" i="7"/>
  <c r="BB112" i="7"/>
  <c r="BA113" i="7"/>
  <c r="BB113" i="7"/>
  <c r="BA114" i="7"/>
  <c r="BB114" i="7" s="1"/>
  <c r="BA115" i="7"/>
  <c r="BB115" i="7"/>
  <c r="BA116" i="7"/>
  <c r="BB116" i="7"/>
  <c r="BA117" i="7"/>
  <c r="BB117" i="7"/>
  <c r="BA118" i="7"/>
  <c r="BB118" i="7" s="1"/>
  <c r="BA119" i="7"/>
  <c r="BB119" i="7"/>
  <c r="BA120" i="7"/>
  <c r="BB120" i="7"/>
  <c r="BA121" i="7"/>
  <c r="BB121" i="7"/>
  <c r="BA122" i="7"/>
  <c r="BB122" i="7" s="1"/>
  <c r="BA123" i="7"/>
  <c r="BB123" i="7"/>
  <c r="BA124" i="7"/>
  <c r="BB124" i="7"/>
  <c r="BA125" i="7"/>
  <c r="BB125" i="7"/>
  <c r="BA126" i="7"/>
  <c r="BB126" i="7" s="1"/>
  <c r="BA127" i="7"/>
  <c r="BB127" i="7"/>
  <c r="BA128" i="7"/>
  <c r="BB128" i="7"/>
  <c r="BA129" i="7"/>
  <c r="BB129" i="7"/>
  <c r="BA130" i="7"/>
  <c r="BB130" i="7" s="1"/>
  <c r="BA131" i="7"/>
  <c r="BB131" i="7"/>
  <c r="BA132" i="7"/>
  <c r="BB132" i="7"/>
  <c r="BA133" i="7"/>
  <c r="BB133" i="7"/>
  <c r="BA134" i="7"/>
  <c r="BB134" i="7" s="1"/>
  <c r="BA135" i="7"/>
  <c r="BB135" i="7"/>
  <c r="BA136" i="7"/>
  <c r="BB136" i="7"/>
  <c r="BA137" i="7"/>
  <c r="BB137" i="7"/>
  <c r="BA138" i="7"/>
  <c r="BB138" i="7" s="1"/>
  <c r="BA139" i="7"/>
  <c r="BB139" i="7"/>
  <c r="BA140" i="7"/>
  <c r="BB140" i="7"/>
  <c r="BA141" i="7"/>
  <c r="BB141" i="7"/>
  <c r="BA142" i="7"/>
  <c r="BB142" i="7" s="1"/>
  <c r="BA143" i="7"/>
  <c r="BB143" i="7"/>
  <c r="BA144" i="7"/>
  <c r="BB144" i="7"/>
  <c r="BA145" i="7"/>
  <c r="BB145" i="7"/>
  <c r="BA146" i="7"/>
  <c r="BB146" i="7" s="1"/>
  <c r="BA147" i="7"/>
  <c r="BB147" i="7"/>
  <c r="BA148" i="7"/>
  <c r="BB148" i="7"/>
  <c r="BA149" i="7"/>
  <c r="BB149" i="7"/>
  <c r="BA150" i="7"/>
  <c r="BB150" i="7" s="1"/>
  <c r="BA151" i="7"/>
  <c r="BB151" i="7"/>
  <c r="BA152" i="7"/>
  <c r="BB152" i="7"/>
  <c r="BB93" i="7"/>
  <c r="BA93" i="7"/>
  <c r="AZ79" i="7"/>
  <c r="BA79" i="7"/>
  <c r="BB79" i="7"/>
  <c r="BC79" i="7"/>
  <c r="AZ80" i="7"/>
  <c r="BA80" i="7"/>
  <c r="BB80" i="7"/>
  <c r="BC80" i="7"/>
  <c r="AY80" i="7"/>
  <c r="AY79" i="7"/>
  <c r="BB65" i="7"/>
  <c r="BC65" i="7"/>
  <c r="BD65" i="7"/>
  <c r="BE65" i="7"/>
  <c r="BF65" i="7"/>
  <c r="BG65" i="7"/>
  <c r="BH65" i="7"/>
  <c r="BI65" i="7"/>
  <c r="BJ65" i="7"/>
  <c r="BB66" i="7"/>
  <c r="BC66" i="7"/>
  <c r="BD66" i="7"/>
  <c r="BE66" i="7"/>
  <c r="BF66" i="7"/>
  <c r="BG66" i="7"/>
  <c r="BH66" i="7"/>
  <c r="BI66" i="7"/>
  <c r="BJ66" i="7"/>
  <c r="BB67" i="7"/>
  <c r="BC67" i="7"/>
  <c r="BD67" i="7"/>
  <c r="BE67" i="7"/>
  <c r="BF67" i="7"/>
  <c r="BG67" i="7"/>
  <c r="BH67" i="7"/>
  <c r="BI67" i="7"/>
  <c r="BJ67" i="7"/>
  <c r="BB68" i="7"/>
  <c r="BC68" i="7"/>
  <c r="BD68" i="7"/>
  <c r="BE68" i="7"/>
  <c r="BF68" i="7"/>
  <c r="BG68" i="7"/>
  <c r="BH68" i="7"/>
  <c r="BI68" i="7"/>
  <c r="BJ68" i="7"/>
  <c r="BB69" i="7"/>
  <c r="BC69" i="7"/>
  <c r="BD69" i="7"/>
  <c r="BE69" i="7"/>
  <c r="BF69" i="7"/>
  <c r="BG69" i="7"/>
  <c r="BH69" i="7"/>
  <c r="BI69" i="7"/>
  <c r="BJ69" i="7"/>
  <c r="BB70" i="7"/>
  <c r="BC70" i="7"/>
  <c r="BD70" i="7"/>
  <c r="BE70" i="7"/>
  <c r="BF70" i="7"/>
  <c r="BG70" i="7"/>
  <c r="BH70" i="7"/>
  <c r="BI70" i="7"/>
  <c r="BJ70" i="7"/>
  <c r="BA66" i="7"/>
  <c r="BA67" i="7"/>
  <c r="BA68" i="7"/>
  <c r="BA69" i="7"/>
  <c r="BA70" i="7"/>
  <c r="BA65" i="7"/>
  <c r="AZ152" i="7"/>
  <c r="AZ151" i="7"/>
  <c r="AZ150" i="7"/>
  <c r="AZ149" i="7"/>
  <c r="AZ148" i="7"/>
  <c r="AZ147" i="7"/>
  <c r="AZ146" i="7"/>
  <c r="AZ145" i="7"/>
  <c r="AZ144" i="7"/>
  <c r="AZ143" i="7"/>
  <c r="AZ142" i="7"/>
  <c r="AZ141" i="7"/>
  <c r="AZ140" i="7"/>
  <c r="AZ139" i="7"/>
  <c r="AZ138" i="7"/>
  <c r="AZ137" i="7"/>
  <c r="AZ136" i="7"/>
  <c r="AZ135" i="7"/>
  <c r="AZ134" i="7"/>
  <c r="AZ133" i="7"/>
  <c r="AZ132" i="7"/>
  <c r="AZ131" i="7"/>
  <c r="AZ130" i="7"/>
  <c r="AZ129" i="7"/>
  <c r="AZ128" i="7"/>
  <c r="AZ127" i="7"/>
  <c r="AZ126" i="7"/>
  <c r="AZ125" i="7"/>
  <c r="AZ124" i="7"/>
  <c r="AZ123" i="7"/>
  <c r="AZ122" i="7"/>
  <c r="AZ121" i="7"/>
  <c r="AZ120" i="7"/>
  <c r="AZ119" i="7"/>
  <c r="AZ118" i="7"/>
  <c r="AZ117" i="7"/>
  <c r="AZ116" i="7"/>
  <c r="AZ115" i="7"/>
  <c r="AZ114" i="7"/>
  <c r="AZ113" i="7"/>
  <c r="AZ112" i="7"/>
  <c r="AZ111" i="7"/>
  <c r="AZ110" i="7"/>
  <c r="AZ109" i="7"/>
  <c r="AZ108" i="7"/>
  <c r="AZ107" i="7"/>
  <c r="AZ106" i="7"/>
  <c r="AZ105" i="7"/>
  <c r="AZ104" i="7"/>
  <c r="AZ103" i="7"/>
  <c r="AZ102" i="7"/>
  <c r="AZ101" i="7"/>
  <c r="AZ100" i="7"/>
  <c r="AZ99" i="7"/>
  <c r="AZ98" i="7"/>
  <c r="AZ97" i="7"/>
  <c r="AZ96" i="7"/>
  <c r="AZ95" i="7"/>
  <c r="AZ94" i="7"/>
  <c r="AZ93" i="7"/>
  <c r="BA94" i="5"/>
  <c r="BB94" i="5" s="1"/>
  <c r="BA95" i="5"/>
  <c r="BB95" i="5"/>
  <c r="BA96" i="5"/>
  <c r="BB96" i="5"/>
  <c r="BA97" i="5"/>
  <c r="BB97" i="5" s="1"/>
  <c r="BA98" i="5"/>
  <c r="BB98" i="5" s="1"/>
  <c r="BA99" i="5"/>
  <c r="BB99" i="5"/>
  <c r="BA100" i="5"/>
  <c r="BB100" i="5"/>
  <c r="BA101" i="5"/>
  <c r="BB101" i="5" s="1"/>
  <c r="BA102" i="5"/>
  <c r="BB102" i="5" s="1"/>
  <c r="BA103" i="5"/>
  <c r="BB103" i="5"/>
  <c r="BA104" i="5"/>
  <c r="BB104" i="5"/>
  <c r="BA105" i="5"/>
  <c r="BB105" i="5" s="1"/>
  <c r="BA106" i="5"/>
  <c r="BB106" i="5" s="1"/>
  <c r="BA107" i="5"/>
  <c r="BB107" i="5"/>
  <c r="BA108" i="5"/>
  <c r="BB108" i="5"/>
  <c r="BA109" i="5"/>
  <c r="BB109" i="5" s="1"/>
  <c r="BA110" i="5"/>
  <c r="BB110" i="5" s="1"/>
  <c r="BA111" i="5"/>
  <c r="BB111" i="5"/>
  <c r="BA112" i="5"/>
  <c r="BB112" i="5"/>
  <c r="BA113" i="5"/>
  <c r="BB113" i="5" s="1"/>
  <c r="BA114" i="5"/>
  <c r="BB114" i="5" s="1"/>
  <c r="BA115" i="5"/>
  <c r="BB115" i="5"/>
  <c r="BA116" i="5"/>
  <c r="BB116" i="5"/>
  <c r="BA117" i="5"/>
  <c r="BB117" i="5" s="1"/>
  <c r="BA118" i="5"/>
  <c r="BB118" i="5" s="1"/>
  <c r="BA119" i="5"/>
  <c r="BB119" i="5"/>
  <c r="BA120" i="5"/>
  <c r="BB120" i="5"/>
  <c r="BA121" i="5"/>
  <c r="BB121" i="5" s="1"/>
  <c r="BA122" i="5"/>
  <c r="BB122" i="5" s="1"/>
  <c r="BA123" i="5"/>
  <c r="BB123" i="5"/>
  <c r="BA124" i="5"/>
  <c r="BB124" i="5"/>
  <c r="BA125" i="5"/>
  <c r="BB125" i="5" s="1"/>
  <c r="BA126" i="5"/>
  <c r="BB126" i="5" s="1"/>
  <c r="BA127" i="5"/>
  <c r="BB127" i="5"/>
  <c r="BA128" i="5"/>
  <c r="BB128" i="5"/>
  <c r="BA129" i="5"/>
  <c r="BB129" i="5" s="1"/>
  <c r="BA130" i="5"/>
  <c r="BB130" i="5" s="1"/>
  <c r="BA131" i="5"/>
  <c r="BB131" i="5"/>
  <c r="BA132" i="5"/>
  <c r="BB132" i="5"/>
  <c r="BA133" i="5"/>
  <c r="BB133" i="5" s="1"/>
  <c r="BA134" i="5"/>
  <c r="BB134" i="5" s="1"/>
  <c r="BA135" i="5"/>
  <c r="BB135" i="5"/>
  <c r="BA136" i="5"/>
  <c r="BB136" i="5"/>
  <c r="BA137" i="5"/>
  <c r="BB137" i="5" s="1"/>
  <c r="BA138" i="5"/>
  <c r="BB138" i="5" s="1"/>
  <c r="BA139" i="5"/>
  <c r="BB139" i="5"/>
  <c r="BA140" i="5"/>
  <c r="BB140" i="5"/>
  <c r="BA141" i="5"/>
  <c r="BB141" i="5" s="1"/>
  <c r="BA142" i="5"/>
  <c r="BB142" i="5" s="1"/>
  <c r="BA143" i="5"/>
  <c r="BB143" i="5"/>
  <c r="BA144" i="5"/>
  <c r="BB144" i="5"/>
  <c r="BA145" i="5"/>
  <c r="BB145" i="5" s="1"/>
  <c r="BA146" i="5"/>
  <c r="BB146" i="5" s="1"/>
  <c r="BA147" i="5"/>
  <c r="BB147" i="5"/>
  <c r="BA148" i="5"/>
  <c r="BB148" i="5"/>
  <c r="BA149" i="5"/>
  <c r="BB149" i="5" s="1"/>
  <c r="BA150" i="5"/>
  <c r="BB150" i="5" s="1"/>
  <c r="BA151" i="5"/>
  <c r="BB151" i="5"/>
  <c r="BA152" i="5"/>
  <c r="BB152" i="5"/>
  <c r="BB93" i="5"/>
  <c r="BA93" i="5"/>
  <c r="AZ79" i="5"/>
  <c r="BA79" i="5"/>
  <c r="BB79" i="5"/>
  <c r="BC79" i="5"/>
  <c r="AZ80" i="5"/>
  <c r="BA80" i="5"/>
  <c r="BB80" i="5"/>
  <c r="BC80" i="5"/>
  <c r="AY80" i="5"/>
  <c r="AY79" i="5"/>
  <c r="BB65" i="5"/>
  <c r="BC65" i="5"/>
  <c r="BD65" i="5"/>
  <c r="BE65" i="5"/>
  <c r="BF65" i="5"/>
  <c r="BG65" i="5"/>
  <c r="BH65" i="5"/>
  <c r="BI65" i="5"/>
  <c r="BJ65" i="5"/>
  <c r="BB66" i="5"/>
  <c r="BC66" i="5"/>
  <c r="BD66" i="5"/>
  <c r="BE66" i="5"/>
  <c r="BF66" i="5"/>
  <c r="BG66" i="5"/>
  <c r="BH66" i="5"/>
  <c r="BI66" i="5"/>
  <c r="BJ66" i="5"/>
  <c r="BB67" i="5"/>
  <c r="BC67" i="5"/>
  <c r="BD67" i="5"/>
  <c r="BE67" i="5"/>
  <c r="BF67" i="5"/>
  <c r="BG67" i="5"/>
  <c r="BH67" i="5"/>
  <c r="BI67" i="5"/>
  <c r="BJ67" i="5"/>
  <c r="BB68" i="5"/>
  <c r="BC68" i="5"/>
  <c r="BD68" i="5"/>
  <c r="BE68" i="5"/>
  <c r="BF68" i="5"/>
  <c r="BG68" i="5"/>
  <c r="BH68" i="5"/>
  <c r="BI68" i="5"/>
  <c r="BJ68" i="5"/>
  <c r="BB69" i="5"/>
  <c r="BC69" i="5"/>
  <c r="BD69" i="5"/>
  <c r="BE69" i="5"/>
  <c r="BF69" i="5"/>
  <c r="BG69" i="5"/>
  <c r="BH69" i="5"/>
  <c r="BI69" i="5"/>
  <c r="BJ69" i="5"/>
  <c r="BB70" i="5"/>
  <c r="BC70" i="5"/>
  <c r="BD70" i="5"/>
  <c r="BE70" i="5"/>
  <c r="BF70" i="5"/>
  <c r="BG70" i="5"/>
  <c r="BH70" i="5"/>
  <c r="BI70" i="5"/>
  <c r="BJ70" i="5"/>
  <c r="BA66" i="5"/>
  <c r="BA67" i="5"/>
  <c r="BA68" i="5"/>
  <c r="BA69" i="5"/>
  <c r="BA70" i="5"/>
  <c r="BA65" i="5"/>
  <c r="AZ152" i="5"/>
  <c r="AZ151" i="5"/>
  <c r="AZ150" i="5"/>
  <c r="AZ149" i="5"/>
  <c r="AZ148" i="5"/>
  <c r="AZ147" i="5"/>
  <c r="AZ146" i="5"/>
  <c r="AZ145" i="5"/>
  <c r="AZ144" i="5"/>
  <c r="AZ143" i="5"/>
  <c r="AZ142" i="5"/>
  <c r="AZ141" i="5"/>
  <c r="AZ140" i="5"/>
  <c r="AZ139" i="5"/>
  <c r="AZ138" i="5"/>
  <c r="AZ137" i="5"/>
  <c r="AZ136" i="5"/>
  <c r="AZ135" i="5"/>
  <c r="AZ134" i="5"/>
  <c r="AZ133" i="5"/>
  <c r="AZ132" i="5"/>
  <c r="AZ131" i="5"/>
  <c r="AZ130" i="5"/>
  <c r="AZ129" i="5"/>
  <c r="AZ128" i="5"/>
  <c r="AZ127" i="5"/>
  <c r="AZ126" i="5"/>
  <c r="AZ125" i="5"/>
  <c r="AZ124" i="5"/>
  <c r="AZ123" i="5"/>
  <c r="AZ122" i="5"/>
  <c r="AZ121" i="5"/>
  <c r="AZ120" i="5"/>
  <c r="AZ119" i="5"/>
  <c r="AZ118" i="5"/>
  <c r="AZ117" i="5"/>
  <c r="AZ116" i="5"/>
  <c r="AZ115" i="5"/>
  <c r="AZ114" i="5"/>
  <c r="AZ113" i="5"/>
  <c r="AZ112" i="5"/>
  <c r="AZ111" i="5"/>
  <c r="AZ110" i="5"/>
  <c r="AZ109" i="5"/>
  <c r="AZ108" i="5"/>
  <c r="AZ107" i="5"/>
  <c r="AZ106" i="5"/>
  <c r="AZ105" i="5"/>
  <c r="AZ104" i="5"/>
  <c r="AZ103" i="5"/>
  <c r="AZ102" i="5"/>
  <c r="AZ101" i="5"/>
  <c r="AZ100" i="5"/>
  <c r="AZ99" i="5"/>
  <c r="AZ98" i="5"/>
  <c r="AZ97" i="5"/>
  <c r="AZ96" i="5"/>
  <c r="AZ95" i="5"/>
  <c r="AZ94" i="5"/>
  <c r="AZ93" i="5"/>
  <c r="CX65" i="6"/>
  <c r="CY65" i="6"/>
  <c r="CZ65" i="6"/>
  <c r="DA65" i="6"/>
  <c r="DB65" i="6"/>
  <c r="DC65" i="6"/>
  <c r="DD65" i="6"/>
  <c r="DE65" i="6"/>
  <c r="DF65" i="6"/>
  <c r="CX66" i="6"/>
  <c r="CY66" i="6"/>
  <c r="CZ66" i="6"/>
  <c r="DA66" i="6"/>
  <c r="DB66" i="6"/>
  <c r="DC66" i="6"/>
  <c r="DD66" i="6"/>
  <c r="DE66" i="6"/>
  <c r="DF66" i="6"/>
  <c r="CX67" i="6"/>
  <c r="CY67" i="6"/>
  <c r="CZ67" i="6"/>
  <c r="DA67" i="6"/>
  <c r="DB67" i="6"/>
  <c r="DC67" i="6"/>
  <c r="DD67" i="6"/>
  <c r="DE67" i="6"/>
  <c r="DF67" i="6"/>
  <c r="CX68" i="6"/>
  <c r="DA75" i="6" s="1"/>
  <c r="CY68" i="6"/>
  <c r="CZ68" i="6"/>
  <c r="DA68" i="6"/>
  <c r="DB68" i="6"/>
  <c r="DC68" i="6"/>
  <c r="DD68" i="6"/>
  <c r="DE68" i="6"/>
  <c r="DF68" i="6"/>
  <c r="CX69" i="6"/>
  <c r="CY69" i="6"/>
  <c r="CZ69" i="6"/>
  <c r="DA69" i="6"/>
  <c r="DB69" i="6"/>
  <c r="DC69" i="6"/>
  <c r="DD69" i="6"/>
  <c r="DE69" i="6"/>
  <c r="DF69" i="6"/>
  <c r="CX70" i="6"/>
  <c r="CY70" i="6"/>
  <c r="CZ70" i="6"/>
  <c r="DA70" i="6"/>
  <c r="DB70" i="6"/>
  <c r="DC70" i="6"/>
  <c r="DD70" i="6"/>
  <c r="DE70" i="6"/>
  <c r="DF70" i="6"/>
  <c r="CW66" i="6"/>
  <c r="CW67" i="6"/>
  <c r="CW68" i="6"/>
  <c r="CW69" i="6"/>
  <c r="CW70" i="6"/>
  <c r="CW65" i="6"/>
  <c r="DL152" i="6"/>
  <c r="CV152" i="6"/>
  <c r="CW152" i="6" s="1"/>
  <c r="CX152" i="6" s="1"/>
  <c r="DL151" i="6"/>
  <c r="CV151" i="6"/>
  <c r="DL150" i="6"/>
  <c r="CV150" i="6"/>
  <c r="DL149" i="6"/>
  <c r="DM149" i="6" s="1"/>
  <c r="CV149" i="6"/>
  <c r="DL148" i="6"/>
  <c r="CV148" i="6"/>
  <c r="DL147" i="6"/>
  <c r="CV147" i="6"/>
  <c r="DL146" i="6"/>
  <c r="DM146" i="6" s="1"/>
  <c r="DN146" i="6" s="1"/>
  <c r="CV146" i="6"/>
  <c r="DL145" i="6"/>
  <c r="CV145" i="6"/>
  <c r="DL144" i="6"/>
  <c r="CV144" i="6"/>
  <c r="DL143" i="6"/>
  <c r="CV143" i="6"/>
  <c r="DL142" i="6"/>
  <c r="DM142" i="6" s="1"/>
  <c r="DN142" i="6" s="1"/>
  <c r="CV142" i="6"/>
  <c r="DL141" i="6"/>
  <c r="CV141" i="6"/>
  <c r="DL140" i="6"/>
  <c r="CV140" i="6"/>
  <c r="DL139" i="6"/>
  <c r="CV139" i="6"/>
  <c r="DM138" i="6"/>
  <c r="DL138" i="6"/>
  <c r="CV138" i="6"/>
  <c r="DL137" i="6"/>
  <c r="CV137" i="6"/>
  <c r="DL136" i="6"/>
  <c r="CV136" i="6"/>
  <c r="CW136" i="6" s="1"/>
  <c r="CX136" i="6" s="1"/>
  <c r="DL135" i="6"/>
  <c r="CV135" i="6"/>
  <c r="DL134" i="6"/>
  <c r="CV134" i="6"/>
  <c r="DL133" i="6"/>
  <c r="CV133" i="6"/>
  <c r="DL132" i="6"/>
  <c r="CV132" i="6"/>
  <c r="CW132" i="6" s="1"/>
  <c r="CX132" i="6" s="1"/>
  <c r="DL131" i="6"/>
  <c r="CV131" i="6"/>
  <c r="DL130" i="6"/>
  <c r="DM130" i="6" s="1"/>
  <c r="DN130" i="6" s="1"/>
  <c r="CV130" i="6"/>
  <c r="DL129" i="6"/>
  <c r="CV129" i="6"/>
  <c r="CW129" i="6" s="1"/>
  <c r="CX129" i="6" s="1"/>
  <c r="DL128" i="6"/>
  <c r="DM128" i="6" s="1"/>
  <c r="CV128" i="6"/>
  <c r="CW128" i="6" s="1"/>
  <c r="CX128" i="6" s="1"/>
  <c r="DL127" i="6"/>
  <c r="CV127" i="6"/>
  <c r="DL126" i="6"/>
  <c r="DM126" i="6" s="1"/>
  <c r="DN126" i="6" s="1"/>
  <c r="CV126" i="6"/>
  <c r="DL125" i="6"/>
  <c r="CV125" i="6"/>
  <c r="CW125" i="6" s="1"/>
  <c r="CX125" i="6" s="1"/>
  <c r="DL124" i="6"/>
  <c r="DM124" i="6" s="1"/>
  <c r="CV124" i="6"/>
  <c r="DL123" i="6"/>
  <c r="CV123" i="6"/>
  <c r="DL122" i="6"/>
  <c r="CV122" i="6"/>
  <c r="DL121" i="6"/>
  <c r="DM121" i="6" s="1"/>
  <c r="CV121" i="6"/>
  <c r="CW121" i="6" s="1"/>
  <c r="CX121" i="6" s="1"/>
  <c r="DL120" i="6"/>
  <c r="CV120" i="6"/>
  <c r="DL119" i="6"/>
  <c r="CV119" i="6"/>
  <c r="DL118" i="6"/>
  <c r="CV118" i="6"/>
  <c r="DL117" i="6"/>
  <c r="DM117" i="6" s="1"/>
  <c r="DN117" i="6" s="1"/>
  <c r="CV117" i="6"/>
  <c r="DL116" i="6"/>
  <c r="CV116" i="6"/>
  <c r="DL115" i="6"/>
  <c r="CV115" i="6"/>
  <c r="DL114" i="6"/>
  <c r="DM114" i="6" s="1"/>
  <c r="DN114" i="6" s="1"/>
  <c r="CV114" i="6"/>
  <c r="DL113" i="6"/>
  <c r="CV113" i="6"/>
  <c r="DL112" i="6"/>
  <c r="CV112" i="6"/>
  <c r="DL111" i="6"/>
  <c r="DM111" i="6" s="1"/>
  <c r="DN111" i="6" s="1"/>
  <c r="CV111" i="6"/>
  <c r="DL110" i="6"/>
  <c r="CV110" i="6"/>
  <c r="DL109" i="6"/>
  <c r="CV109" i="6"/>
  <c r="DL108" i="6"/>
  <c r="CV108" i="6"/>
  <c r="CW108" i="6" s="1"/>
  <c r="CX108" i="6" s="1"/>
  <c r="DM107" i="6"/>
  <c r="DN107" i="6" s="1"/>
  <c r="DL107" i="6"/>
  <c r="CV107" i="6"/>
  <c r="DL106" i="6"/>
  <c r="DM106" i="6" s="1"/>
  <c r="DN106" i="6" s="1"/>
  <c r="CV106" i="6"/>
  <c r="DL105" i="6"/>
  <c r="CV105" i="6"/>
  <c r="CW105" i="6" s="1"/>
  <c r="CX105" i="6" s="1"/>
  <c r="DL104" i="6"/>
  <c r="DM104" i="6" s="1"/>
  <c r="DN104" i="6" s="1"/>
  <c r="CV104" i="6"/>
  <c r="DL103" i="6"/>
  <c r="CV103" i="6"/>
  <c r="DL102" i="6"/>
  <c r="CV102" i="6"/>
  <c r="DL101" i="6"/>
  <c r="DM101" i="6" s="1"/>
  <c r="DN101" i="6" s="1"/>
  <c r="CV101" i="6"/>
  <c r="DL100" i="6"/>
  <c r="CV100" i="6"/>
  <c r="DL99" i="6"/>
  <c r="CV99" i="6"/>
  <c r="DL98" i="6"/>
  <c r="DM98" i="6" s="1"/>
  <c r="DN98" i="6" s="1"/>
  <c r="CV98" i="6"/>
  <c r="DL97" i="6"/>
  <c r="CV97" i="6"/>
  <c r="DL96" i="6"/>
  <c r="DM96" i="6" s="1"/>
  <c r="CV96" i="6"/>
  <c r="DL95" i="6"/>
  <c r="DM95" i="6" s="1"/>
  <c r="DN95" i="6" s="1"/>
  <c r="CV95" i="6"/>
  <c r="DL94" i="6"/>
  <c r="CV94" i="6"/>
  <c r="DL93" i="6"/>
  <c r="DM93" i="6" s="1"/>
  <c r="CV93" i="6"/>
  <c r="DV70" i="6"/>
  <c r="DU70" i="6"/>
  <c r="DT70" i="6"/>
  <c r="DS70" i="6"/>
  <c r="DR70" i="6"/>
  <c r="DQ70" i="6"/>
  <c r="DP70" i="6"/>
  <c r="DO70" i="6"/>
  <c r="DN70" i="6"/>
  <c r="DM70" i="6"/>
  <c r="DV69" i="6"/>
  <c r="DU69" i="6"/>
  <c r="DT69" i="6"/>
  <c r="DS69" i="6"/>
  <c r="DR69" i="6"/>
  <c r="DQ69" i="6"/>
  <c r="DP69" i="6"/>
  <c r="DO69" i="6"/>
  <c r="DN69" i="6"/>
  <c r="DM69" i="6"/>
  <c r="DV68" i="6"/>
  <c r="DU68" i="6"/>
  <c r="DT68" i="6"/>
  <c r="DS68" i="6"/>
  <c r="DR68" i="6"/>
  <c r="DQ68" i="6"/>
  <c r="DP68" i="6"/>
  <c r="DO68" i="6"/>
  <c r="DN68" i="6"/>
  <c r="DM68" i="6"/>
  <c r="DV67" i="6"/>
  <c r="DU67" i="6"/>
  <c r="DT67" i="6"/>
  <c r="DS67" i="6"/>
  <c r="DR67" i="6"/>
  <c r="DQ67" i="6"/>
  <c r="DP67" i="6"/>
  <c r="DO67" i="6"/>
  <c r="DN67" i="6"/>
  <c r="DM67" i="6"/>
  <c r="DV66" i="6"/>
  <c r="DU66" i="6"/>
  <c r="DT66" i="6"/>
  <c r="DS66" i="6"/>
  <c r="DR66" i="6"/>
  <c r="DQ66" i="6"/>
  <c r="DP66" i="6"/>
  <c r="DO66" i="6"/>
  <c r="DN66" i="6"/>
  <c r="DM66" i="6"/>
  <c r="DV65" i="6"/>
  <c r="DU65" i="6"/>
  <c r="DT65" i="6"/>
  <c r="DS65" i="6"/>
  <c r="DR65" i="6"/>
  <c r="DQ65" i="6"/>
  <c r="DP65" i="6"/>
  <c r="DO65" i="6"/>
  <c r="DN65" i="6"/>
  <c r="DQ76" i="6" s="1"/>
  <c r="DM65" i="6"/>
  <c r="DA76" i="6"/>
  <c r="CV93" i="4"/>
  <c r="DM66" i="4"/>
  <c r="DN66" i="4"/>
  <c r="DO66" i="4"/>
  <c r="DP66" i="4"/>
  <c r="DQ66" i="4"/>
  <c r="DR66" i="4"/>
  <c r="DS66" i="4"/>
  <c r="DT66" i="4"/>
  <c r="DU66" i="4"/>
  <c r="DV66" i="4"/>
  <c r="DM67" i="4"/>
  <c r="DN67" i="4"/>
  <c r="DO67" i="4"/>
  <c r="DP67" i="4"/>
  <c r="DQ67" i="4"/>
  <c r="DR67" i="4"/>
  <c r="DS67" i="4"/>
  <c r="DT67" i="4"/>
  <c r="DU67" i="4"/>
  <c r="DV67" i="4"/>
  <c r="DM68" i="4"/>
  <c r="DN68" i="4"/>
  <c r="DO68" i="4"/>
  <c r="DP68" i="4"/>
  <c r="DQ68" i="4"/>
  <c r="DR68" i="4"/>
  <c r="DS68" i="4"/>
  <c r="DT68" i="4"/>
  <c r="DU68" i="4"/>
  <c r="DV68" i="4"/>
  <c r="DM69" i="4"/>
  <c r="DN69" i="4"/>
  <c r="DO69" i="4"/>
  <c r="DP69" i="4"/>
  <c r="DQ69" i="4"/>
  <c r="DR69" i="4"/>
  <c r="DS69" i="4"/>
  <c r="DT69" i="4"/>
  <c r="DU69" i="4"/>
  <c r="DV69" i="4"/>
  <c r="DM70" i="4"/>
  <c r="DN70" i="4"/>
  <c r="DO70" i="4"/>
  <c r="DP70" i="4"/>
  <c r="DQ70" i="4"/>
  <c r="DR70" i="4"/>
  <c r="DS70" i="4"/>
  <c r="DT70" i="4"/>
  <c r="DU70" i="4"/>
  <c r="DP75" i="4" s="1"/>
  <c r="DV70" i="4"/>
  <c r="DN65" i="4"/>
  <c r="DO65" i="4"/>
  <c r="DP65" i="4"/>
  <c r="DQ65" i="4"/>
  <c r="DR65" i="4"/>
  <c r="DS65" i="4"/>
  <c r="DT65" i="4"/>
  <c r="DU65" i="4"/>
  <c r="DV65" i="4"/>
  <c r="DM65" i="4"/>
  <c r="CW66" i="4"/>
  <c r="CX66" i="4"/>
  <c r="CY66" i="4"/>
  <c r="CZ66" i="4"/>
  <c r="DA66" i="4"/>
  <c r="DB66" i="4"/>
  <c r="DC66" i="4"/>
  <c r="DD66" i="4"/>
  <c r="DE66" i="4"/>
  <c r="DF66" i="4"/>
  <c r="CW67" i="4"/>
  <c r="CX67" i="4"/>
  <c r="CY67" i="4"/>
  <c r="CZ67" i="4"/>
  <c r="DA67" i="4"/>
  <c r="DB67" i="4"/>
  <c r="DC67" i="4"/>
  <c r="DD67" i="4"/>
  <c r="DE67" i="4"/>
  <c r="DF67" i="4"/>
  <c r="CW68" i="4"/>
  <c r="CX68" i="4"/>
  <c r="CY68" i="4"/>
  <c r="CZ68" i="4"/>
  <c r="DA68" i="4"/>
  <c r="DB68" i="4"/>
  <c r="DC68" i="4"/>
  <c r="DD68" i="4"/>
  <c r="DE68" i="4"/>
  <c r="DF68" i="4"/>
  <c r="CW69" i="4"/>
  <c r="CX69" i="4"/>
  <c r="CY69" i="4"/>
  <c r="CZ69" i="4"/>
  <c r="DA69" i="4"/>
  <c r="DB69" i="4"/>
  <c r="DC69" i="4"/>
  <c r="DD69" i="4"/>
  <c r="DE69" i="4"/>
  <c r="DF69" i="4"/>
  <c r="CW70" i="4"/>
  <c r="CX70" i="4"/>
  <c r="CY70" i="4"/>
  <c r="CZ70" i="4"/>
  <c r="DA70" i="4"/>
  <c r="DB70" i="4"/>
  <c r="DC70" i="4"/>
  <c r="DD70" i="4"/>
  <c r="DE70" i="4"/>
  <c r="DF70" i="4"/>
  <c r="CX65" i="4"/>
  <c r="CY65" i="4"/>
  <c r="CZ65" i="4"/>
  <c r="DA65" i="4"/>
  <c r="DB65" i="4"/>
  <c r="DC65" i="4"/>
  <c r="DD65" i="4"/>
  <c r="DE65" i="4"/>
  <c r="DF65" i="4"/>
  <c r="CW65" i="4"/>
  <c r="DM66" i="2"/>
  <c r="DN66" i="2"/>
  <c r="DO66" i="2"/>
  <c r="DP66" i="2"/>
  <c r="DQ66" i="2"/>
  <c r="DR66" i="2"/>
  <c r="DS66" i="2"/>
  <c r="DT66" i="2"/>
  <c r="DU66" i="2"/>
  <c r="DV66" i="2"/>
  <c r="DM67" i="2"/>
  <c r="DN67" i="2"/>
  <c r="DO67" i="2"/>
  <c r="DP67" i="2"/>
  <c r="DQ67" i="2"/>
  <c r="DR67" i="2"/>
  <c r="DS67" i="2"/>
  <c r="DT67" i="2"/>
  <c r="DU67" i="2"/>
  <c r="DV67" i="2"/>
  <c r="DM68" i="2"/>
  <c r="DN68" i="2"/>
  <c r="DO68" i="2"/>
  <c r="DP68" i="2"/>
  <c r="DQ68" i="2"/>
  <c r="DR68" i="2"/>
  <c r="DS68" i="2"/>
  <c r="DT68" i="2"/>
  <c r="DU68" i="2"/>
  <c r="DV68" i="2"/>
  <c r="DM69" i="2"/>
  <c r="DN69" i="2"/>
  <c r="DO69" i="2"/>
  <c r="DP69" i="2"/>
  <c r="DQ69" i="2"/>
  <c r="DR69" i="2"/>
  <c r="DS69" i="2"/>
  <c r="DT69" i="2"/>
  <c r="DU69" i="2"/>
  <c r="DV69" i="2"/>
  <c r="DM70" i="2"/>
  <c r="DN70" i="2"/>
  <c r="DO70" i="2"/>
  <c r="DP70" i="2"/>
  <c r="DQ70" i="2"/>
  <c r="DR70" i="2"/>
  <c r="DS70" i="2"/>
  <c r="DT70" i="2"/>
  <c r="DU70" i="2"/>
  <c r="DV70" i="2"/>
  <c r="DN65" i="2"/>
  <c r="DO65" i="2"/>
  <c r="DP65" i="2"/>
  <c r="DQ65" i="2"/>
  <c r="DR65" i="2"/>
  <c r="DS65" i="2"/>
  <c r="DT65" i="2"/>
  <c r="DU65" i="2"/>
  <c r="DV65" i="2"/>
  <c r="DM65" i="2"/>
  <c r="CW70" i="2"/>
  <c r="CX70" i="2"/>
  <c r="CY70" i="2"/>
  <c r="CZ70" i="2"/>
  <c r="DA70" i="2"/>
  <c r="CZ76" i="2" s="1"/>
  <c r="DB70" i="2"/>
  <c r="DC70" i="2"/>
  <c r="DD70" i="2"/>
  <c r="DE70" i="2"/>
  <c r="DF70" i="2"/>
  <c r="CW66" i="2"/>
  <c r="CX66" i="2"/>
  <c r="CY66" i="2"/>
  <c r="CZ66" i="2"/>
  <c r="DA66" i="2"/>
  <c r="DB66" i="2"/>
  <c r="DC66" i="2"/>
  <c r="DD66" i="2"/>
  <c r="DE66" i="2"/>
  <c r="DF66" i="2"/>
  <c r="CW67" i="2"/>
  <c r="CX67" i="2"/>
  <c r="CY67" i="2"/>
  <c r="CZ67" i="2"/>
  <c r="DA67" i="2"/>
  <c r="DB67" i="2"/>
  <c r="DC67" i="2"/>
  <c r="DD67" i="2"/>
  <c r="DE67" i="2"/>
  <c r="DF67" i="2"/>
  <c r="CW68" i="2"/>
  <c r="CX68" i="2"/>
  <c r="CY68" i="2"/>
  <c r="CX75" i="2" s="1"/>
  <c r="CZ68" i="2"/>
  <c r="DA68" i="2"/>
  <c r="DB68" i="2"/>
  <c r="DC68" i="2"/>
  <c r="DD68" i="2"/>
  <c r="DE68" i="2"/>
  <c r="DF68" i="2"/>
  <c r="CW69" i="2"/>
  <c r="CX69" i="2"/>
  <c r="CY69" i="2"/>
  <c r="CZ69" i="2"/>
  <c r="DA69" i="2"/>
  <c r="DB69" i="2"/>
  <c r="DC69" i="2"/>
  <c r="DD69" i="2"/>
  <c r="DE69" i="2"/>
  <c r="CY75" i="2" s="1"/>
  <c r="DF69" i="2"/>
  <c r="CX65" i="2"/>
  <c r="CY65" i="2"/>
  <c r="CZ65" i="2"/>
  <c r="DA65" i="2"/>
  <c r="DB65" i="2"/>
  <c r="DC65" i="2"/>
  <c r="CU76" i="2" s="1"/>
  <c r="DD65" i="2"/>
  <c r="DE65" i="2"/>
  <c r="DF65" i="2"/>
  <c r="CW65" i="2"/>
  <c r="DL152" i="4"/>
  <c r="CV152" i="4"/>
  <c r="DL151" i="4"/>
  <c r="DM151" i="4" s="1"/>
  <c r="DN151" i="4" s="1"/>
  <c r="CV151" i="4"/>
  <c r="DL150" i="4"/>
  <c r="CV150" i="4"/>
  <c r="DL149" i="4"/>
  <c r="CV149" i="4"/>
  <c r="DL148" i="4"/>
  <c r="CV148" i="4"/>
  <c r="DL147" i="4"/>
  <c r="CV147" i="4"/>
  <c r="DL146" i="4"/>
  <c r="CV146" i="4"/>
  <c r="DL145" i="4"/>
  <c r="CV145" i="4"/>
  <c r="DL144" i="4"/>
  <c r="CV144" i="4"/>
  <c r="DL143" i="4"/>
  <c r="DM143" i="4" s="1"/>
  <c r="DN143" i="4" s="1"/>
  <c r="CV143" i="4"/>
  <c r="DL142" i="4"/>
  <c r="CV142" i="4"/>
  <c r="DL141" i="4"/>
  <c r="CV141" i="4"/>
  <c r="DL140" i="4"/>
  <c r="CV140" i="4"/>
  <c r="DL139" i="4"/>
  <c r="DM139" i="4" s="1"/>
  <c r="DN139" i="4" s="1"/>
  <c r="CV139" i="4"/>
  <c r="DL138" i="4"/>
  <c r="CV138" i="4"/>
  <c r="DL137" i="4"/>
  <c r="CV137" i="4"/>
  <c r="DL136" i="4"/>
  <c r="CV136" i="4"/>
  <c r="DL135" i="4"/>
  <c r="DM135" i="4" s="1"/>
  <c r="DN135" i="4" s="1"/>
  <c r="CV135" i="4"/>
  <c r="DL134" i="4"/>
  <c r="CV134" i="4"/>
  <c r="DL133" i="4"/>
  <c r="CV133" i="4"/>
  <c r="DL132" i="4"/>
  <c r="CV132" i="4"/>
  <c r="DL131" i="4"/>
  <c r="DM131" i="4" s="1"/>
  <c r="DN131" i="4" s="1"/>
  <c r="CV131" i="4"/>
  <c r="DL130" i="4"/>
  <c r="CV130" i="4"/>
  <c r="DL129" i="4"/>
  <c r="CV129" i="4"/>
  <c r="DL128" i="4"/>
  <c r="CV128" i="4"/>
  <c r="DL127" i="4"/>
  <c r="CV127" i="4"/>
  <c r="DL126" i="4"/>
  <c r="CV126" i="4"/>
  <c r="DL125" i="4"/>
  <c r="CV125" i="4"/>
  <c r="DL124" i="4"/>
  <c r="CV124" i="4"/>
  <c r="DL123" i="4"/>
  <c r="CV123" i="4"/>
  <c r="DL122" i="4"/>
  <c r="CV122" i="4"/>
  <c r="DL121" i="4"/>
  <c r="CV121" i="4"/>
  <c r="DL120" i="4"/>
  <c r="CV120" i="4"/>
  <c r="DL119" i="4"/>
  <c r="DM119" i="4" s="1"/>
  <c r="DN119" i="4" s="1"/>
  <c r="CV119" i="4"/>
  <c r="DL118" i="4"/>
  <c r="CV118" i="4"/>
  <c r="DL117" i="4"/>
  <c r="CV117" i="4"/>
  <c r="DL116" i="4"/>
  <c r="CV116" i="4"/>
  <c r="DL115" i="4"/>
  <c r="CV115" i="4"/>
  <c r="DL114" i="4"/>
  <c r="CV114" i="4"/>
  <c r="DL113" i="4"/>
  <c r="DM113" i="4" s="1"/>
  <c r="DN113" i="4" s="1"/>
  <c r="CV113" i="4"/>
  <c r="DL112" i="4"/>
  <c r="CV112" i="4"/>
  <c r="DL111" i="4"/>
  <c r="DM111" i="4" s="1"/>
  <c r="DN111" i="4" s="1"/>
  <c r="CV111" i="4"/>
  <c r="DL110" i="4"/>
  <c r="CV110" i="4"/>
  <c r="DL109" i="4"/>
  <c r="CV109" i="4"/>
  <c r="DL108" i="4"/>
  <c r="CV108" i="4"/>
  <c r="DL107" i="4"/>
  <c r="DM107" i="4" s="1"/>
  <c r="DN107" i="4" s="1"/>
  <c r="CV107" i="4"/>
  <c r="DL106" i="4"/>
  <c r="DM106" i="4" s="1"/>
  <c r="DN106" i="4" s="1"/>
  <c r="CV106" i="4"/>
  <c r="DL105" i="4"/>
  <c r="CV105" i="4"/>
  <c r="DL104" i="4"/>
  <c r="CV104" i="4"/>
  <c r="DL103" i="4"/>
  <c r="DM123" i="4" s="1"/>
  <c r="DN123" i="4" s="1"/>
  <c r="CV103" i="4"/>
  <c r="DL102" i="4"/>
  <c r="CV102" i="4"/>
  <c r="DL101" i="4"/>
  <c r="CV101" i="4"/>
  <c r="DL100" i="4"/>
  <c r="CV100" i="4"/>
  <c r="DL99" i="4"/>
  <c r="DM99" i="4" s="1"/>
  <c r="DN99" i="4" s="1"/>
  <c r="CV99" i="4"/>
  <c r="DL98" i="4"/>
  <c r="CV98" i="4"/>
  <c r="DL97" i="4"/>
  <c r="CV97" i="4"/>
  <c r="DL96" i="4"/>
  <c r="CV96" i="4"/>
  <c r="DM95" i="4"/>
  <c r="DN95" i="4" s="1"/>
  <c r="DL95" i="4"/>
  <c r="CV95" i="4"/>
  <c r="DL94" i="4"/>
  <c r="CV94" i="4"/>
  <c r="DL93" i="4"/>
  <c r="DM94" i="2"/>
  <c r="DN94" i="2" s="1"/>
  <c r="DM95" i="2"/>
  <c r="DN95" i="2"/>
  <c r="DM96" i="2"/>
  <c r="DN96" i="2" s="1"/>
  <c r="DM97" i="2"/>
  <c r="DN97" i="2"/>
  <c r="DM98" i="2"/>
  <c r="DN98" i="2" s="1"/>
  <c r="DM99" i="2"/>
  <c r="DN99" i="2"/>
  <c r="DM100" i="2"/>
  <c r="DN100" i="2" s="1"/>
  <c r="DM101" i="2"/>
  <c r="DN101" i="2"/>
  <c r="DM102" i="2"/>
  <c r="DN102" i="2" s="1"/>
  <c r="DM103" i="2"/>
  <c r="DN103" i="2"/>
  <c r="DM104" i="2"/>
  <c r="DN104" i="2" s="1"/>
  <c r="DM105" i="2"/>
  <c r="DN105" i="2"/>
  <c r="DM106" i="2"/>
  <c r="DN106" i="2" s="1"/>
  <c r="DM107" i="2"/>
  <c r="DN107" i="2"/>
  <c r="DM108" i="2"/>
  <c r="DN108" i="2" s="1"/>
  <c r="DM109" i="2"/>
  <c r="DN109" i="2"/>
  <c r="DM110" i="2"/>
  <c r="DN110" i="2" s="1"/>
  <c r="DM111" i="2"/>
  <c r="DN111" i="2"/>
  <c r="DM112" i="2"/>
  <c r="DN112" i="2" s="1"/>
  <c r="DM113" i="2"/>
  <c r="DN113" i="2"/>
  <c r="DM114" i="2"/>
  <c r="DN114" i="2" s="1"/>
  <c r="DM115" i="2"/>
  <c r="DN115" i="2"/>
  <c r="DM116" i="2"/>
  <c r="DN116" i="2" s="1"/>
  <c r="DM117" i="2"/>
  <c r="DN117" i="2"/>
  <c r="DM118" i="2"/>
  <c r="DN118" i="2" s="1"/>
  <c r="DM119" i="2"/>
  <c r="DN119" i="2"/>
  <c r="DM120" i="2"/>
  <c r="DN120" i="2" s="1"/>
  <c r="DM121" i="2"/>
  <c r="DN121" i="2"/>
  <c r="DM122" i="2"/>
  <c r="DN122" i="2" s="1"/>
  <c r="DM123" i="2"/>
  <c r="DN123" i="2"/>
  <c r="DM124" i="2"/>
  <c r="DN124" i="2" s="1"/>
  <c r="DM125" i="2"/>
  <c r="DN125" i="2"/>
  <c r="DM126" i="2"/>
  <c r="DN126" i="2" s="1"/>
  <c r="DM127" i="2"/>
  <c r="DN127" i="2"/>
  <c r="DM128" i="2"/>
  <c r="DN128" i="2" s="1"/>
  <c r="DM129" i="2"/>
  <c r="DN129" i="2"/>
  <c r="DM130" i="2"/>
  <c r="DN130" i="2" s="1"/>
  <c r="DM131" i="2"/>
  <c r="DN131" i="2"/>
  <c r="DM132" i="2"/>
  <c r="DN132" i="2" s="1"/>
  <c r="DM133" i="2"/>
  <c r="DN133" i="2"/>
  <c r="DM134" i="2"/>
  <c r="DN134" i="2" s="1"/>
  <c r="DM135" i="2"/>
  <c r="DN135" i="2"/>
  <c r="DM136" i="2"/>
  <c r="DN136" i="2" s="1"/>
  <c r="DM137" i="2"/>
  <c r="DN137" i="2"/>
  <c r="DM138" i="2"/>
  <c r="DN138" i="2" s="1"/>
  <c r="DM139" i="2"/>
  <c r="DN139" i="2"/>
  <c r="DM140" i="2"/>
  <c r="DN140" i="2" s="1"/>
  <c r="DM141" i="2"/>
  <c r="DN141" i="2"/>
  <c r="DM142" i="2"/>
  <c r="DN142" i="2" s="1"/>
  <c r="DM143" i="2"/>
  <c r="DN143" i="2"/>
  <c r="DM144" i="2"/>
  <c r="DN144" i="2" s="1"/>
  <c r="DM145" i="2"/>
  <c r="DN145" i="2"/>
  <c r="DM146" i="2"/>
  <c r="DN146" i="2" s="1"/>
  <c r="DM147" i="2"/>
  <c r="DN147" i="2"/>
  <c r="DM148" i="2"/>
  <c r="DN148" i="2" s="1"/>
  <c r="DM149" i="2"/>
  <c r="DN149" i="2"/>
  <c r="DM150" i="2"/>
  <c r="DN150" i="2" s="1"/>
  <c r="DM151" i="2"/>
  <c r="DN151" i="2"/>
  <c r="DM152" i="2"/>
  <c r="DN152" i="2" s="1"/>
  <c r="DN93" i="2"/>
  <c r="DM93" i="2"/>
  <c r="CW94" i="2"/>
  <c r="CX94" i="2" s="1"/>
  <c r="CW95" i="2"/>
  <c r="CX95" i="2"/>
  <c r="CW96" i="2"/>
  <c r="CX96" i="2"/>
  <c r="CW97" i="2"/>
  <c r="CX97" i="2" s="1"/>
  <c r="CW98" i="2"/>
  <c r="CX98" i="2" s="1"/>
  <c r="CW99" i="2"/>
  <c r="CX99" i="2"/>
  <c r="CW100" i="2"/>
  <c r="CX100" i="2"/>
  <c r="CW101" i="2"/>
  <c r="CX101" i="2" s="1"/>
  <c r="CW102" i="2"/>
  <c r="CX102" i="2" s="1"/>
  <c r="CW103" i="2"/>
  <c r="CX103" i="2"/>
  <c r="CW104" i="2"/>
  <c r="CX104" i="2"/>
  <c r="CW105" i="2"/>
  <c r="CX105" i="2" s="1"/>
  <c r="CW106" i="2"/>
  <c r="CX106" i="2" s="1"/>
  <c r="CW107" i="2"/>
  <c r="CX107" i="2"/>
  <c r="CW108" i="2"/>
  <c r="CX108" i="2"/>
  <c r="CW109" i="2"/>
  <c r="CX109" i="2" s="1"/>
  <c r="CW110" i="2"/>
  <c r="CX110" i="2" s="1"/>
  <c r="CW111" i="2"/>
  <c r="CX111" i="2"/>
  <c r="CW112" i="2"/>
  <c r="CX112" i="2"/>
  <c r="CW113" i="2"/>
  <c r="CX113" i="2" s="1"/>
  <c r="CW114" i="2"/>
  <c r="CX114" i="2" s="1"/>
  <c r="CW115" i="2"/>
  <c r="CX115" i="2"/>
  <c r="CW116" i="2"/>
  <c r="CX116" i="2"/>
  <c r="CW117" i="2"/>
  <c r="CX117" i="2" s="1"/>
  <c r="CW118" i="2"/>
  <c r="CX118" i="2" s="1"/>
  <c r="CW119" i="2"/>
  <c r="CX119" i="2"/>
  <c r="CW120" i="2"/>
  <c r="CX120" i="2"/>
  <c r="CW121" i="2"/>
  <c r="CX121" i="2" s="1"/>
  <c r="CW122" i="2"/>
  <c r="CX122" i="2" s="1"/>
  <c r="CW123" i="2"/>
  <c r="CX123" i="2"/>
  <c r="CW124" i="2"/>
  <c r="CX124" i="2"/>
  <c r="CW125" i="2"/>
  <c r="CX125" i="2" s="1"/>
  <c r="CW126" i="2"/>
  <c r="CX126" i="2" s="1"/>
  <c r="CW127" i="2"/>
  <c r="CX127" i="2"/>
  <c r="CW128" i="2"/>
  <c r="CX128" i="2"/>
  <c r="CW129" i="2"/>
  <c r="CX129" i="2" s="1"/>
  <c r="CW130" i="2"/>
  <c r="CX130" i="2" s="1"/>
  <c r="CW131" i="2"/>
  <c r="CX131" i="2"/>
  <c r="CW132" i="2"/>
  <c r="CX132" i="2"/>
  <c r="CW133" i="2"/>
  <c r="CX133" i="2" s="1"/>
  <c r="CW134" i="2"/>
  <c r="CX134" i="2" s="1"/>
  <c r="CW135" i="2"/>
  <c r="CX135" i="2"/>
  <c r="CW136" i="2"/>
  <c r="CX136" i="2"/>
  <c r="CW137" i="2"/>
  <c r="CX137" i="2" s="1"/>
  <c r="CW138" i="2"/>
  <c r="CX138" i="2" s="1"/>
  <c r="CW139" i="2"/>
  <c r="CX139" i="2"/>
  <c r="CW140" i="2"/>
  <c r="CX140" i="2"/>
  <c r="CW141" i="2"/>
  <c r="CX141" i="2" s="1"/>
  <c r="CW142" i="2"/>
  <c r="CX142" i="2" s="1"/>
  <c r="CW143" i="2"/>
  <c r="CX143" i="2"/>
  <c r="CW144" i="2"/>
  <c r="CX144" i="2"/>
  <c r="CW145" i="2"/>
  <c r="CX145" i="2" s="1"/>
  <c r="CW146" i="2"/>
  <c r="CX146" i="2" s="1"/>
  <c r="CW147" i="2"/>
  <c r="CX147" i="2"/>
  <c r="CW148" i="2"/>
  <c r="CX148" i="2"/>
  <c r="CW149" i="2"/>
  <c r="CX149" i="2" s="1"/>
  <c r="CW150" i="2"/>
  <c r="CX150" i="2" s="1"/>
  <c r="CW151" i="2"/>
  <c r="CX151" i="2"/>
  <c r="CW152" i="2"/>
  <c r="CX152" i="2"/>
  <c r="CX93" i="2"/>
  <c r="CW93" i="2"/>
  <c r="DL152" i="2"/>
  <c r="CV152" i="2"/>
  <c r="DL151" i="2"/>
  <c r="CV151" i="2"/>
  <c r="DL150" i="2"/>
  <c r="CV150" i="2"/>
  <c r="DL149" i="2"/>
  <c r="CV149" i="2"/>
  <c r="DL148" i="2"/>
  <c r="CV148" i="2"/>
  <c r="DL147" i="2"/>
  <c r="CV147" i="2"/>
  <c r="DL146" i="2"/>
  <c r="CV146" i="2"/>
  <c r="DL145" i="2"/>
  <c r="CV145" i="2"/>
  <c r="DL144" i="2"/>
  <c r="CV144" i="2"/>
  <c r="DL143" i="2"/>
  <c r="CV143" i="2"/>
  <c r="DL142" i="2"/>
  <c r="CV142" i="2"/>
  <c r="DL141" i="2"/>
  <c r="CV141" i="2"/>
  <c r="DL140" i="2"/>
  <c r="CV140" i="2"/>
  <c r="DL139" i="2"/>
  <c r="CV139" i="2"/>
  <c r="DL138" i="2"/>
  <c r="CV138" i="2"/>
  <c r="DL137" i="2"/>
  <c r="CV137" i="2"/>
  <c r="DL136" i="2"/>
  <c r="CV136" i="2"/>
  <c r="DL135" i="2"/>
  <c r="CV135" i="2"/>
  <c r="DL134" i="2"/>
  <c r="CV134" i="2"/>
  <c r="DL133" i="2"/>
  <c r="CV133" i="2"/>
  <c r="DL132" i="2"/>
  <c r="CV132" i="2"/>
  <c r="DL131" i="2"/>
  <c r="CV131" i="2"/>
  <c r="DL130" i="2"/>
  <c r="CV130" i="2"/>
  <c r="DL129" i="2"/>
  <c r="CV129" i="2"/>
  <c r="DL128" i="2"/>
  <c r="CV128" i="2"/>
  <c r="DL127" i="2"/>
  <c r="CV127" i="2"/>
  <c r="DL126" i="2"/>
  <c r="CV126" i="2"/>
  <c r="DL125" i="2"/>
  <c r="CV125" i="2"/>
  <c r="DL124" i="2"/>
  <c r="CV124" i="2"/>
  <c r="DL123" i="2"/>
  <c r="CV123" i="2"/>
  <c r="DL122" i="2"/>
  <c r="CV122" i="2"/>
  <c r="DL121" i="2"/>
  <c r="CV121" i="2"/>
  <c r="DL120" i="2"/>
  <c r="CV120" i="2"/>
  <c r="DL119" i="2"/>
  <c r="CV119" i="2"/>
  <c r="DL118" i="2"/>
  <c r="CV118" i="2"/>
  <c r="DL117" i="2"/>
  <c r="CV117" i="2"/>
  <c r="DL116" i="2"/>
  <c r="CV116" i="2"/>
  <c r="DL115" i="2"/>
  <c r="CV115" i="2"/>
  <c r="DL114" i="2"/>
  <c r="CV114" i="2"/>
  <c r="DL113" i="2"/>
  <c r="CV113" i="2"/>
  <c r="DL112" i="2"/>
  <c r="CV112" i="2"/>
  <c r="DL111" i="2"/>
  <c r="CV111" i="2"/>
  <c r="DL110" i="2"/>
  <c r="CV110" i="2"/>
  <c r="DL109" i="2"/>
  <c r="CV109" i="2"/>
  <c r="DL108" i="2"/>
  <c r="CV108" i="2"/>
  <c r="DL107" i="2"/>
  <c r="CV107" i="2"/>
  <c r="DL106" i="2"/>
  <c r="CV106" i="2"/>
  <c r="DL105" i="2"/>
  <c r="CV105" i="2"/>
  <c r="DL104" i="2"/>
  <c r="CV104" i="2"/>
  <c r="DL103" i="2"/>
  <c r="CV103" i="2"/>
  <c r="DL102" i="2"/>
  <c r="CV102" i="2"/>
  <c r="DL101" i="2"/>
  <c r="CV101" i="2"/>
  <c r="DL100" i="2"/>
  <c r="CV100" i="2"/>
  <c r="DL99" i="2"/>
  <c r="CV99" i="2"/>
  <c r="DL98" i="2"/>
  <c r="CV98" i="2"/>
  <c r="DL97" i="2"/>
  <c r="CV97" i="2"/>
  <c r="DL96" i="2"/>
  <c r="CV96" i="2"/>
  <c r="DL95" i="2"/>
  <c r="CV95" i="2"/>
  <c r="DL94" i="2"/>
  <c r="CV94" i="2"/>
  <c r="DL93" i="2"/>
  <c r="CV93" i="2"/>
  <c r="DA76" i="2"/>
  <c r="CX117" i="4" l="1"/>
  <c r="G182" i="4" s="1"/>
  <c r="BB75" i="9"/>
  <c r="AY76" i="9"/>
  <c r="AY84" i="9" s="1"/>
  <c r="BA76" i="9"/>
  <c r="BA84" i="9" s="1"/>
  <c r="AZ76" i="9"/>
  <c r="AZ84" i="9" s="1"/>
  <c r="BB76" i="9"/>
  <c r="AY75" i="9"/>
  <c r="AY83" i="9" s="1"/>
  <c r="AZ75" i="9"/>
  <c r="AZ83" i="9" s="1"/>
  <c r="BA75" i="9"/>
  <c r="BA83" i="9" s="1"/>
  <c r="BD76" i="7"/>
  <c r="BA75" i="7"/>
  <c r="BA83" i="7" s="1"/>
  <c r="BB75" i="7"/>
  <c r="BB83" i="7" s="1"/>
  <c r="BD75" i="7"/>
  <c r="AZ76" i="7"/>
  <c r="AZ84" i="7" s="1"/>
  <c r="AY75" i="7"/>
  <c r="AY83" i="7" s="1"/>
  <c r="BC76" i="7"/>
  <c r="BC84" i="7" s="1"/>
  <c r="AZ75" i="7"/>
  <c r="AZ83" i="7" s="1"/>
  <c r="BC75" i="7"/>
  <c r="BC83" i="7" s="1"/>
  <c r="AY76" i="7"/>
  <c r="AY84" i="7" s="1"/>
  <c r="BA76" i="7"/>
  <c r="BA84" i="7" s="1"/>
  <c r="BB76" i="7"/>
  <c r="BB84" i="7" s="1"/>
  <c r="BC75" i="5"/>
  <c r="BC83" i="5" s="1"/>
  <c r="AY75" i="5"/>
  <c r="AY83" i="5" s="1"/>
  <c r="AZ76" i="5"/>
  <c r="AZ84" i="5" s="1"/>
  <c r="BB75" i="5"/>
  <c r="BB83" i="5" s="1"/>
  <c r="BD75" i="5"/>
  <c r="AZ75" i="5"/>
  <c r="AZ83" i="5" s="1"/>
  <c r="BA75" i="5"/>
  <c r="BA83" i="5" s="1"/>
  <c r="BB76" i="5"/>
  <c r="BB84" i="5" s="1"/>
  <c r="BC76" i="5"/>
  <c r="BC84" i="5" s="1"/>
  <c r="AY76" i="5"/>
  <c r="AY84" i="5" s="1"/>
  <c r="BA76" i="5"/>
  <c r="BA84" i="5" s="1"/>
  <c r="BD76" i="5"/>
  <c r="DM105" i="6"/>
  <c r="DN105" i="6" s="1"/>
  <c r="DM108" i="6"/>
  <c r="DN108" i="6" s="1"/>
  <c r="DM125" i="6"/>
  <c r="DN125" i="6" s="1"/>
  <c r="DM132" i="6"/>
  <c r="DN132" i="6" s="1"/>
  <c r="DN124" i="6"/>
  <c r="DK75" i="6"/>
  <c r="DN128" i="6"/>
  <c r="DL75" i="6"/>
  <c r="DP76" i="6"/>
  <c r="DM102" i="6"/>
  <c r="DN102" i="6" s="1"/>
  <c r="DM118" i="6"/>
  <c r="DN118" i="6" s="1"/>
  <c r="DM129" i="6"/>
  <c r="DN129" i="6" s="1"/>
  <c r="DM136" i="6"/>
  <c r="DN136" i="6" s="1"/>
  <c r="DM150" i="6"/>
  <c r="DN150" i="6" s="1"/>
  <c r="DN149" i="6"/>
  <c r="DO75" i="6"/>
  <c r="DN93" i="6"/>
  <c r="DM99" i="6"/>
  <c r="DN99" i="6" s="1"/>
  <c r="DM112" i="6"/>
  <c r="DN112" i="6" s="1"/>
  <c r="DM122" i="6"/>
  <c r="DN122" i="6" s="1"/>
  <c r="DM140" i="6"/>
  <c r="DN140" i="6" s="1"/>
  <c r="DM76" i="6"/>
  <c r="DM137" i="6"/>
  <c r="DN137" i="6" s="1"/>
  <c r="DM144" i="6"/>
  <c r="DN144" i="6" s="1"/>
  <c r="DN96" i="6"/>
  <c r="DM109" i="6"/>
  <c r="DN109" i="6" s="1"/>
  <c r="DM115" i="6"/>
  <c r="DN115" i="6" s="1"/>
  <c r="DM133" i="6"/>
  <c r="DN133" i="6" s="1"/>
  <c r="DM97" i="6"/>
  <c r="DN97" i="6" s="1"/>
  <c r="DM100" i="6"/>
  <c r="DN100" i="6" s="1"/>
  <c r="DM103" i="6"/>
  <c r="DN103" i="6" s="1"/>
  <c r="DM113" i="6"/>
  <c r="DN113" i="6" s="1"/>
  <c r="DM116" i="6"/>
  <c r="DN116" i="6" s="1"/>
  <c r="DM141" i="6"/>
  <c r="DN141" i="6" s="1"/>
  <c r="DM148" i="6"/>
  <c r="DN148" i="6" s="1"/>
  <c r="DN138" i="6"/>
  <c r="DN121" i="6"/>
  <c r="DL76" i="6"/>
  <c r="DN75" i="6"/>
  <c r="DP75" i="6"/>
  <c r="DP79" i="6" s="1"/>
  <c r="DP83" i="6" s="1"/>
  <c r="DM94" i="6"/>
  <c r="DN94" i="6" s="1"/>
  <c r="DM110" i="6"/>
  <c r="DN110" i="6" s="1"/>
  <c r="DM120" i="6"/>
  <c r="DN120" i="6" s="1"/>
  <c r="DM134" i="6"/>
  <c r="DN134" i="6" s="1"/>
  <c r="DM145" i="6"/>
  <c r="DN145" i="6" s="1"/>
  <c r="DM152" i="6"/>
  <c r="DN152" i="6" s="1"/>
  <c r="CW140" i="6"/>
  <c r="CX140" i="6" s="1"/>
  <c r="CW75" i="6"/>
  <c r="DG79" i="6" s="1"/>
  <c r="DG83" i="6" s="1"/>
  <c r="CY76" i="6"/>
  <c r="DI80" i="6" s="1"/>
  <c r="DI84" i="6" s="1"/>
  <c r="CW96" i="6"/>
  <c r="CX96" i="6" s="1"/>
  <c r="CW109" i="6"/>
  <c r="CX109" i="6" s="1"/>
  <c r="CW112" i="6"/>
  <c r="CX112" i="6" s="1"/>
  <c r="CW137" i="6"/>
  <c r="CX137" i="6" s="1"/>
  <c r="CW144" i="6"/>
  <c r="CX144" i="6" s="1"/>
  <c r="CW151" i="6"/>
  <c r="CX151" i="6" s="1"/>
  <c r="CU75" i="6"/>
  <c r="DE79" i="6" s="1"/>
  <c r="DE83" i="6" s="1"/>
  <c r="CW150" i="6"/>
  <c r="CX150" i="6" s="1"/>
  <c r="CW133" i="6"/>
  <c r="CX133" i="6" s="1"/>
  <c r="CU76" i="6"/>
  <c r="DE80" i="6" s="1"/>
  <c r="DE84" i="6" s="1"/>
  <c r="CY75" i="6"/>
  <c r="DI79" i="6" s="1"/>
  <c r="DI83" i="6" s="1"/>
  <c r="CW97" i="6"/>
  <c r="CX97" i="6" s="1"/>
  <c r="CW100" i="6"/>
  <c r="CX100" i="6" s="1"/>
  <c r="CW113" i="6"/>
  <c r="CX113" i="6" s="1"/>
  <c r="CW116" i="6"/>
  <c r="CX116" i="6" s="1"/>
  <c r="CW141" i="6"/>
  <c r="CX141" i="6" s="1"/>
  <c r="CW148" i="6"/>
  <c r="CX148" i="6" s="1"/>
  <c r="CW120" i="6"/>
  <c r="CX120" i="6" s="1"/>
  <c r="CW145" i="6"/>
  <c r="CX145" i="6" s="1"/>
  <c r="CV75" i="6"/>
  <c r="DF79" i="6" s="1"/>
  <c r="DF83" i="6" s="1"/>
  <c r="CX75" i="6"/>
  <c r="DH79" i="6" s="1"/>
  <c r="DH83" i="6" s="1"/>
  <c r="CZ76" i="6"/>
  <c r="DJ80" i="6" s="1"/>
  <c r="DJ84" i="6" s="1"/>
  <c r="CW101" i="6"/>
  <c r="CX101" i="6" s="1"/>
  <c r="CW104" i="6"/>
  <c r="CX104" i="6" s="1"/>
  <c r="CW117" i="6"/>
  <c r="CX117" i="6" s="1"/>
  <c r="CW124" i="6"/>
  <c r="CX124" i="6" s="1"/>
  <c r="CW149" i="6"/>
  <c r="CX149" i="6" s="1"/>
  <c r="DP80" i="6"/>
  <c r="DP84" i="6" s="1"/>
  <c r="DK79" i="6"/>
  <c r="DK83" i="6" s="1"/>
  <c r="DN79" i="6"/>
  <c r="DN83" i="6" s="1"/>
  <c r="DM119" i="6"/>
  <c r="DN119" i="6" s="1"/>
  <c r="DM123" i="6"/>
  <c r="DN123" i="6" s="1"/>
  <c r="DM127" i="6"/>
  <c r="DN127" i="6" s="1"/>
  <c r="DM131" i="6"/>
  <c r="DN131" i="6" s="1"/>
  <c r="DM135" i="6"/>
  <c r="DN135" i="6" s="1"/>
  <c r="DM139" i="6"/>
  <c r="DN139" i="6" s="1"/>
  <c r="DM143" i="6"/>
  <c r="DN143" i="6" s="1"/>
  <c r="DM147" i="6"/>
  <c r="DN147" i="6" s="1"/>
  <c r="DM151" i="6"/>
  <c r="DN151" i="6" s="1"/>
  <c r="CZ75" i="6"/>
  <c r="DJ79" i="6" s="1"/>
  <c r="DJ83" i="6" s="1"/>
  <c r="DQ75" i="6"/>
  <c r="DK76" i="6"/>
  <c r="DK80" i="6" s="1"/>
  <c r="DK84" i="6" s="1"/>
  <c r="CW93" i="6"/>
  <c r="CX93" i="6" s="1"/>
  <c r="CV76" i="6"/>
  <c r="DF80" i="6" s="1"/>
  <c r="DF84" i="6" s="1"/>
  <c r="CW76" i="6"/>
  <c r="DG80" i="6" s="1"/>
  <c r="DG84" i="6" s="1"/>
  <c r="DN76" i="6"/>
  <c r="DN80" i="6" s="1"/>
  <c r="DN84" i="6" s="1"/>
  <c r="DM75" i="6"/>
  <c r="DM79" i="6" s="1"/>
  <c r="DM83" i="6" s="1"/>
  <c r="CX76" i="6"/>
  <c r="DH80" i="6" s="1"/>
  <c r="DH84" i="6" s="1"/>
  <c r="DO76" i="6"/>
  <c r="DO80" i="6" s="1"/>
  <c r="DO84" i="6" s="1"/>
  <c r="CW95" i="6"/>
  <c r="CX95" i="6" s="1"/>
  <c r="CW99" i="6"/>
  <c r="CX99" i="6" s="1"/>
  <c r="CW103" i="6"/>
  <c r="CX103" i="6" s="1"/>
  <c r="CW107" i="6"/>
  <c r="CX107" i="6" s="1"/>
  <c r="CW111" i="6"/>
  <c r="CX111" i="6" s="1"/>
  <c r="CW115" i="6"/>
  <c r="CX115" i="6" s="1"/>
  <c r="CW119" i="6"/>
  <c r="CX119" i="6" s="1"/>
  <c r="CW123" i="6"/>
  <c r="CX123" i="6" s="1"/>
  <c r="CW127" i="6"/>
  <c r="CX127" i="6" s="1"/>
  <c r="CW131" i="6"/>
  <c r="CX131" i="6" s="1"/>
  <c r="CW135" i="6"/>
  <c r="CX135" i="6" s="1"/>
  <c r="CW139" i="6"/>
  <c r="CX139" i="6" s="1"/>
  <c r="CW143" i="6"/>
  <c r="CX143" i="6" s="1"/>
  <c r="CW147" i="6"/>
  <c r="CX147" i="6" s="1"/>
  <c r="CW94" i="6"/>
  <c r="CX94" i="6" s="1"/>
  <c r="CW98" i="6"/>
  <c r="CX98" i="6" s="1"/>
  <c r="CW102" i="6"/>
  <c r="CX102" i="6" s="1"/>
  <c r="CW106" i="6"/>
  <c r="CX106" i="6" s="1"/>
  <c r="CW110" i="6"/>
  <c r="CX110" i="6" s="1"/>
  <c r="CW114" i="6"/>
  <c r="CX114" i="6" s="1"/>
  <c r="CW118" i="6"/>
  <c r="CX118" i="6" s="1"/>
  <c r="CW122" i="6"/>
  <c r="CX122" i="6" s="1"/>
  <c r="CW126" i="6"/>
  <c r="CX126" i="6" s="1"/>
  <c r="CW130" i="6"/>
  <c r="CX130" i="6" s="1"/>
  <c r="CW134" i="6"/>
  <c r="CX134" i="6" s="1"/>
  <c r="CW138" i="6"/>
  <c r="CX138" i="6" s="1"/>
  <c r="CW142" i="6"/>
  <c r="CX142" i="6" s="1"/>
  <c r="CW146" i="6"/>
  <c r="CX146" i="6" s="1"/>
  <c r="DM127" i="4"/>
  <c r="DN127" i="4" s="1"/>
  <c r="DM152" i="4"/>
  <c r="DN152" i="4" s="1"/>
  <c r="DM110" i="4"/>
  <c r="DN110" i="4" s="1"/>
  <c r="DM142" i="4"/>
  <c r="DN142" i="4" s="1"/>
  <c r="DK76" i="4"/>
  <c r="DM103" i="4"/>
  <c r="DN103" i="4" s="1"/>
  <c r="DM121" i="4"/>
  <c r="DM144" i="4"/>
  <c r="DM118" i="4"/>
  <c r="DN118" i="4" s="1"/>
  <c r="DM125" i="4"/>
  <c r="DN125" i="4" s="1"/>
  <c r="DM150" i="4"/>
  <c r="DN150" i="4" s="1"/>
  <c r="DM145" i="4"/>
  <c r="DN145" i="4" s="1"/>
  <c r="DM117" i="4"/>
  <c r="DM149" i="4"/>
  <c r="DN149" i="4" s="1"/>
  <c r="DM114" i="4"/>
  <c r="DN114" i="4" s="1"/>
  <c r="DM146" i="4"/>
  <c r="DN146" i="4" s="1"/>
  <c r="DM97" i="4"/>
  <c r="DN97" i="4" s="1"/>
  <c r="DM122" i="4"/>
  <c r="DN122" i="4" s="1"/>
  <c r="DM129" i="4"/>
  <c r="DN129" i="4" s="1"/>
  <c r="DM138" i="4"/>
  <c r="DN138" i="4" s="1"/>
  <c r="DM94" i="4"/>
  <c r="DN94" i="4" s="1"/>
  <c r="DM101" i="4"/>
  <c r="DN101" i="4" s="1"/>
  <c r="DM115" i="4"/>
  <c r="DN115" i="4" s="1"/>
  <c r="DM126" i="4"/>
  <c r="DN126" i="4" s="1"/>
  <c r="DM133" i="4"/>
  <c r="DN133" i="4" s="1"/>
  <c r="DM147" i="4"/>
  <c r="DN147" i="4" s="1"/>
  <c r="DQ76" i="4"/>
  <c r="DL76" i="4"/>
  <c r="DM98" i="4"/>
  <c r="DN98" i="4" s="1"/>
  <c r="DM105" i="4"/>
  <c r="DN105" i="4" s="1"/>
  <c r="DM130" i="4"/>
  <c r="DN130" i="4" s="1"/>
  <c r="DM137" i="4"/>
  <c r="DN137" i="4" s="1"/>
  <c r="DM102" i="4"/>
  <c r="DN102" i="4" s="1"/>
  <c r="DM109" i="4"/>
  <c r="DN109" i="4" s="1"/>
  <c r="DM134" i="4"/>
  <c r="DN134" i="4" s="1"/>
  <c r="DM141" i="4"/>
  <c r="DM148" i="4"/>
  <c r="CX149" i="4"/>
  <c r="G214" i="4" s="1"/>
  <c r="CX125" i="4"/>
  <c r="G190" i="4" s="1"/>
  <c r="CX97" i="4"/>
  <c r="G162" i="4" s="1"/>
  <c r="CX129" i="4"/>
  <c r="G194" i="4" s="1"/>
  <c r="CU75" i="4"/>
  <c r="CX101" i="4"/>
  <c r="G166" i="4" s="1"/>
  <c r="CY75" i="4"/>
  <c r="CX105" i="4"/>
  <c r="G170" i="4" s="1"/>
  <c r="CX137" i="4"/>
  <c r="G202" i="4" s="1"/>
  <c r="CX121" i="4"/>
  <c r="G186" i="4" s="1"/>
  <c r="CW76" i="4"/>
  <c r="CX133" i="4"/>
  <c r="G198" i="4" s="1"/>
  <c r="DA75" i="4"/>
  <c r="DG80" i="4" s="1"/>
  <c r="DG84" i="4" s="1"/>
  <c r="CX95" i="4"/>
  <c r="G160" i="4" s="1"/>
  <c r="CX109" i="4"/>
  <c r="G174" i="4" s="1"/>
  <c r="CX141" i="4"/>
  <c r="G206" i="4" s="1"/>
  <c r="CX113" i="4"/>
  <c r="G178" i="4" s="1"/>
  <c r="CX145" i="4"/>
  <c r="G210" i="4" s="1"/>
  <c r="CX150" i="4"/>
  <c r="G215" i="4" s="1"/>
  <c r="CX146" i="4"/>
  <c r="G211" i="4" s="1"/>
  <c r="E288" i="4" s="1"/>
  <c r="CX142" i="4"/>
  <c r="G207" i="4" s="1"/>
  <c r="CX138" i="4"/>
  <c r="G203" i="4" s="1"/>
  <c r="CX134" i="4"/>
  <c r="G199" i="4" s="1"/>
  <c r="CX130" i="4"/>
  <c r="G195" i="4" s="1"/>
  <c r="CX126" i="4"/>
  <c r="G191" i="4" s="1"/>
  <c r="CX122" i="4"/>
  <c r="G187" i="4" s="1"/>
  <c r="CX118" i="4"/>
  <c r="G183" i="4" s="1"/>
  <c r="CX114" i="4"/>
  <c r="G179" i="4" s="1"/>
  <c r="CX110" i="4"/>
  <c r="G175" i="4" s="1"/>
  <c r="CX106" i="4"/>
  <c r="G171" i="4" s="1"/>
  <c r="CX102" i="4"/>
  <c r="G167" i="4" s="1"/>
  <c r="CX98" i="4"/>
  <c r="G163" i="4" s="1"/>
  <c r="CX94" i="4"/>
  <c r="G159" i="4" s="1"/>
  <c r="CX127" i="4"/>
  <c r="G192" i="4" s="1"/>
  <c r="CX136" i="4"/>
  <c r="G201" i="4" s="1"/>
  <c r="DM76" i="4"/>
  <c r="DM75" i="4"/>
  <c r="DO75" i="4"/>
  <c r="DO76" i="4"/>
  <c r="CU76" i="4"/>
  <c r="CX100" i="4"/>
  <c r="G165" i="4" s="1"/>
  <c r="CX107" i="4"/>
  <c r="G172" i="4" s="1"/>
  <c r="CX116" i="4"/>
  <c r="G181" i="4" s="1"/>
  <c r="CX132" i="4"/>
  <c r="G197" i="4" s="1"/>
  <c r="CX139" i="4"/>
  <c r="G204" i="4" s="1"/>
  <c r="CX151" i="4"/>
  <c r="G216" i="4" s="1"/>
  <c r="CX75" i="4"/>
  <c r="CX76" i="4"/>
  <c r="DN144" i="4"/>
  <c r="DN141" i="4"/>
  <c r="DN148" i="4"/>
  <c r="CX96" i="4"/>
  <c r="G161" i="4" s="1"/>
  <c r="CX103" i="4"/>
  <c r="G168" i="4" s="1"/>
  <c r="CX112" i="4"/>
  <c r="G177" i="4" s="1"/>
  <c r="CX119" i="4"/>
  <c r="G184" i="4" s="1"/>
  <c r="CX128" i="4"/>
  <c r="G193" i="4" s="1"/>
  <c r="CX135" i="4"/>
  <c r="G200" i="4" s="1"/>
  <c r="CX144" i="4"/>
  <c r="G209" i="4" s="1"/>
  <c r="DL75" i="4"/>
  <c r="DN75" i="4"/>
  <c r="DP76" i="4"/>
  <c r="DN121" i="4"/>
  <c r="CX111" i="4"/>
  <c r="G176" i="4" s="1"/>
  <c r="CX143" i="4"/>
  <c r="G208" i="4" s="1"/>
  <c r="DK75" i="4"/>
  <c r="CX123" i="4"/>
  <c r="G188" i="4" s="1"/>
  <c r="CX104" i="4"/>
  <c r="G169" i="4" s="1"/>
  <c r="CX120" i="4"/>
  <c r="G185" i="4" s="1"/>
  <c r="DQ75" i="4"/>
  <c r="DK80" i="4" s="1"/>
  <c r="DK84" i="4" s="1"/>
  <c r="CX93" i="4"/>
  <c r="G158" i="4" s="1"/>
  <c r="CX148" i="4"/>
  <c r="G213" i="4" s="1"/>
  <c r="CV75" i="4"/>
  <c r="DF79" i="4" s="1"/>
  <c r="DF83" i="4" s="1"/>
  <c r="CV76" i="4"/>
  <c r="CZ76" i="4"/>
  <c r="DJ80" i="4" s="1"/>
  <c r="DJ84" i="4" s="1"/>
  <c r="DA76" i="4"/>
  <c r="CZ75" i="4"/>
  <c r="CX99" i="4"/>
  <c r="G164" i="4" s="1"/>
  <c r="CX108" i="4"/>
  <c r="G173" i="4" s="1"/>
  <c r="CX115" i="4"/>
  <c r="G180" i="4" s="1"/>
  <c r="CX124" i="4"/>
  <c r="G189" i="4" s="1"/>
  <c r="CX131" i="4"/>
  <c r="G196" i="4" s="1"/>
  <c r="CX140" i="4"/>
  <c r="G205" i="4" s="1"/>
  <c r="CX147" i="4"/>
  <c r="G212" i="4" s="1"/>
  <c r="CX152" i="4"/>
  <c r="G217" i="4" s="1"/>
  <c r="CW75" i="4"/>
  <c r="CY76" i="4"/>
  <c r="DI80" i="4" s="1"/>
  <c r="DI84" i="4" s="1"/>
  <c r="DN117" i="4"/>
  <c r="DN76" i="4"/>
  <c r="DM93" i="4"/>
  <c r="DN93" i="4" s="1"/>
  <c r="DM96" i="4"/>
  <c r="DN96" i="4" s="1"/>
  <c r="DM100" i="4"/>
  <c r="DN100" i="4" s="1"/>
  <c r="DM104" i="4"/>
  <c r="DN104" i="4" s="1"/>
  <c r="DM108" i="4"/>
  <c r="DN108" i="4" s="1"/>
  <c r="DM112" i="4"/>
  <c r="DN112" i="4" s="1"/>
  <c r="DM116" i="4"/>
  <c r="DN116" i="4" s="1"/>
  <c r="DM120" i="4"/>
  <c r="DN120" i="4" s="1"/>
  <c r="DM124" i="4"/>
  <c r="DN124" i="4" s="1"/>
  <c r="DM128" i="4"/>
  <c r="DN128" i="4" s="1"/>
  <c r="DM132" i="4"/>
  <c r="DN132" i="4" s="1"/>
  <c r="DM136" i="4"/>
  <c r="DN136" i="4" s="1"/>
  <c r="DM140" i="4"/>
  <c r="DN140" i="4" s="1"/>
  <c r="DL75" i="2"/>
  <c r="DN75" i="2"/>
  <c r="DP76" i="2"/>
  <c r="DQ76" i="2"/>
  <c r="DL76" i="2"/>
  <c r="DO75" i="2"/>
  <c r="DP75" i="2"/>
  <c r="DK75" i="2"/>
  <c r="DM75" i="2"/>
  <c r="DO76" i="2"/>
  <c r="CV75" i="2"/>
  <c r="CX76" i="2"/>
  <c r="CZ75" i="2"/>
  <c r="DA75" i="2"/>
  <c r="DE80" i="2" s="1"/>
  <c r="DE84" i="2" s="1"/>
  <c r="CU75" i="2"/>
  <c r="CW75" i="2"/>
  <c r="CY76" i="2"/>
  <c r="DQ75" i="2"/>
  <c r="DK76" i="2"/>
  <c r="CV76" i="2"/>
  <c r="DM76" i="2"/>
  <c r="CW76" i="2"/>
  <c r="DN76" i="2"/>
  <c r="C226" i="9"/>
  <c r="D226" i="9"/>
  <c r="C227" i="9"/>
  <c r="D227" i="9"/>
  <c r="C228" i="9"/>
  <c r="D228" i="9"/>
  <c r="B228" i="9"/>
  <c r="B227" i="9"/>
  <c r="B226" i="9"/>
  <c r="C221" i="9"/>
  <c r="D221" i="9"/>
  <c r="C222" i="9"/>
  <c r="D222" i="9"/>
  <c r="C223" i="9"/>
  <c r="D223" i="9"/>
  <c r="B223" i="9"/>
  <c r="B222" i="9"/>
  <c r="B221" i="9"/>
  <c r="D232" i="7"/>
  <c r="C232" i="7"/>
  <c r="B232" i="7"/>
  <c r="D231" i="7"/>
  <c r="C231" i="7"/>
  <c r="B231" i="7"/>
  <c r="D230" i="7"/>
  <c r="C230" i="7"/>
  <c r="B230" i="7"/>
  <c r="D229" i="7"/>
  <c r="C229" i="7"/>
  <c r="B229" i="7"/>
  <c r="D228" i="7"/>
  <c r="C228" i="7"/>
  <c r="B228" i="7"/>
  <c r="D225" i="7"/>
  <c r="C225" i="7"/>
  <c r="B225" i="7"/>
  <c r="D224" i="7"/>
  <c r="C224" i="7"/>
  <c r="B224" i="7"/>
  <c r="D223" i="7"/>
  <c r="C223" i="7"/>
  <c r="B223" i="7"/>
  <c r="D222" i="7"/>
  <c r="C222" i="7"/>
  <c r="B222" i="7"/>
  <c r="D221" i="7"/>
  <c r="C221" i="7"/>
  <c r="B221" i="7"/>
  <c r="C228" i="5"/>
  <c r="D228" i="5"/>
  <c r="C229" i="5"/>
  <c r="D229" i="5"/>
  <c r="C230" i="5"/>
  <c r="D230" i="5"/>
  <c r="C231" i="5"/>
  <c r="D231" i="5"/>
  <c r="C232" i="5"/>
  <c r="D232" i="5"/>
  <c r="B232" i="5"/>
  <c r="B231" i="5"/>
  <c r="B230" i="5"/>
  <c r="B229" i="5"/>
  <c r="B228" i="5"/>
  <c r="C221" i="5"/>
  <c r="D221" i="5"/>
  <c r="C222" i="5"/>
  <c r="D222" i="5"/>
  <c r="C223" i="5"/>
  <c r="D223" i="5"/>
  <c r="C224" i="5"/>
  <c r="D224" i="5"/>
  <c r="C225" i="5"/>
  <c r="D225" i="5"/>
  <c r="B225" i="5"/>
  <c r="B224" i="5"/>
  <c r="B223" i="5"/>
  <c r="B222" i="5"/>
  <c r="B284" i="6"/>
  <c r="B285" i="6"/>
  <c r="B286" i="6"/>
  <c r="B287" i="6"/>
  <c r="B288" i="6"/>
  <c r="B289" i="6"/>
  <c r="B290" i="6"/>
  <c r="B291" i="6"/>
  <c r="B292" i="6"/>
  <c r="B293" i="6"/>
  <c r="B294" i="6"/>
  <c r="B221" i="5"/>
  <c r="D308" i="6"/>
  <c r="C308" i="6"/>
  <c r="B308" i="6"/>
  <c r="D307" i="6"/>
  <c r="C307" i="6"/>
  <c r="B307" i="6"/>
  <c r="D306" i="6"/>
  <c r="C306" i="6"/>
  <c r="B306" i="6"/>
  <c r="D305" i="6"/>
  <c r="C305" i="6"/>
  <c r="B305" i="6"/>
  <c r="D304" i="6"/>
  <c r="C304" i="6"/>
  <c r="B304" i="6"/>
  <c r="D303" i="6"/>
  <c r="C303" i="6"/>
  <c r="B303" i="6"/>
  <c r="D302" i="6"/>
  <c r="C302" i="6"/>
  <c r="B302" i="6"/>
  <c r="D301" i="6"/>
  <c r="C301" i="6"/>
  <c r="B301" i="6"/>
  <c r="D300" i="6"/>
  <c r="C300" i="6"/>
  <c r="B300" i="6"/>
  <c r="D299" i="6"/>
  <c r="C299" i="6"/>
  <c r="B299" i="6"/>
  <c r="D298" i="6"/>
  <c r="C298" i="6"/>
  <c r="B298" i="6"/>
  <c r="D297" i="6"/>
  <c r="C297" i="6"/>
  <c r="B297" i="6"/>
  <c r="D294" i="6"/>
  <c r="C294" i="6"/>
  <c r="D293" i="6"/>
  <c r="C293" i="6"/>
  <c r="D292" i="6"/>
  <c r="C292" i="6"/>
  <c r="D291" i="6"/>
  <c r="C291" i="6"/>
  <c r="D290" i="6"/>
  <c r="C290" i="6"/>
  <c r="D289" i="6"/>
  <c r="C289" i="6"/>
  <c r="D288" i="6"/>
  <c r="C288" i="6"/>
  <c r="D287" i="6"/>
  <c r="C287" i="6"/>
  <c r="D286" i="6"/>
  <c r="C286" i="6"/>
  <c r="D285" i="6"/>
  <c r="C285" i="6"/>
  <c r="D284" i="6"/>
  <c r="C284" i="6"/>
  <c r="D283" i="6"/>
  <c r="C283" i="6"/>
  <c r="B283" i="6"/>
  <c r="D308" i="4"/>
  <c r="C308" i="4"/>
  <c r="B308" i="4"/>
  <c r="D307" i="4"/>
  <c r="C307" i="4"/>
  <c r="B307" i="4"/>
  <c r="D306" i="4"/>
  <c r="C306" i="4"/>
  <c r="B306" i="4"/>
  <c r="D305" i="4"/>
  <c r="C305" i="4"/>
  <c r="B305" i="4"/>
  <c r="D304" i="4"/>
  <c r="C304" i="4"/>
  <c r="B304" i="4"/>
  <c r="D303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D294" i="4"/>
  <c r="C294" i="4"/>
  <c r="B294" i="4"/>
  <c r="D293" i="4"/>
  <c r="C293" i="4"/>
  <c r="B293" i="4"/>
  <c r="D292" i="4"/>
  <c r="C292" i="4"/>
  <c r="B292" i="4"/>
  <c r="D291" i="4"/>
  <c r="C291" i="4"/>
  <c r="B291" i="4"/>
  <c r="D290" i="4"/>
  <c r="C290" i="4"/>
  <c r="B290" i="4"/>
  <c r="D289" i="4"/>
  <c r="C289" i="4"/>
  <c r="B289" i="4"/>
  <c r="C288" i="4"/>
  <c r="B288" i="4"/>
  <c r="C287" i="4"/>
  <c r="B287" i="4"/>
  <c r="B286" i="4"/>
  <c r="C285" i="4"/>
  <c r="B285" i="4"/>
  <c r="C284" i="4"/>
  <c r="B284" i="4"/>
  <c r="C283" i="4"/>
  <c r="B283" i="4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158" i="9"/>
  <c r="AJ152" i="9"/>
  <c r="AK152" i="9" s="1"/>
  <c r="AL152" i="9" s="1"/>
  <c r="AJ151" i="9"/>
  <c r="AK151" i="9" s="1"/>
  <c r="AL151" i="9" s="1"/>
  <c r="AJ150" i="9"/>
  <c r="AJ149" i="9"/>
  <c r="AK149" i="9" s="1"/>
  <c r="AL149" i="9" s="1"/>
  <c r="AJ148" i="9"/>
  <c r="AK148" i="9" s="1"/>
  <c r="AL148" i="9" s="1"/>
  <c r="AJ147" i="9"/>
  <c r="AJ146" i="9"/>
  <c r="AK145" i="9"/>
  <c r="AL145" i="9" s="1"/>
  <c r="AJ145" i="9"/>
  <c r="AJ144" i="9"/>
  <c r="AK144" i="9" s="1"/>
  <c r="AL144" i="9" s="1"/>
  <c r="AJ143" i="9"/>
  <c r="AJ142" i="9"/>
  <c r="AJ141" i="9"/>
  <c r="AK141" i="9" s="1"/>
  <c r="AL141" i="9" s="1"/>
  <c r="AJ140" i="9"/>
  <c r="AK140" i="9" s="1"/>
  <c r="AL140" i="9" s="1"/>
  <c r="AJ139" i="9"/>
  <c r="AJ138" i="9"/>
  <c r="AK137" i="9"/>
  <c r="AL137" i="9" s="1"/>
  <c r="AJ137" i="9"/>
  <c r="AJ136" i="9"/>
  <c r="AK136" i="9" s="1"/>
  <c r="AL136" i="9" s="1"/>
  <c r="AJ135" i="9"/>
  <c r="AJ134" i="9"/>
  <c r="AJ133" i="9"/>
  <c r="AK133" i="9" s="1"/>
  <c r="AL133" i="9" s="1"/>
  <c r="AJ132" i="9"/>
  <c r="AK132" i="9" s="1"/>
  <c r="AL132" i="9" s="1"/>
  <c r="AJ131" i="9"/>
  <c r="AJ130" i="9"/>
  <c r="AK129" i="9"/>
  <c r="AL129" i="9" s="1"/>
  <c r="AJ129" i="9"/>
  <c r="AJ128" i="9"/>
  <c r="AK128" i="9" s="1"/>
  <c r="AL128" i="9" s="1"/>
  <c r="AJ127" i="9"/>
  <c r="AJ126" i="9"/>
  <c r="AJ125" i="9"/>
  <c r="AK125" i="9" s="1"/>
  <c r="AL125" i="9" s="1"/>
  <c r="AJ124" i="9"/>
  <c r="AK124" i="9" s="1"/>
  <c r="AL124" i="9" s="1"/>
  <c r="AJ123" i="9"/>
  <c r="AJ122" i="9"/>
  <c r="AK121" i="9"/>
  <c r="AL121" i="9" s="1"/>
  <c r="AJ121" i="9"/>
  <c r="AJ120" i="9"/>
  <c r="AK120" i="9" s="1"/>
  <c r="AL120" i="9" s="1"/>
  <c r="AJ119" i="9"/>
  <c r="AJ118" i="9"/>
  <c r="AJ117" i="9"/>
  <c r="AK117" i="9" s="1"/>
  <c r="AL117" i="9" s="1"/>
  <c r="AJ116" i="9"/>
  <c r="AK116" i="9" s="1"/>
  <c r="AL116" i="9" s="1"/>
  <c r="AJ115" i="9"/>
  <c r="AJ114" i="9"/>
  <c r="AK113" i="9"/>
  <c r="AL113" i="9" s="1"/>
  <c r="AJ113" i="9"/>
  <c r="AJ112" i="9"/>
  <c r="AK112" i="9" s="1"/>
  <c r="AL112" i="9" s="1"/>
  <c r="AJ111" i="9"/>
  <c r="AJ110" i="9"/>
  <c r="AJ109" i="9"/>
  <c r="AK109" i="9" s="1"/>
  <c r="AL109" i="9" s="1"/>
  <c r="AJ108" i="9"/>
  <c r="AK108" i="9" s="1"/>
  <c r="AL108" i="9" s="1"/>
  <c r="AJ107" i="9"/>
  <c r="AJ106" i="9"/>
  <c r="AK105" i="9"/>
  <c r="AL105" i="9" s="1"/>
  <c r="AJ105" i="9"/>
  <c r="AJ104" i="9"/>
  <c r="AK104" i="9" s="1"/>
  <c r="AL104" i="9" s="1"/>
  <c r="AJ103" i="9"/>
  <c r="AJ102" i="9"/>
  <c r="AJ101" i="9"/>
  <c r="AK101" i="9" s="1"/>
  <c r="AL101" i="9" s="1"/>
  <c r="AJ100" i="9"/>
  <c r="AK100" i="9" s="1"/>
  <c r="AL100" i="9" s="1"/>
  <c r="AJ99" i="9"/>
  <c r="AJ98" i="9"/>
  <c r="AK97" i="9"/>
  <c r="AL97" i="9" s="1"/>
  <c r="AJ97" i="9"/>
  <c r="AJ96" i="9"/>
  <c r="AK96" i="9" s="1"/>
  <c r="AL96" i="9" s="1"/>
  <c r="AJ95" i="9"/>
  <c r="AJ94" i="9"/>
  <c r="AJ93" i="9"/>
  <c r="AK147" i="9" s="1"/>
  <c r="AL147" i="9" s="1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158" i="9"/>
  <c r="T152" i="9"/>
  <c r="U152" i="9" s="1"/>
  <c r="V152" i="9" s="1"/>
  <c r="T151" i="9"/>
  <c r="U151" i="9" s="1"/>
  <c r="V151" i="9" s="1"/>
  <c r="T150" i="9"/>
  <c r="T149" i="9"/>
  <c r="U149" i="9" s="1"/>
  <c r="V149" i="9" s="1"/>
  <c r="T148" i="9"/>
  <c r="U148" i="9" s="1"/>
  <c r="V148" i="9" s="1"/>
  <c r="T147" i="9"/>
  <c r="T146" i="9"/>
  <c r="U145" i="9"/>
  <c r="V145" i="9" s="1"/>
  <c r="T145" i="9"/>
  <c r="T144" i="9"/>
  <c r="U144" i="9" s="1"/>
  <c r="V144" i="9" s="1"/>
  <c r="T143" i="9"/>
  <c r="U143" i="9" s="1"/>
  <c r="V143" i="9" s="1"/>
  <c r="T142" i="9"/>
  <c r="T141" i="9"/>
  <c r="U141" i="9" s="1"/>
  <c r="V141" i="9" s="1"/>
  <c r="T140" i="9"/>
  <c r="U140" i="9" s="1"/>
  <c r="V140" i="9" s="1"/>
  <c r="T139" i="9"/>
  <c r="T138" i="9"/>
  <c r="U137" i="9"/>
  <c r="V137" i="9" s="1"/>
  <c r="T137" i="9"/>
  <c r="T136" i="9"/>
  <c r="U136" i="9" s="1"/>
  <c r="V136" i="9" s="1"/>
  <c r="T135" i="9"/>
  <c r="U135" i="9" s="1"/>
  <c r="V135" i="9" s="1"/>
  <c r="T134" i="9"/>
  <c r="T133" i="9"/>
  <c r="U133" i="9" s="1"/>
  <c r="V133" i="9" s="1"/>
  <c r="T132" i="9"/>
  <c r="U132" i="9" s="1"/>
  <c r="V132" i="9" s="1"/>
  <c r="T131" i="9"/>
  <c r="T130" i="9"/>
  <c r="U129" i="9"/>
  <c r="V129" i="9" s="1"/>
  <c r="T129" i="9"/>
  <c r="T128" i="9"/>
  <c r="U128" i="9" s="1"/>
  <c r="V128" i="9" s="1"/>
  <c r="T127" i="9"/>
  <c r="U127" i="9" s="1"/>
  <c r="V127" i="9" s="1"/>
  <c r="T126" i="9"/>
  <c r="T125" i="9"/>
  <c r="U125" i="9" s="1"/>
  <c r="V125" i="9" s="1"/>
  <c r="T124" i="9"/>
  <c r="U124" i="9" s="1"/>
  <c r="V124" i="9" s="1"/>
  <c r="T123" i="9"/>
  <c r="T122" i="9"/>
  <c r="U121" i="9"/>
  <c r="V121" i="9" s="1"/>
  <c r="T121" i="9"/>
  <c r="T120" i="9"/>
  <c r="U120" i="9" s="1"/>
  <c r="V120" i="9" s="1"/>
  <c r="T119" i="9"/>
  <c r="U119" i="9" s="1"/>
  <c r="V119" i="9" s="1"/>
  <c r="T118" i="9"/>
  <c r="T117" i="9"/>
  <c r="U117" i="9" s="1"/>
  <c r="V117" i="9" s="1"/>
  <c r="T116" i="9"/>
  <c r="U116" i="9" s="1"/>
  <c r="V116" i="9" s="1"/>
  <c r="T115" i="9"/>
  <c r="T114" i="9"/>
  <c r="U113" i="9"/>
  <c r="V113" i="9" s="1"/>
  <c r="T113" i="9"/>
  <c r="T112" i="9"/>
  <c r="U112" i="9" s="1"/>
  <c r="V112" i="9" s="1"/>
  <c r="T111" i="9"/>
  <c r="U111" i="9" s="1"/>
  <c r="V111" i="9" s="1"/>
  <c r="T110" i="9"/>
  <c r="T109" i="9"/>
  <c r="U109" i="9" s="1"/>
  <c r="V109" i="9" s="1"/>
  <c r="T108" i="9"/>
  <c r="U108" i="9" s="1"/>
  <c r="V108" i="9" s="1"/>
  <c r="T107" i="9"/>
  <c r="T106" i="9"/>
  <c r="U105" i="9"/>
  <c r="V105" i="9" s="1"/>
  <c r="T105" i="9"/>
  <c r="T104" i="9"/>
  <c r="U104" i="9" s="1"/>
  <c r="V104" i="9" s="1"/>
  <c r="T103" i="9"/>
  <c r="U98" i="9" s="1"/>
  <c r="V98" i="9" s="1"/>
  <c r="T102" i="9"/>
  <c r="T101" i="9"/>
  <c r="U101" i="9" s="1"/>
  <c r="V101" i="9" s="1"/>
  <c r="T100" i="9"/>
  <c r="U100" i="9" s="1"/>
  <c r="V100" i="9" s="1"/>
  <c r="T99" i="9"/>
  <c r="T98" i="9"/>
  <c r="U97" i="9"/>
  <c r="V97" i="9" s="1"/>
  <c r="T97" i="9"/>
  <c r="T96" i="9"/>
  <c r="U96" i="9" s="1"/>
  <c r="V96" i="9" s="1"/>
  <c r="T95" i="9"/>
  <c r="U95" i="9" s="1"/>
  <c r="V95" i="9" s="1"/>
  <c r="T94" i="9"/>
  <c r="T93" i="9"/>
  <c r="U147" i="9" s="1"/>
  <c r="V147" i="9" s="1"/>
  <c r="D152" i="9"/>
  <c r="E152" i="9" s="1"/>
  <c r="D151" i="9"/>
  <c r="E151" i="9" s="1"/>
  <c r="D150" i="9"/>
  <c r="E149" i="9"/>
  <c r="D149" i="9"/>
  <c r="D148" i="9"/>
  <c r="D147" i="9"/>
  <c r="D146" i="9"/>
  <c r="D145" i="9"/>
  <c r="E145" i="9" s="1"/>
  <c r="D144" i="9"/>
  <c r="E144" i="9" s="1"/>
  <c r="F144" i="9" s="1"/>
  <c r="D143" i="9"/>
  <c r="E143" i="9" s="1"/>
  <c r="E142" i="9"/>
  <c r="D142" i="9"/>
  <c r="E141" i="9"/>
  <c r="D141" i="9"/>
  <c r="D140" i="9"/>
  <c r="D139" i="9"/>
  <c r="D138" i="9"/>
  <c r="D137" i="9"/>
  <c r="E137" i="9" s="1"/>
  <c r="D136" i="9"/>
  <c r="E136" i="9" s="1"/>
  <c r="D135" i="9"/>
  <c r="E135" i="9" s="1"/>
  <c r="D134" i="9"/>
  <c r="E133" i="9"/>
  <c r="D133" i="9"/>
  <c r="D132" i="9"/>
  <c r="D131" i="9"/>
  <c r="D130" i="9"/>
  <c r="D129" i="9"/>
  <c r="E129" i="9" s="1"/>
  <c r="D128" i="9"/>
  <c r="E128" i="9" s="1"/>
  <c r="D127" i="9"/>
  <c r="E127" i="9" s="1"/>
  <c r="D126" i="9"/>
  <c r="E125" i="9"/>
  <c r="F125" i="9" s="1"/>
  <c r="D125" i="9"/>
  <c r="D124" i="9"/>
  <c r="D123" i="9"/>
  <c r="D122" i="9"/>
  <c r="D121" i="9"/>
  <c r="E121" i="9" s="1"/>
  <c r="D120" i="9"/>
  <c r="E120" i="9" s="1"/>
  <c r="D119" i="9"/>
  <c r="E119" i="9" s="1"/>
  <c r="F119" i="9" s="1"/>
  <c r="D118" i="9"/>
  <c r="E117" i="9"/>
  <c r="D117" i="9"/>
  <c r="D116" i="9"/>
  <c r="D115" i="9"/>
  <c r="D114" i="9"/>
  <c r="D113" i="9"/>
  <c r="E113" i="9" s="1"/>
  <c r="F113" i="9" s="1"/>
  <c r="D112" i="9"/>
  <c r="E112" i="9" s="1"/>
  <c r="D111" i="9"/>
  <c r="E111" i="9" s="1"/>
  <c r="E110" i="9"/>
  <c r="D110" i="9"/>
  <c r="E109" i="9"/>
  <c r="D109" i="9"/>
  <c r="D108" i="9"/>
  <c r="D107" i="9"/>
  <c r="D106" i="9"/>
  <c r="D105" i="9"/>
  <c r="E105" i="9" s="1"/>
  <c r="D104" i="9"/>
  <c r="E104" i="9" s="1"/>
  <c r="D103" i="9"/>
  <c r="E103" i="9" s="1"/>
  <c r="E102" i="9"/>
  <c r="D102" i="9"/>
  <c r="E101" i="9"/>
  <c r="F101" i="9" s="1"/>
  <c r="D101" i="9"/>
  <c r="D100" i="9"/>
  <c r="D99" i="9"/>
  <c r="D98" i="9"/>
  <c r="D97" i="9"/>
  <c r="E97" i="9" s="1"/>
  <c r="D96" i="9"/>
  <c r="E96" i="9" s="1"/>
  <c r="D95" i="9"/>
  <c r="E95" i="9" s="1"/>
  <c r="F95" i="9" s="1"/>
  <c r="E94" i="9"/>
  <c r="D94" i="9"/>
  <c r="E93" i="9"/>
  <c r="D93" i="9"/>
  <c r="E148" i="9" s="1"/>
  <c r="AJ152" i="7"/>
  <c r="AK152" i="7" s="1"/>
  <c r="AL152" i="7" s="1"/>
  <c r="F217" i="7" s="1"/>
  <c r="T152" i="7"/>
  <c r="U152" i="7" s="1"/>
  <c r="V152" i="7" s="1"/>
  <c r="E217" i="7" s="1"/>
  <c r="D152" i="7"/>
  <c r="E152" i="7" s="1"/>
  <c r="F152" i="7" s="1"/>
  <c r="D217" i="7" s="1"/>
  <c r="AJ151" i="7"/>
  <c r="T151" i="7"/>
  <c r="U151" i="7" s="1"/>
  <c r="V151" i="7" s="1"/>
  <c r="D151" i="7"/>
  <c r="AJ150" i="7"/>
  <c r="T150" i="7"/>
  <c r="U150" i="7" s="1"/>
  <c r="V150" i="7" s="1"/>
  <c r="E215" i="7" s="1"/>
  <c r="D150" i="7"/>
  <c r="E150" i="7" s="1"/>
  <c r="F150" i="7" s="1"/>
  <c r="D215" i="7" s="1"/>
  <c r="AJ149" i="7"/>
  <c r="T149" i="7"/>
  <c r="U149" i="7" s="1"/>
  <c r="E149" i="7"/>
  <c r="F149" i="7" s="1"/>
  <c r="D214" i="7" s="1"/>
  <c r="D149" i="7"/>
  <c r="AJ148" i="7"/>
  <c r="T148" i="7"/>
  <c r="D148" i="7"/>
  <c r="AJ147" i="7"/>
  <c r="T147" i="7"/>
  <c r="U147" i="7" s="1"/>
  <c r="D147" i="7"/>
  <c r="E147" i="7" s="1"/>
  <c r="F147" i="7" s="1"/>
  <c r="D212" i="7" s="1"/>
  <c r="AJ146" i="7"/>
  <c r="U146" i="7"/>
  <c r="V146" i="7" s="1"/>
  <c r="T146" i="7"/>
  <c r="D146" i="7"/>
  <c r="E146" i="7" s="1"/>
  <c r="F146" i="7" s="1"/>
  <c r="D211" i="7" s="1"/>
  <c r="AJ145" i="7"/>
  <c r="T145" i="7"/>
  <c r="D145" i="7"/>
  <c r="E145" i="7" s="1"/>
  <c r="F145" i="7" s="1"/>
  <c r="D210" i="7" s="1"/>
  <c r="AJ144" i="7"/>
  <c r="T144" i="7"/>
  <c r="U144" i="7" s="1"/>
  <c r="V144" i="7" s="1"/>
  <c r="D144" i="7"/>
  <c r="AK143" i="7"/>
  <c r="AL143" i="7" s="1"/>
  <c r="AJ143" i="7"/>
  <c r="T143" i="7"/>
  <c r="U143" i="7" s="1"/>
  <c r="V143" i="7" s="1"/>
  <c r="D143" i="7"/>
  <c r="AJ142" i="7"/>
  <c r="T142" i="7"/>
  <c r="U142" i="7" s="1"/>
  <c r="V142" i="7" s="1"/>
  <c r="D142" i="7"/>
  <c r="AJ141" i="7"/>
  <c r="T141" i="7"/>
  <c r="U141" i="7" s="1"/>
  <c r="V141" i="7" s="1"/>
  <c r="E141" i="7"/>
  <c r="F141" i="7" s="1"/>
  <c r="D206" i="7" s="1"/>
  <c r="D141" i="7"/>
  <c r="AJ140" i="7"/>
  <c r="T140" i="7"/>
  <c r="D140" i="7"/>
  <c r="AJ139" i="7"/>
  <c r="AK139" i="7" s="1"/>
  <c r="AL139" i="7" s="1"/>
  <c r="F204" i="7" s="1"/>
  <c r="T139" i="7"/>
  <c r="U139" i="7" s="1"/>
  <c r="V139" i="7" s="1"/>
  <c r="E204" i="7" s="1"/>
  <c r="D139" i="7"/>
  <c r="AJ138" i="7"/>
  <c r="U138" i="7"/>
  <c r="V138" i="7" s="1"/>
  <c r="E203" i="7" s="1"/>
  <c r="T138" i="7"/>
  <c r="D138" i="7"/>
  <c r="E138" i="7" s="1"/>
  <c r="F138" i="7" s="1"/>
  <c r="D203" i="7" s="1"/>
  <c r="AJ137" i="7"/>
  <c r="T137" i="7"/>
  <c r="D137" i="7"/>
  <c r="E137" i="7" s="1"/>
  <c r="F137" i="7" s="1"/>
  <c r="D202" i="7" s="1"/>
  <c r="AJ136" i="7"/>
  <c r="T136" i="7"/>
  <c r="D136" i="7"/>
  <c r="AJ135" i="7"/>
  <c r="T135" i="7"/>
  <c r="U135" i="7" s="1"/>
  <c r="V135" i="7" s="1"/>
  <c r="D135" i="7"/>
  <c r="AJ134" i="7"/>
  <c r="T134" i="7"/>
  <c r="U134" i="7" s="1"/>
  <c r="V134" i="7" s="1"/>
  <c r="D134" i="7"/>
  <c r="E134" i="7" s="1"/>
  <c r="AJ133" i="7"/>
  <c r="T133" i="7"/>
  <c r="U133" i="7" s="1"/>
  <c r="E133" i="7"/>
  <c r="F133" i="7" s="1"/>
  <c r="D198" i="7" s="1"/>
  <c r="D133" i="7"/>
  <c r="AJ132" i="7"/>
  <c r="T132" i="7"/>
  <c r="D132" i="7"/>
  <c r="AJ131" i="7"/>
  <c r="T131" i="7"/>
  <c r="U131" i="7" s="1"/>
  <c r="D131" i="7"/>
  <c r="AJ130" i="7"/>
  <c r="U130" i="7"/>
  <c r="V130" i="7" s="1"/>
  <c r="T130" i="7"/>
  <c r="D130" i="7"/>
  <c r="E130" i="7" s="1"/>
  <c r="F130" i="7" s="1"/>
  <c r="D195" i="7" s="1"/>
  <c r="AJ129" i="7"/>
  <c r="T129" i="7"/>
  <c r="D129" i="7"/>
  <c r="E129" i="7" s="1"/>
  <c r="F129" i="7" s="1"/>
  <c r="D194" i="7" s="1"/>
  <c r="AJ128" i="7"/>
  <c r="T128" i="7"/>
  <c r="D128" i="7"/>
  <c r="AJ127" i="7"/>
  <c r="T127" i="7"/>
  <c r="U127" i="7" s="1"/>
  <c r="V127" i="7" s="1"/>
  <c r="D127" i="7"/>
  <c r="AJ126" i="7"/>
  <c r="T126" i="7"/>
  <c r="U126" i="7" s="1"/>
  <c r="V126" i="7" s="1"/>
  <c r="D126" i="7"/>
  <c r="AJ125" i="7"/>
  <c r="T125" i="7"/>
  <c r="U125" i="7" s="1"/>
  <c r="E125" i="7"/>
  <c r="F125" i="7" s="1"/>
  <c r="D190" i="7" s="1"/>
  <c r="D125" i="7"/>
  <c r="AJ124" i="7"/>
  <c r="AK124" i="7" s="1"/>
  <c r="AL124" i="7" s="1"/>
  <c r="T124" i="7"/>
  <c r="D124" i="7"/>
  <c r="AJ123" i="7"/>
  <c r="T123" i="7"/>
  <c r="U123" i="7" s="1"/>
  <c r="D123" i="7"/>
  <c r="AJ122" i="7"/>
  <c r="U122" i="7"/>
  <c r="V122" i="7" s="1"/>
  <c r="E187" i="7" s="1"/>
  <c r="T122" i="7"/>
  <c r="D122" i="7"/>
  <c r="E122" i="7" s="1"/>
  <c r="F122" i="7" s="1"/>
  <c r="D187" i="7" s="1"/>
  <c r="AJ121" i="7"/>
  <c r="T121" i="7"/>
  <c r="D121" i="7"/>
  <c r="E121" i="7" s="1"/>
  <c r="F121" i="7" s="1"/>
  <c r="D186" i="7" s="1"/>
  <c r="AJ120" i="7"/>
  <c r="T120" i="7"/>
  <c r="D120" i="7"/>
  <c r="E120" i="7" s="1"/>
  <c r="F120" i="7" s="1"/>
  <c r="D185" i="7" s="1"/>
  <c r="AJ119" i="7"/>
  <c r="T119" i="7"/>
  <c r="U119" i="7" s="1"/>
  <c r="V119" i="7" s="1"/>
  <c r="D119" i="7"/>
  <c r="AJ118" i="7"/>
  <c r="T118" i="7"/>
  <c r="U118" i="7" s="1"/>
  <c r="V118" i="7" s="1"/>
  <c r="E183" i="7" s="1"/>
  <c r="D118" i="7"/>
  <c r="E118" i="7" s="1"/>
  <c r="F118" i="7" s="1"/>
  <c r="D183" i="7" s="1"/>
  <c r="AJ117" i="7"/>
  <c r="T117" i="7"/>
  <c r="U117" i="7" s="1"/>
  <c r="E117" i="7"/>
  <c r="F117" i="7" s="1"/>
  <c r="D182" i="7" s="1"/>
  <c r="D117" i="7"/>
  <c r="AJ116" i="7"/>
  <c r="T116" i="7"/>
  <c r="D116" i="7"/>
  <c r="AJ115" i="7"/>
  <c r="T115" i="7"/>
  <c r="U115" i="7" s="1"/>
  <c r="D115" i="7"/>
  <c r="AJ114" i="7"/>
  <c r="U114" i="7"/>
  <c r="V114" i="7" s="1"/>
  <c r="T114" i="7"/>
  <c r="D114" i="7"/>
  <c r="E114" i="7" s="1"/>
  <c r="F114" i="7" s="1"/>
  <c r="D179" i="7" s="1"/>
  <c r="AJ113" i="7"/>
  <c r="T113" i="7"/>
  <c r="D113" i="7"/>
  <c r="E113" i="7" s="1"/>
  <c r="F113" i="7" s="1"/>
  <c r="D178" i="7" s="1"/>
  <c r="AJ112" i="7"/>
  <c r="T112" i="7"/>
  <c r="D112" i="7"/>
  <c r="E112" i="7" s="1"/>
  <c r="AK111" i="7"/>
  <c r="AL111" i="7" s="1"/>
  <c r="AJ111" i="7"/>
  <c r="T111" i="7"/>
  <c r="U111" i="7" s="1"/>
  <c r="V111" i="7" s="1"/>
  <c r="D111" i="7"/>
  <c r="AJ110" i="7"/>
  <c r="T110" i="7"/>
  <c r="D110" i="7"/>
  <c r="E110" i="7" s="1"/>
  <c r="AJ109" i="7"/>
  <c r="T109" i="7"/>
  <c r="U109" i="7" s="1"/>
  <c r="V109" i="7" s="1"/>
  <c r="E109" i="7"/>
  <c r="F109" i="7" s="1"/>
  <c r="D174" i="7" s="1"/>
  <c r="D109" i="7"/>
  <c r="AJ108" i="7"/>
  <c r="T108" i="7"/>
  <c r="D108" i="7"/>
  <c r="AJ107" i="7"/>
  <c r="T107" i="7"/>
  <c r="U107" i="7" s="1"/>
  <c r="V107" i="7" s="1"/>
  <c r="D107" i="7"/>
  <c r="AJ106" i="7"/>
  <c r="U106" i="7"/>
  <c r="V106" i="7" s="1"/>
  <c r="E171" i="7" s="1"/>
  <c r="T106" i="7"/>
  <c r="D106" i="7"/>
  <c r="E106" i="7" s="1"/>
  <c r="F106" i="7" s="1"/>
  <c r="D171" i="7" s="1"/>
  <c r="AJ105" i="7"/>
  <c r="T105" i="7"/>
  <c r="D105" i="7"/>
  <c r="AJ104" i="7"/>
  <c r="T104" i="7"/>
  <c r="D104" i="7"/>
  <c r="E104" i="7" s="1"/>
  <c r="AJ103" i="7"/>
  <c r="T103" i="7"/>
  <c r="U103" i="7" s="1"/>
  <c r="V103" i="7" s="1"/>
  <c r="D103" i="7"/>
  <c r="AJ102" i="7"/>
  <c r="T102" i="7"/>
  <c r="D102" i="7"/>
  <c r="E102" i="7" s="1"/>
  <c r="F102" i="7" s="1"/>
  <c r="D167" i="7" s="1"/>
  <c r="AJ101" i="7"/>
  <c r="T101" i="7"/>
  <c r="U101" i="7" s="1"/>
  <c r="E101" i="7"/>
  <c r="F101" i="7" s="1"/>
  <c r="D166" i="7" s="1"/>
  <c r="D101" i="7"/>
  <c r="AJ100" i="7"/>
  <c r="AK100" i="7" s="1"/>
  <c r="AL100" i="7" s="1"/>
  <c r="T100" i="7"/>
  <c r="D100" i="7"/>
  <c r="AJ99" i="7"/>
  <c r="T99" i="7"/>
  <c r="U99" i="7" s="1"/>
  <c r="V99" i="7" s="1"/>
  <c r="D99" i="7"/>
  <c r="AJ98" i="7"/>
  <c r="U98" i="7"/>
  <c r="V98" i="7" s="1"/>
  <c r="E163" i="7" s="1"/>
  <c r="T98" i="7"/>
  <c r="D98" i="7"/>
  <c r="E98" i="7" s="1"/>
  <c r="F98" i="7" s="1"/>
  <c r="D163" i="7" s="1"/>
  <c r="AJ97" i="7"/>
  <c r="T97" i="7"/>
  <c r="D97" i="7"/>
  <c r="AJ96" i="7"/>
  <c r="T96" i="7"/>
  <c r="D96" i="7"/>
  <c r="AK95" i="7"/>
  <c r="AL95" i="7" s="1"/>
  <c r="AJ95" i="7"/>
  <c r="T95" i="7"/>
  <c r="U95" i="7" s="1"/>
  <c r="V95" i="7" s="1"/>
  <c r="D95" i="7"/>
  <c r="AJ94" i="7"/>
  <c r="AK133" i="7" s="1"/>
  <c r="AL133" i="7" s="1"/>
  <c r="T94" i="7"/>
  <c r="D94" i="7"/>
  <c r="E94" i="7" s="1"/>
  <c r="AJ93" i="7"/>
  <c r="AK141" i="7" s="1"/>
  <c r="AL141" i="7" s="1"/>
  <c r="F206" i="7" s="1"/>
  <c r="T93" i="7"/>
  <c r="U136" i="7" s="1"/>
  <c r="V136" i="7" s="1"/>
  <c r="E93" i="7"/>
  <c r="F93" i="7" s="1"/>
  <c r="D158" i="7" s="1"/>
  <c r="D93" i="7"/>
  <c r="E139" i="7" s="1"/>
  <c r="F139" i="7" s="1"/>
  <c r="D204" i="7" s="1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158" i="5"/>
  <c r="AK94" i="5"/>
  <c r="AL94" i="5" s="1"/>
  <c r="AK95" i="5"/>
  <c r="AL95" i="5"/>
  <c r="AK96" i="5"/>
  <c r="AL96" i="5" s="1"/>
  <c r="AK97" i="5"/>
  <c r="AL97" i="5" s="1"/>
  <c r="AK98" i="5"/>
  <c r="AL98" i="5" s="1"/>
  <c r="AK99" i="5"/>
  <c r="AL99" i="5"/>
  <c r="AK100" i="5"/>
  <c r="AL100" i="5" s="1"/>
  <c r="AK101" i="5"/>
  <c r="AL101" i="5" s="1"/>
  <c r="AK102" i="5"/>
  <c r="AL102" i="5" s="1"/>
  <c r="AK103" i="5"/>
  <c r="AL103" i="5"/>
  <c r="AK104" i="5"/>
  <c r="AL104" i="5" s="1"/>
  <c r="AK105" i="5"/>
  <c r="AL105" i="5" s="1"/>
  <c r="AK106" i="5"/>
  <c r="AL106" i="5" s="1"/>
  <c r="AK107" i="5"/>
  <c r="AL107" i="5"/>
  <c r="AK108" i="5"/>
  <c r="AL108" i="5" s="1"/>
  <c r="AK109" i="5"/>
  <c r="AL109" i="5" s="1"/>
  <c r="AK110" i="5"/>
  <c r="AL110" i="5" s="1"/>
  <c r="AK111" i="5"/>
  <c r="AL111" i="5"/>
  <c r="AK112" i="5"/>
  <c r="AL112" i="5" s="1"/>
  <c r="AK113" i="5"/>
  <c r="AL113" i="5" s="1"/>
  <c r="AK114" i="5"/>
  <c r="AL114" i="5" s="1"/>
  <c r="AK115" i="5"/>
  <c r="AL115" i="5"/>
  <c r="AK116" i="5"/>
  <c r="AL116" i="5" s="1"/>
  <c r="AK117" i="5"/>
  <c r="AL117" i="5" s="1"/>
  <c r="AK118" i="5"/>
  <c r="AL118" i="5" s="1"/>
  <c r="AK119" i="5"/>
  <c r="AL119" i="5"/>
  <c r="AK120" i="5"/>
  <c r="AL120" i="5" s="1"/>
  <c r="AK121" i="5"/>
  <c r="AL121" i="5" s="1"/>
  <c r="AK122" i="5"/>
  <c r="AL122" i="5" s="1"/>
  <c r="AK123" i="5"/>
  <c r="AL123" i="5"/>
  <c r="AK124" i="5"/>
  <c r="AL124" i="5" s="1"/>
  <c r="AK125" i="5"/>
  <c r="AL125" i="5" s="1"/>
  <c r="AK126" i="5"/>
  <c r="AL126" i="5" s="1"/>
  <c r="AK127" i="5"/>
  <c r="AL127" i="5"/>
  <c r="AK128" i="5"/>
  <c r="AL128" i="5" s="1"/>
  <c r="AK129" i="5"/>
  <c r="AL129" i="5" s="1"/>
  <c r="AK130" i="5"/>
  <c r="AL130" i="5" s="1"/>
  <c r="AK131" i="5"/>
  <c r="AL131" i="5"/>
  <c r="AK132" i="5"/>
  <c r="AL132" i="5" s="1"/>
  <c r="AK133" i="5"/>
  <c r="AL133" i="5" s="1"/>
  <c r="AK134" i="5"/>
  <c r="AL134" i="5" s="1"/>
  <c r="AK135" i="5"/>
  <c r="AL135" i="5"/>
  <c r="AK136" i="5"/>
  <c r="AL136" i="5" s="1"/>
  <c r="AK137" i="5"/>
  <c r="AL137" i="5" s="1"/>
  <c r="AK138" i="5"/>
  <c r="AL138" i="5" s="1"/>
  <c r="AK139" i="5"/>
  <c r="AL139" i="5"/>
  <c r="AK140" i="5"/>
  <c r="AL140" i="5" s="1"/>
  <c r="AK141" i="5"/>
  <c r="AL141" i="5" s="1"/>
  <c r="AK142" i="5"/>
  <c r="AL142" i="5" s="1"/>
  <c r="AK143" i="5"/>
  <c r="AL143" i="5"/>
  <c r="AK144" i="5"/>
  <c r="AL144" i="5" s="1"/>
  <c r="AK145" i="5"/>
  <c r="AL145" i="5" s="1"/>
  <c r="AK146" i="5"/>
  <c r="AL146" i="5" s="1"/>
  <c r="AK147" i="5"/>
  <c r="AL147" i="5"/>
  <c r="AK148" i="5"/>
  <c r="AL148" i="5" s="1"/>
  <c r="AK149" i="5"/>
  <c r="AL149" i="5" s="1"/>
  <c r="AK150" i="5"/>
  <c r="AL150" i="5" s="1"/>
  <c r="AK151" i="5"/>
  <c r="AL151" i="5"/>
  <c r="AK152" i="5"/>
  <c r="AL152" i="5" s="1"/>
  <c r="AL93" i="5"/>
  <c r="AK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93" i="5"/>
  <c r="AJ152" i="5"/>
  <c r="T152" i="5"/>
  <c r="D152" i="5"/>
  <c r="AJ151" i="5"/>
  <c r="T151" i="5"/>
  <c r="D151" i="5"/>
  <c r="AJ150" i="5"/>
  <c r="T150" i="5"/>
  <c r="D150" i="5"/>
  <c r="AJ149" i="5"/>
  <c r="T149" i="5"/>
  <c r="D149" i="5"/>
  <c r="AJ148" i="5"/>
  <c r="T148" i="5"/>
  <c r="D148" i="5"/>
  <c r="AJ147" i="5"/>
  <c r="T147" i="5"/>
  <c r="D147" i="5"/>
  <c r="AJ146" i="5"/>
  <c r="T146" i="5"/>
  <c r="D146" i="5"/>
  <c r="AJ145" i="5"/>
  <c r="T145" i="5"/>
  <c r="D145" i="5"/>
  <c r="AJ144" i="5"/>
  <c r="T144" i="5"/>
  <c r="D144" i="5"/>
  <c r="AJ143" i="5"/>
  <c r="T143" i="5"/>
  <c r="D143" i="5"/>
  <c r="AJ142" i="5"/>
  <c r="T142" i="5"/>
  <c r="D142" i="5"/>
  <c r="AJ141" i="5"/>
  <c r="T141" i="5"/>
  <c r="D141" i="5"/>
  <c r="AJ140" i="5"/>
  <c r="T140" i="5"/>
  <c r="D140" i="5"/>
  <c r="AJ139" i="5"/>
  <c r="T139" i="5"/>
  <c r="D139" i="5"/>
  <c r="AJ138" i="5"/>
  <c r="T138" i="5"/>
  <c r="D138" i="5"/>
  <c r="AJ137" i="5"/>
  <c r="T137" i="5"/>
  <c r="D137" i="5"/>
  <c r="AJ136" i="5"/>
  <c r="T136" i="5"/>
  <c r="D136" i="5"/>
  <c r="AJ135" i="5"/>
  <c r="T135" i="5"/>
  <c r="D135" i="5"/>
  <c r="AJ134" i="5"/>
  <c r="T134" i="5"/>
  <c r="D134" i="5"/>
  <c r="AJ133" i="5"/>
  <c r="T133" i="5"/>
  <c r="D133" i="5"/>
  <c r="AJ132" i="5"/>
  <c r="T132" i="5"/>
  <c r="D132" i="5"/>
  <c r="AJ131" i="5"/>
  <c r="T131" i="5"/>
  <c r="D131" i="5"/>
  <c r="AJ130" i="5"/>
  <c r="T130" i="5"/>
  <c r="D130" i="5"/>
  <c r="AJ129" i="5"/>
  <c r="T129" i="5"/>
  <c r="D129" i="5"/>
  <c r="AJ128" i="5"/>
  <c r="T128" i="5"/>
  <c r="D128" i="5"/>
  <c r="AJ127" i="5"/>
  <c r="T127" i="5"/>
  <c r="D127" i="5"/>
  <c r="AJ126" i="5"/>
  <c r="T126" i="5"/>
  <c r="D126" i="5"/>
  <c r="AJ125" i="5"/>
  <c r="T125" i="5"/>
  <c r="D125" i="5"/>
  <c r="AJ124" i="5"/>
  <c r="T124" i="5"/>
  <c r="D124" i="5"/>
  <c r="AJ123" i="5"/>
  <c r="T123" i="5"/>
  <c r="D123" i="5"/>
  <c r="AJ122" i="5"/>
  <c r="T122" i="5"/>
  <c r="D122" i="5"/>
  <c r="AJ121" i="5"/>
  <c r="T121" i="5"/>
  <c r="D121" i="5"/>
  <c r="AJ120" i="5"/>
  <c r="T120" i="5"/>
  <c r="D120" i="5"/>
  <c r="AJ119" i="5"/>
  <c r="T119" i="5"/>
  <c r="D119" i="5"/>
  <c r="AJ118" i="5"/>
  <c r="T118" i="5"/>
  <c r="D118" i="5"/>
  <c r="AJ117" i="5"/>
  <c r="T117" i="5"/>
  <c r="D117" i="5"/>
  <c r="AJ116" i="5"/>
  <c r="T116" i="5"/>
  <c r="D116" i="5"/>
  <c r="AJ115" i="5"/>
  <c r="T115" i="5"/>
  <c r="D115" i="5"/>
  <c r="AJ114" i="5"/>
  <c r="T114" i="5"/>
  <c r="D114" i="5"/>
  <c r="AJ113" i="5"/>
  <c r="T113" i="5"/>
  <c r="D113" i="5"/>
  <c r="AJ112" i="5"/>
  <c r="T112" i="5"/>
  <c r="D112" i="5"/>
  <c r="AJ111" i="5"/>
  <c r="T111" i="5"/>
  <c r="D111" i="5"/>
  <c r="AJ110" i="5"/>
  <c r="T110" i="5"/>
  <c r="D110" i="5"/>
  <c r="AJ109" i="5"/>
  <c r="T109" i="5"/>
  <c r="D109" i="5"/>
  <c r="AJ108" i="5"/>
  <c r="T108" i="5"/>
  <c r="D108" i="5"/>
  <c r="AJ107" i="5"/>
  <c r="T107" i="5"/>
  <c r="D107" i="5"/>
  <c r="AJ106" i="5"/>
  <c r="T106" i="5"/>
  <c r="D106" i="5"/>
  <c r="AJ105" i="5"/>
  <c r="T105" i="5"/>
  <c r="D105" i="5"/>
  <c r="AJ104" i="5"/>
  <c r="T104" i="5"/>
  <c r="D104" i="5"/>
  <c r="AJ103" i="5"/>
  <c r="T103" i="5"/>
  <c r="D103" i="5"/>
  <c r="AJ102" i="5"/>
  <c r="T102" i="5"/>
  <c r="D102" i="5"/>
  <c r="AJ101" i="5"/>
  <c r="T101" i="5"/>
  <c r="D101" i="5"/>
  <c r="AJ100" i="5"/>
  <c r="T100" i="5"/>
  <c r="D100" i="5"/>
  <c r="AJ99" i="5"/>
  <c r="T99" i="5"/>
  <c r="D99" i="5"/>
  <c r="AJ98" i="5"/>
  <c r="T98" i="5"/>
  <c r="D98" i="5"/>
  <c r="AJ97" i="5"/>
  <c r="T97" i="5"/>
  <c r="D97" i="5"/>
  <c r="AJ96" i="5"/>
  <c r="T96" i="5"/>
  <c r="D96" i="5"/>
  <c r="AJ95" i="5"/>
  <c r="T95" i="5"/>
  <c r="D95" i="5"/>
  <c r="AJ94" i="5"/>
  <c r="T94" i="5"/>
  <c r="D94" i="5"/>
  <c r="AJ93" i="5"/>
  <c r="T93" i="5"/>
  <c r="D93" i="5"/>
  <c r="CF152" i="6"/>
  <c r="BP152" i="6"/>
  <c r="AZ152" i="6"/>
  <c r="AJ152" i="6"/>
  <c r="T152" i="6"/>
  <c r="D152" i="6"/>
  <c r="CF151" i="6"/>
  <c r="BP151" i="6"/>
  <c r="AZ151" i="6"/>
  <c r="AJ151" i="6"/>
  <c r="T151" i="6"/>
  <c r="D151" i="6"/>
  <c r="CF150" i="6"/>
  <c r="BP150" i="6"/>
  <c r="AZ150" i="6"/>
  <c r="AJ150" i="6"/>
  <c r="T150" i="6"/>
  <c r="D150" i="6"/>
  <c r="CF149" i="6"/>
  <c r="BP149" i="6"/>
  <c r="AZ149" i="6"/>
  <c r="AJ149" i="6"/>
  <c r="T149" i="6"/>
  <c r="D149" i="6"/>
  <c r="CF148" i="6"/>
  <c r="BP148" i="6"/>
  <c r="AZ148" i="6"/>
  <c r="AJ148" i="6"/>
  <c r="T148" i="6"/>
  <c r="D148" i="6"/>
  <c r="CF147" i="6"/>
  <c r="BP147" i="6"/>
  <c r="AZ147" i="6"/>
  <c r="AJ147" i="6"/>
  <c r="T147" i="6"/>
  <c r="D147" i="6"/>
  <c r="CF146" i="6"/>
  <c r="BP146" i="6"/>
  <c r="AZ146" i="6"/>
  <c r="AJ146" i="6"/>
  <c r="T146" i="6"/>
  <c r="D146" i="6"/>
  <c r="E146" i="6" s="1"/>
  <c r="F146" i="6" s="1"/>
  <c r="D211" i="6" s="1"/>
  <c r="CF145" i="6"/>
  <c r="BP145" i="6"/>
  <c r="AZ145" i="6"/>
  <c r="AJ145" i="6"/>
  <c r="T145" i="6"/>
  <c r="D145" i="6"/>
  <c r="CF144" i="6"/>
  <c r="BP144" i="6"/>
  <c r="AZ144" i="6"/>
  <c r="AJ144" i="6"/>
  <c r="T144" i="6"/>
  <c r="D144" i="6"/>
  <c r="CF143" i="6"/>
  <c r="BP143" i="6"/>
  <c r="AZ143" i="6"/>
  <c r="AJ143" i="6"/>
  <c r="T143" i="6"/>
  <c r="D143" i="6"/>
  <c r="CF142" i="6"/>
  <c r="BP142" i="6"/>
  <c r="AZ142" i="6"/>
  <c r="AJ142" i="6"/>
  <c r="T142" i="6"/>
  <c r="D142" i="6"/>
  <c r="CF141" i="6"/>
  <c r="BP141" i="6"/>
  <c r="AZ141" i="6"/>
  <c r="AJ141" i="6"/>
  <c r="T141" i="6"/>
  <c r="D141" i="6"/>
  <c r="CF140" i="6"/>
  <c r="BP140" i="6"/>
  <c r="AZ140" i="6"/>
  <c r="AJ140" i="6"/>
  <c r="T140" i="6"/>
  <c r="D140" i="6"/>
  <c r="CF139" i="6"/>
  <c r="BP139" i="6"/>
  <c r="BQ139" i="6" s="1"/>
  <c r="BR139" i="6" s="1"/>
  <c r="AZ139" i="6"/>
  <c r="AJ139" i="6"/>
  <c r="T139" i="6"/>
  <c r="D139" i="6"/>
  <c r="CF138" i="6"/>
  <c r="BP138" i="6"/>
  <c r="AZ138" i="6"/>
  <c r="AJ138" i="6"/>
  <c r="T138" i="6"/>
  <c r="D138" i="6"/>
  <c r="CF137" i="6"/>
  <c r="BP137" i="6"/>
  <c r="AZ137" i="6"/>
  <c r="AJ137" i="6"/>
  <c r="T137" i="6"/>
  <c r="D137" i="6"/>
  <c r="CF136" i="6"/>
  <c r="BP136" i="6"/>
  <c r="AZ136" i="6"/>
  <c r="AJ136" i="6"/>
  <c r="T136" i="6"/>
  <c r="D136" i="6"/>
  <c r="CF135" i="6"/>
  <c r="BP135" i="6"/>
  <c r="AZ135" i="6"/>
  <c r="AJ135" i="6"/>
  <c r="T135" i="6"/>
  <c r="D135" i="6"/>
  <c r="CF134" i="6"/>
  <c r="BP134" i="6"/>
  <c r="AZ134" i="6"/>
  <c r="AJ134" i="6"/>
  <c r="AK134" i="6" s="1"/>
  <c r="AL134" i="6" s="1"/>
  <c r="T134" i="6"/>
  <c r="D134" i="6"/>
  <c r="CF133" i="6"/>
  <c r="BP133" i="6"/>
  <c r="AZ133" i="6"/>
  <c r="AJ133" i="6"/>
  <c r="T133" i="6"/>
  <c r="D133" i="6"/>
  <c r="CF132" i="6"/>
  <c r="BP132" i="6"/>
  <c r="AZ132" i="6"/>
  <c r="AJ132" i="6"/>
  <c r="T132" i="6"/>
  <c r="U132" i="6" s="1"/>
  <c r="D132" i="6"/>
  <c r="CF131" i="6"/>
  <c r="BP131" i="6"/>
  <c r="AZ131" i="6"/>
  <c r="AJ131" i="6"/>
  <c r="T131" i="6"/>
  <c r="D131" i="6"/>
  <c r="CF130" i="6"/>
  <c r="BP130" i="6"/>
  <c r="AZ130" i="6"/>
  <c r="AJ130" i="6"/>
  <c r="T130" i="6"/>
  <c r="D130" i="6"/>
  <c r="E130" i="6" s="1"/>
  <c r="F130" i="6" s="1"/>
  <c r="D195" i="6" s="1"/>
  <c r="CF129" i="6"/>
  <c r="BP129" i="6"/>
  <c r="AZ129" i="6"/>
  <c r="AJ129" i="6"/>
  <c r="T129" i="6"/>
  <c r="D129" i="6"/>
  <c r="E129" i="6" s="1"/>
  <c r="F129" i="6" s="1"/>
  <c r="D194" i="6" s="1"/>
  <c r="CF128" i="6"/>
  <c r="BP128" i="6"/>
  <c r="AZ128" i="6"/>
  <c r="AJ128" i="6"/>
  <c r="T128" i="6"/>
  <c r="D128" i="6"/>
  <c r="CF127" i="6"/>
  <c r="BP127" i="6"/>
  <c r="AZ127" i="6"/>
  <c r="AJ127" i="6"/>
  <c r="T127" i="6"/>
  <c r="D127" i="6"/>
  <c r="CF126" i="6"/>
  <c r="BP126" i="6"/>
  <c r="AZ126" i="6"/>
  <c r="AJ126" i="6"/>
  <c r="T126" i="6"/>
  <c r="D126" i="6"/>
  <c r="CF125" i="6"/>
  <c r="BP125" i="6"/>
  <c r="AZ125" i="6"/>
  <c r="AJ125" i="6"/>
  <c r="T125" i="6"/>
  <c r="D125" i="6"/>
  <c r="CF124" i="6"/>
  <c r="BP124" i="6"/>
  <c r="AZ124" i="6"/>
  <c r="AJ124" i="6"/>
  <c r="T124" i="6"/>
  <c r="D124" i="6"/>
  <c r="CF123" i="6"/>
  <c r="BP123" i="6"/>
  <c r="AZ123" i="6"/>
  <c r="AJ123" i="6"/>
  <c r="AK123" i="6" s="1"/>
  <c r="AL123" i="6" s="1"/>
  <c r="T123" i="6"/>
  <c r="D123" i="6"/>
  <c r="CF122" i="6"/>
  <c r="BP122" i="6"/>
  <c r="AZ122" i="6"/>
  <c r="AJ122" i="6"/>
  <c r="T122" i="6"/>
  <c r="D122" i="6"/>
  <c r="CF121" i="6"/>
  <c r="BP121" i="6"/>
  <c r="AZ121" i="6"/>
  <c r="AJ121" i="6"/>
  <c r="T121" i="6"/>
  <c r="D121" i="6"/>
  <c r="CF120" i="6"/>
  <c r="BP120" i="6"/>
  <c r="AZ120" i="6"/>
  <c r="AJ120" i="6"/>
  <c r="AK120" i="6" s="1"/>
  <c r="AL120" i="6" s="1"/>
  <c r="T120" i="6"/>
  <c r="U120" i="6" s="1"/>
  <c r="V120" i="6" s="1"/>
  <c r="D247" i="6" s="1"/>
  <c r="D120" i="6"/>
  <c r="CF119" i="6"/>
  <c r="BP119" i="6"/>
  <c r="AZ119" i="6"/>
  <c r="AJ119" i="6"/>
  <c r="T119" i="6"/>
  <c r="D119" i="6"/>
  <c r="CF118" i="6"/>
  <c r="BP118" i="6"/>
  <c r="AZ118" i="6"/>
  <c r="AJ118" i="6"/>
  <c r="T118" i="6"/>
  <c r="D118" i="6"/>
  <c r="CF117" i="6"/>
  <c r="BP117" i="6"/>
  <c r="AZ117" i="6"/>
  <c r="AJ117" i="6"/>
  <c r="T117" i="6"/>
  <c r="D117" i="6"/>
  <c r="CF116" i="6"/>
  <c r="BP116" i="6"/>
  <c r="AZ116" i="6"/>
  <c r="AJ116" i="6"/>
  <c r="T116" i="6"/>
  <c r="D116" i="6"/>
  <c r="CF115" i="6"/>
  <c r="BQ115" i="6"/>
  <c r="BR115" i="6" s="1"/>
  <c r="BP115" i="6"/>
  <c r="AZ115" i="6"/>
  <c r="AJ115" i="6"/>
  <c r="T115" i="6"/>
  <c r="D115" i="6"/>
  <c r="CF114" i="6"/>
  <c r="BP114" i="6"/>
  <c r="AZ114" i="6"/>
  <c r="AJ114" i="6"/>
  <c r="T114" i="6"/>
  <c r="D114" i="6"/>
  <c r="CF113" i="6"/>
  <c r="BP113" i="6"/>
  <c r="AZ113" i="6"/>
  <c r="BA113" i="6" s="1"/>
  <c r="BB113" i="6" s="1"/>
  <c r="AJ113" i="6"/>
  <c r="T113" i="6"/>
  <c r="D113" i="6"/>
  <c r="CF112" i="6"/>
  <c r="BP112" i="6"/>
  <c r="AZ112" i="6"/>
  <c r="AJ112" i="6"/>
  <c r="T112" i="6"/>
  <c r="D112" i="6"/>
  <c r="CF111" i="6"/>
  <c r="BP111" i="6"/>
  <c r="AZ111" i="6"/>
  <c r="BA111" i="6" s="1"/>
  <c r="BB111" i="6" s="1"/>
  <c r="AJ111" i="6"/>
  <c r="T111" i="6"/>
  <c r="D111" i="6"/>
  <c r="E111" i="6" s="1"/>
  <c r="F111" i="6" s="1"/>
  <c r="D176" i="6" s="1"/>
  <c r="CF110" i="6"/>
  <c r="CG110" i="6" s="1"/>
  <c r="CH110" i="6" s="1"/>
  <c r="BP110" i="6"/>
  <c r="AZ110" i="6"/>
  <c r="BA110" i="6" s="1"/>
  <c r="BB110" i="6" s="1"/>
  <c r="AJ110" i="6"/>
  <c r="T110" i="6"/>
  <c r="D110" i="6"/>
  <c r="E110" i="6" s="1"/>
  <c r="F110" i="6" s="1"/>
  <c r="D175" i="6" s="1"/>
  <c r="CF109" i="6"/>
  <c r="BP109" i="6"/>
  <c r="AZ109" i="6"/>
  <c r="BA109" i="6" s="1"/>
  <c r="BB109" i="6" s="1"/>
  <c r="AJ109" i="6"/>
  <c r="T109" i="6"/>
  <c r="U109" i="6" s="1"/>
  <c r="D109" i="6"/>
  <c r="CF108" i="6"/>
  <c r="BP108" i="6"/>
  <c r="AZ108" i="6"/>
  <c r="AJ108" i="6"/>
  <c r="AK108" i="6" s="1"/>
  <c r="AL108" i="6" s="1"/>
  <c r="U108" i="6"/>
  <c r="T108" i="6"/>
  <c r="D108" i="6"/>
  <c r="CF107" i="6"/>
  <c r="BP107" i="6"/>
  <c r="AZ107" i="6"/>
  <c r="AJ107" i="6"/>
  <c r="T107" i="6"/>
  <c r="D107" i="6"/>
  <c r="CF106" i="6"/>
  <c r="BP106" i="6"/>
  <c r="BQ106" i="6" s="1"/>
  <c r="BR106" i="6" s="1"/>
  <c r="AZ106" i="6"/>
  <c r="AJ106" i="6"/>
  <c r="U106" i="6"/>
  <c r="V106" i="6" s="1"/>
  <c r="D233" i="6" s="1"/>
  <c r="T106" i="6"/>
  <c r="D106" i="6"/>
  <c r="CF105" i="6"/>
  <c r="BP105" i="6"/>
  <c r="BQ105" i="6" s="1"/>
  <c r="BR105" i="6" s="1"/>
  <c r="AZ105" i="6"/>
  <c r="AJ105" i="6"/>
  <c r="T105" i="6"/>
  <c r="U105" i="6" s="1"/>
  <c r="V105" i="6" s="1"/>
  <c r="D232" i="6" s="1"/>
  <c r="D105" i="6"/>
  <c r="CF104" i="6"/>
  <c r="CG104" i="6" s="1"/>
  <c r="CH104" i="6" s="1"/>
  <c r="BP104" i="6"/>
  <c r="AZ104" i="6"/>
  <c r="AJ104" i="6"/>
  <c r="AK104" i="6" s="1"/>
  <c r="AL104" i="6" s="1"/>
  <c r="T104" i="6"/>
  <c r="D104" i="6"/>
  <c r="CF103" i="6"/>
  <c r="BP103" i="6"/>
  <c r="AZ103" i="6"/>
  <c r="AJ103" i="6"/>
  <c r="T103" i="6"/>
  <c r="D103" i="6"/>
  <c r="E107" i="6" s="1"/>
  <c r="F107" i="6" s="1"/>
  <c r="D172" i="6" s="1"/>
  <c r="CF102" i="6"/>
  <c r="BP102" i="6"/>
  <c r="AZ102" i="6"/>
  <c r="BA102" i="6" s="1"/>
  <c r="BB102" i="6" s="1"/>
  <c r="AJ102" i="6"/>
  <c r="T102" i="6"/>
  <c r="U102" i="6" s="1"/>
  <c r="V102" i="6" s="1"/>
  <c r="D229" i="6" s="1"/>
  <c r="D102" i="6"/>
  <c r="CF101" i="6"/>
  <c r="BP101" i="6"/>
  <c r="BQ101" i="6" s="1"/>
  <c r="BR101" i="6" s="1"/>
  <c r="AZ101" i="6"/>
  <c r="AJ101" i="6"/>
  <c r="T101" i="6"/>
  <c r="U101" i="6" s="1"/>
  <c r="V101" i="6" s="1"/>
  <c r="D228" i="6" s="1"/>
  <c r="D101" i="6"/>
  <c r="CF100" i="6"/>
  <c r="CG100" i="6" s="1"/>
  <c r="CH100" i="6" s="1"/>
  <c r="BP100" i="6"/>
  <c r="AZ100" i="6"/>
  <c r="AJ100" i="6"/>
  <c r="AK100" i="6" s="1"/>
  <c r="AL100" i="6" s="1"/>
  <c r="T100" i="6"/>
  <c r="D100" i="6"/>
  <c r="CF99" i="6"/>
  <c r="CG99" i="6" s="1"/>
  <c r="CH99" i="6" s="1"/>
  <c r="BP99" i="6"/>
  <c r="AZ99" i="6"/>
  <c r="BA99" i="6" s="1"/>
  <c r="BB99" i="6" s="1"/>
  <c r="AJ99" i="6"/>
  <c r="T99" i="6"/>
  <c r="D99" i="6"/>
  <c r="E99" i="6" s="1"/>
  <c r="F99" i="6" s="1"/>
  <c r="D164" i="6" s="1"/>
  <c r="CF98" i="6"/>
  <c r="BP98" i="6"/>
  <c r="AZ98" i="6"/>
  <c r="BA98" i="6" s="1"/>
  <c r="BB98" i="6" s="1"/>
  <c r="AJ98" i="6"/>
  <c r="T98" i="6"/>
  <c r="U98" i="6" s="1"/>
  <c r="V98" i="6" s="1"/>
  <c r="D225" i="6" s="1"/>
  <c r="D98" i="6"/>
  <c r="CF97" i="6"/>
  <c r="BP97" i="6"/>
  <c r="BQ97" i="6" s="1"/>
  <c r="BR97" i="6" s="1"/>
  <c r="AZ97" i="6"/>
  <c r="AJ97" i="6"/>
  <c r="T97" i="6"/>
  <c r="U97" i="6" s="1"/>
  <c r="V97" i="6" s="1"/>
  <c r="D224" i="6" s="1"/>
  <c r="D97" i="6"/>
  <c r="CF96" i="6"/>
  <c r="CG96" i="6" s="1"/>
  <c r="CH96" i="6" s="1"/>
  <c r="BP96" i="6"/>
  <c r="AZ96" i="6"/>
  <c r="AJ96" i="6"/>
  <c r="AK96" i="6" s="1"/>
  <c r="AL96" i="6" s="1"/>
  <c r="T96" i="6"/>
  <c r="D96" i="6"/>
  <c r="CF95" i="6"/>
  <c r="CG95" i="6" s="1"/>
  <c r="CH95" i="6" s="1"/>
  <c r="BP95" i="6"/>
  <c r="AZ95" i="6"/>
  <c r="BA95" i="6" s="1"/>
  <c r="BB95" i="6" s="1"/>
  <c r="AJ95" i="6"/>
  <c r="T95" i="6"/>
  <c r="D95" i="6"/>
  <c r="E95" i="6" s="1"/>
  <c r="F95" i="6" s="1"/>
  <c r="D160" i="6" s="1"/>
  <c r="CF94" i="6"/>
  <c r="BP94" i="6"/>
  <c r="AZ94" i="6"/>
  <c r="BA94" i="6" s="1"/>
  <c r="BB94" i="6" s="1"/>
  <c r="AJ94" i="6"/>
  <c r="AK94" i="6" s="1"/>
  <c r="T94" i="6"/>
  <c r="U94" i="6" s="1"/>
  <c r="V94" i="6" s="1"/>
  <c r="D221" i="6" s="1"/>
  <c r="D94" i="6"/>
  <c r="CF93" i="6"/>
  <c r="BP93" i="6"/>
  <c r="BQ123" i="6" s="1"/>
  <c r="BR123" i="6" s="1"/>
  <c r="AZ93" i="6"/>
  <c r="AJ93" i="6"/>
  <c r="AK112" i="6" s="1"/>
  <c r="AL112" i="6" s="1"/>
  <c r="T93" i="6"/>
  <c r="U131" i="6" s="1"/>
  <c r="V131" i="6" s="1"/>
  <c r="D258" i="6" s="1"/>
  <c r="D93" i="6"/>
  <c r="CF152" i="4"/>
  <c r="BP152" i="4"/>
  <c r="AZ152" i="4"/>
  <c r="AJ152" i="4"/>
  <c r="T152" i="4"/>
  <c r="D152" i="4"/>
  <c r="CF151" i="4"/>
  <c r="BP151" i="4"/>
  <c r="AZ151" i="4"/>
  <c r="AJ151" i="4"/>
  <c r="T151" i="4"/>
  <c r="D151" i="4"/>
  <c r="CF150" i="4"/>
  <c r="BP150" i="4"/>
  <c r="AZ150" i="4"/>
  <c r="BA150" i="4" s="1"/>
  <c r="AJ150" i="4"/>
  <c r="T150" i="4"/>
  <c r="D150" i="4"/>
  <c r="CF149" i="4"/>
  <c r="BP149" i="4"/>
  <c r="AZ149" i="4"/>
  <c r="AJ149" i="4"/>
  <c r="T149" i="4"/>
  <c r="D149" i="4"/>
  <c r="CF148" i="4"/>
  <c r="BP148" i="4"/>
  <c r="AZ148" i="4"/>
  <c r="AJ148" i="4"/>
  <c r="T148" i="4"/>
  <c r="D148" i="4"/>
  <c r="CF147" i="4"/>
  <c r="BP147" i="4"/>
  <c r="AZ147" i="4"/>
  <c r="AJ147" i="4"/>
  <c r="T147" i="4"/>
  <c r="D147" i="4"/>
  <c r="CF146" i="4"/>
  <c r="BP146" i="4"/>
  <c r="AZ146" i="4"/>
  <c r="AJ146" i="4"/>
  <c r="T146" i="4"/>
  <c r="D146" i="4"/>
  <c r="E146" i="4" s="1"/>
  <c r="CF145" i="4"/>
  <c r="BP145" i="4"/>
  <c r="AZ145" i="4"/>
  <c r="AJ145" i="4"/>
  <c r="T145" i="4"/>
  <c r="D145" i="4"/>
  <c r="CF144" i="4"/>
  <c r="BP144" i="4"/>
  <c r="AZ144" i="4"/>
  <c r="AJ144" i="4"/>
  <c r="T144" i="4"/>
  <c r="D144" i="4"/>
  <c r="CF143" i="4"/>
  <c r="BP143" i="4"/>
  <c r="AZ143" i="4"/>
  <c r="AJ143" i="4"/>
  <c r="T143" i="4"/>
  <c r="D143" i="4"/>
  <c r="CF142" i="4"/>
  <c r="BP142" i="4"/>
  <c r="AZ142" i="4"/>
  <c r="BA142" i="4" s="1"/>
  <c r="AJ142" i="4"/>
  <c r="T142" i="4"/>
  <c r="D142" i="4"/>
  <c r="CF141" i="4"/>
  <c r="BP141" i="4"/>
  <c r="AZ141" i="4"/>
  <c r="AJ141" i="4"/>
  <c r="T141" i="4"/>
  <c r="D141" i="4"/>
  <c r="CF140" i="4"/>
  <c r="BP140" i="4"/>
  <c r="AZ140" i="4"/>
  <c r="BA140" i="4" s="1"/>
  <c r="AJ140" i="4"/>
  <c r="T140" i="4"/>
  <c r="E140" i="4"/>
  <c r="F140" i="4" s="1"/>
  <c r="D205" i="4" s="1"/>
  <c r="D140" i="4"/>
  <c r="CF139" i="4"/>
  <c r="BP139" i="4"/>
  <c r="BA139" i="4"/>
  <c r="AZ139" i="4"/>
  <c r="AJ139" i="4"/>
  <c r="T139" i="4"/>
  <c r="D139" i="4"/>
  <c r="CF138" i="4"/>
  <c r="BP138" i="4"/>
  <c r="BA138" i="4"/>
  <c r="BB138" i="4" s="1"/>
  <c r="AZ138" i="4"/>
  <c r="AJ138" i="4"/>
  <c r="T138" i="4"/>
  <c r="D138" i="4"/>
  <c r="E138" i="4" s="1"/>
  <c r="F138" i="4" s="1"/>
  <c r="D203" i="4" s="1"/>
  <c r="CF137" i="4"/>
  <c r="BP137" i="4"/>
  <c r="AZ137" i="4"/>
  <c r="AJ137" i="4"/>
  <c r="T137" i="4"/>
  <c r="D137" i="4"/>
  <c r="CF136" i="4"/>
  <c r="BP136" i="4"/>
  <c r="AZ136" i="4"/>
  <c r="AJ136" i="4"/>
  <c r="T136" i="4"/>
  <c r="D136" i="4"/>
  <c r="CF135" i="4"/>
  <c r="BP135" i="4"/>
  <c r="BA135" i="4"/>
  <c r="BB135" i="4" s="1"/>
  <c r="AZ135" i="4"/>
  <c r="AJ135" i="4"/>
  <c r="T135" i="4"/>
  <c r="E135" i="4"/>
  <c r="D135" i="4"/>
  <c r="CF134" i="4"/>
  <c r="BP134" i="4"/>
  <c r="AZ134" i="4"/>
  <c r="AJ134" i="4"/>
  <c r="T134" i="4"/>
  <c r="D134" i="4"/>
  <c r="CF133" i="4"/>
  <c r="BP133" i="4"/>
  <c r="AZ133" i="4"/>
  <c r="AJ133" i="4"/>
  <c r="T133" i="4"/>
  <c r="D133" i="4"/>
  <c r="CF132" i="4"/>
  <c r="BR132" i="4"/>
  <c r="BP132" i="4"/>
  <c r="AZ132" i="4"/>
  <c r="AJ132" i="4"/>
  <c r="T132" i="4"/>
  <c r="D132" i="4"/>
  <c r="CF131" i="4"/>
  <c r="CG131" i="4" s="1"/>
  <c r="CH131" i="4" s="1"/>
  <c r="BP131" i="4"/>
  <c r="AZ131" i="4"/>
  <c r="AJ131" i="4"/>
  <c r="T131" i="4"/>
  <c r="E131" i="4"/>
  <c r="D131" i="4"/>
  <c r="CF130" i="4"/>
  <c r="BP130" i="4"/>
  <c r="AZ130" i="4"/>
  <c r="AJ130" i="4"/>
  <c r="T130" i="4"/>
  <c r="D130" i="4"/>
  <c r="E130" i="4" s="1"/>
  <c r="CF129" i="4"/>
  <c r="BP129" i="4"/>
  <c r="AZ129" i="4"/>
  <c r="AJ129" i="4"/>
  <c r="T129" i="4"/>
  <c r="D129" i="4"/>
  <c r="CF128" i="4"/>
  <c r="BP128" i="4"/>
  <c r="AZ128" i="4"/>
  <c r="BA128" i="4" s="1"/>
  <c r="BB128" i="4" s="1"/>
  <c r="AJ128" i="4"/>
  <c r="AK128" i="4" s="1"/>
  <c r="AL128" i="4" s="1"/>
  <c r="T128" i="4"/>
  <c r="D128" i="4"/>
  <c r="CF127" i="4"/>
  <c r="BP127" i="4"/>
  <c r="BA127" i="4"/>
  <c r="AZ127" i="4"/>
  <c r="AJ127" i="4"/>
  <c r="AK127" i="4" s="1"/>
  <c r="AL127" i="4" s="1"/>
  <c r="T127" i="4"/>
  <c r="D127" i="4"/>
  <c r="E127" i="4" s="1"/>
  <c r="CF126" i="4"/>
  <c r="BP126" i="4"/>
  <c r="AZ126" i="4"/>
  <c r="BA126" i="4" s="1"/>
  <c r="AJ126" i="4"/>
  <c r="T126" i="4"/>
  <c r="F126" i="4"/>
  <c r="D191" i="4" s="1"/>
  <c r="D126" i="4"/>
  <c r="E126" i="4" s="1"/>
  <c r="CF125" i="4"/>
  <c r="BP125" i="4"/>
  <c r="AZ125" i="4"/>
  <c r="BA125" i="4" s="1"/>
  <c r="BB125" i="4" s="1"/>
  <c r="AJ125" i="4"/>
  <c r="T125" i="4"/>
  <c r="D125" i="4"/>
  <c r="CF124" i="4"/>
  <c r="BP124" i="4"/>
  <c r="BB124" i="4"/>
  <c r="BA124" i="4"/>
  <c r="AZ124" i="4"/>
  <c r="AJ124" i="4"/>
  <c r="T124" i="4"/>
  <c r="D124" i="4"/>
  <c r="E124" i="4" s="1"/>
  <c r="CF123" i="4"/>
  <c r="BP123" i="4"/>
  <c r="AZ123" i="4"/>
  <c r="AJ123" i="4"/>
  <c r="T123" i="4"/>
  <c r="D123" i="4"/>
  <c r="CF122" i="4"/>
  <c r="BP122" i="4"/>
  <c r="AZ122" i="4"/>
  <c r="BA122" i="4" s="1"/>
  <c r="AJ122" i="4"/>
  <c r="T122" i="4"/>
  <c r="E122" i="4"/>
  <c r="D122" i="4"/>
  <c r="CF121" i="4"/>
  <c r="BP121" i="4"/>
  <c r="BA121" i="4"/>
  <c r="BB121" i="4" s="1"/>
  <c r="AZ121" i="4"/>
  <c r="AJ121" i="4"/>
  <c r="T121" i="4"/>
  <c r="D121" i="4"/>
  <c r="E121" i="4" s="1"/>
  <c r="F121" i="4" s="1"/>
  <c r="D186" i="4" s="1"/>
  <c r="CF120" i="4"/>
  <c r="BP120" i="4"/>
  <c r="AZ120" i="4"/>
  <c r="AJ120" i="4"/>
  <c r="T120" i="4"/>
  <c r="D120" i="4"/>
  <c r="CF119" i="4"/>
  <c r="BP119" i="4"/>
  <c r="AZ119" i="4"/>
  <c r="BA119" i="4" s="1"/>
  <c r="BB119" i="4" s="1"/>
  <c r="AJ119" i="4"/>
  <c r="T119" i="4"/>
  <c r="D119" i="4"/>
  <c r="E119" i="4" s="1"/>
  <c r="F119" i="4" s="1"/>
  <c r="D184" i="4" s="1"/>
  <c r="CF118" i="4"/>
  <c r="BP118" i="4"/>
  <c r="BA118" i="4"/>
  <c r="BB118" i="4" s="1"/>
  <c r="AZ118" i="4"/>
  <c r="AJ118" i="4"/>
  <c r="T118" i="4"/>
  <c r="D118" i="4"/>
  <c r="E118" i="4" s="1"/>
  <c r="F118" i="4" s="1"/>
  <c r="D183" i="4" s="1"/>
  <c r="CF117" i="4"/>
  <c r="BP117" i="4"/>
  <c r="AZ117" i="4"/>
  <c r="BA117" i="4" s="1"/>
  <c r="AJ117" i="4"/>
  <c r="U117" i="4"/>
  <c r="V117" i="4" s="1"/>
  <c r="D244" i="4" s="1"/>
  <c r="T117" i="4"/>
  <c r="D117" i="4"/>
  <c r="E117" i="4" s="1"/>
  <c r="F117" i="4" s="1"/>
  <c r="D182" i="4" s="1"/>
  <c r="CF116" i="4"/>
  <c r="BP116" i="4"/>
  <c r="AZ116" i="4"/>
  <c r="AJ116" i="4"/>
  <c r="T116" i="4"/>
  <c r="U116" i="4" s="1"/>
  <c r="V116" i="4" s="1"/>
  <c r="D243" i="4" s="1"/>
  <c r="D116" i="4"/>
  <c r="CF115" i="4"/>
  <c r="BP115" i="4"/>
  <c r="BA115" i="4"/>
  <c r="AZ115" i="4"/>
  <c r="AJ115" i="4"/>
  <c r="T115" i="4"/>
  <c r="F115" i="4"/>
  <c r="D180" i="4" s="1"/>
  <c r="E115" i="4"/>
  <c r="D115" i="4"/>
  <c r="CF114" i="4"/>
  <c r="BP114" i="4"/>
  <c r="AZ114" i="4"/>
  <c r="BA114" i="4" s="1"/>
  <c r="BB114" i="4" s="1"/>
  <c r="E241" i="4" s="1"/>
  <c r="AJ114" i="4"/>
  <c r="T114" i="4"/>
  <c r="U114" i="4" s="1"/>
  <c r="V114" i="4" s="1"/>
  <c r="D241" i="4" s="1"/>
  <c r="D114" i="4"/>
  <c r="E114" i="4" s="1"/>
  <c r="F114" i="4" s="1"/>
  <c r="D179" i="4" s="1"/>
  <c r="CF113" i="4"/>
  <c r="BR113" i="4"/>
  <c r="BP113" i="4"/>
  <c r="AZ113" i="4"/>
  <c r="AJ113" i="4"/>
  <c r="U113" i="4"/>
  <c r="V113" i="4" s="1"/>
  <c r="D240" i="4" s="1"/>
  <c r="T113" i="4"/>
  <c r="D113" i="4"/>
  <c r="CF112" i="4"/>
  <c r="BP112" i="4"/>
  <c r="AZ112" i="4"/>
  <c r="AJ112" i="4"/>
  <c r="AK112" i="4" s="1"/>
  <c r="AL112" i="4" s="1"/>
  <c r="T112" i="4"/>
  <c r="D112" i="4"/>
  <c r="CF111" i="4"/>
  <c r="BP111" i="4"/>
  <c r="BA111" i="4"/>
  <c r="BB111" i="4" s="1"/>
  <c r="AZ111" i="4"/>
  <c r="AJ111" i="4"/>
  <c r="T111" i="4"/>
  <c r="D111" i="4"/>
  <c r="E111" i="4" s="1"/>
  <c r="F111" i="4" s="1"/>
  <c r="D176" i="4" s="1"/>
  <c r="CF110" i="4"/>
  <c r="BP110" i="4"/>
  <c r="AZ110" i="4"/>
  <c r="AJ110" i="4"/>
  <c r="T110" i="4"/>
  <c r="D110" i="4"/>
  <c r="E110" i="4" s="1"/>
  <c r="F110" i="4" s="1"/>
  <c r="D175" i="4" s="1"/>
  <c r="CF109" i="4"/>
  <c r="BP109" i="4"/>
  <c r="AZ109" i="4"/>
  <c r="BA109" i="4" s="1"/>
  <c r="AJ109" i="4"/>
  <c r="U109" i="4"/>
  <c r="V109" i="4" s="1"/>
  <c r="D236" i="4" s="1"/>
  <c r="T109" i="4"/>
  <c r="D109" i="4"/>
  <c r="CF108" i="4"/>
  <c r="BP108" i="4"/>
  <c r="AZ108" i="4"/>
  <c r="AJ108" i="4"/>
  <c r="U108" i="4"/>
  <c r="V108" i="4" s="1"/>
  <c r="D235" i="4" s="1"/>
  <c r="T108" i="4"/>
  <c r="D108" i="4"/>
  <c r="E108" i="4" s="1"/>
  <c r="F108" i="4" s="1"/>
  <c r="D173" i="4" s="1"/>
  <c r="CF107" i="4"/>
  <c r="BP107" i="4"/>
  <c r="AZ107" i="4"/>
  <c r="AJ107" i="4"/>
  <c r="T107" i="4"/>
  <c r="E107" i="4"/>
  <c r="F107" i="4" s="1"/>
  <c r="D172" i="4" s="1"/>
  <c r="D107" i="4"/>
  <c r="CF106" i="4"/>
  <c r="BP106" i="4"/>
  <c r="AZ106" i="4"/>
  <c r="BA106" i="4" s="1"/>
  <c r="BB106" i="4" s="1"/>
  <c r="AK106" i="4"/>
  <c r="AL106" i="4" s="1"/>
  <c r="AJ106" i="4"/>
  <c r="T106" i="4"/>
  <c r="D106" i="4"/>
  <c r="E106" i="4" s="1"/>
  <c r="CF105" i="4"/>
  <c r="BP105" i="4"/>
  <c r="AZ105" i="4"/>
  <c r="BA105" i="4" s="1"/>
  <c r="BB105" i="4" s="1"/>
  <c r="AJ105" i="4"/>
  <c r="T105" i="4"/>
  <c r="D105" i="4"/>
  <c r="E105" i="4" s="1"/>
  <c r="F105" i="4" s="1"/>
  <c r="D170" i="4" s="1"/>
  <c r="CF104" i="4"/>
  <c r="BR104" i="4"/>
  <c r="BP104" i="4"/>
  <c r="AZ104" i="4"/>
  <c r="BA104" i="4" s="1"/>
  <c r="AJ104" i="4"/>
  <c r="U104" i="4"/>
  <c r="V104" i="4" s="1"/>
  <c r="D231" i="4" s="1"/>
  <c r="T104" i="4"/>
  <c r="D104" i="4"/>
  <c r="CF103" i="4"/>
  <c r="CG103" i="4" s="1"/>
  <c r="CH103" i="4" s="1"/>
  <c r="BR103" i="4"/>
  <c r="BP103" i="4"/>
  <c r="AZ103" i="4"/>
  <c r="AJ103" i="4"/>
  <c r="U103" i="4"/>
  <c r="V103" i="4" s="1"/>
  <c r="D230" i="4" s="1"/>
  <c r="T103" i="4"/>
  <c r="D103" i="4"/>
  <c r="CF102" i="4"/>
  <c r="CG102" i="4" s="1"/>
  <c r="CH102" i="4" s="1"/>
  <c r="BP102" i="4"/>
  <c r="BA102" i="4"/>
  <c r="AZ102" i="4"/>
  <c r="AJ102" i="4"/>
  <c r="T102" i="4"/>
  <c r="E102" i="4"/>
  <c r="F102" i="4" s="1"/>
  <c r="D167" i="4" s="1"/>
  <c r="D102" i="4"/>
  <c r="CF101" i="4"/>
  <c r="BP101" i="4"/>
  <c r="BA101" i="4"/>
  <c r="BB101" i="4" s="1"/>
  <c r="AZ101" i="4"/>
  <c r="AJ101" i="4"/>
  <c r="T101" i="4"/>
  <c r="U101" i="4" s="1"/>
  <c r="V101" i="4" s="1"/>
  <c r="D228" i="4" s="1"/>
  <c r="E101" i="4"/>
  <c r="F101" i="4" s="1"/>
  <c r="D166" i="4" s="1"/>
  <c r="D101" i="4"/>
  <c r="CF100" i="4"/>
  <c r="BP100" i="4"/>
  <c r="BA100" i="4"/>
  <c r="BB100" i="4" s="1"/>
  <c r="AZ100" i="4"/>
  <c r="AJ100" i="4"/>
  <c r="T100" i="4"/>
  <c r="U100" i="4" s="1"/>
  <c r="V100" i="4" s="1"/>
  <c r="D227" i="4" s="1"/>
  <c r="D100" i="4"/>
  <c r="CF99" i="4"/>
  <c r="BP99" i="4"/>
  <c r="AZ99" i="4"/>
  <c r="AK99" i="4"/>
  <c r="AL99" i="4" s="1"/>
  <c r="E164" i="4" s="1"/>
  <c r="AJ99" i="4"/>
  <c r="T99" i="4"/>
  <c r="D99" i="4"/>
  <c r="E99" i="4" s="1"/>
  <c r="F99" i="4" s="1"/>
  <c r="D164" i="4" s="1"/>
  <c r="CF98" i="4"/>
  <c r="BP98" i="4"/>
  <c r="AZ98" i="4"/>
  <c r="BA98" i="4" s="1"/>
  <c r="BB98" i="4" s="1"/>
  <c r="AK98" i="4"/>
  <c r="AL98" i="4" s="1"/>
  <c r="AJ98" i="4"/>
  <c r="T98" i="4"/>
  <c r="D98" i="4"/>
  <c r="E98" i="4" s="1"/>
  <c r="F98" i="4" s="1"/>
  <c r="D163" i="4" s="1"/>
  <c r="CF97" i="4"/>
  <c r="CG97" i="4" s="1"/>
  <c r="CH97" i="4" s="1"/>
  <c r="BP97" i="4"/>
  <c r="AZ97" i="4"/>
  <c r="BA97" i="4" s="1"/>
  <c r="BB97" i="4" s="1"/>
  <c r="AJ97" i="4"/>
  <c r="T97" i="4"/>
  <c r="D97" i="4"/>
  <c r="E97" i="4" s="1"/>
  <c r="F97" i="4" s="1"/>
  <c r="D162" i="4" s="1"/>
  <c r="CF96" i="4"/>
  <c r="BR96" i="4"/>
  <c r="BP96" i="4"/>
  <c r="AZ96" i="4"/>
  <c r="BA96" i="4" s="1"/>
  <c r="AJ96" i="4"/>
  <c r="T96" i="4"/>
  <c r="U96" i="4" s="1"/>
  <c r="V96" i="4" s="1"/>
  <c r="D223" i="4" s="1"/>
  <c r="D96" i="4"/>
  <c r="E96" i="4" s="1"/>
  <c r="F96" i="4" s="1"/>
  <c r="D161" i="4" s="1"/>
  <c r="CF95" i="4"/>
  <c r="BP95" i="4"/>
  <c r="BA95" i="4"/>
  <c r="BB95" i="4" s="1"/>
  <c r="AZ95" i="4"/>
  <c r="AK95" i="4"/>
  <c r="AL95" i="4" s="1"/>
  <c r="E160" i="4" s="1"/>
  <c r="AJ95" i="4"/>
  <c r="T95" i="4"/>
  <c r="F95" i="4"/>
  <c r="D160" i="4" s="1"/>
  <c r="D95" i="4"/>
  <c r="E95" i="4" s="1"/>
  <c r="CF94" i="4"/>
  <c r="BP94" i="4"/>
  <c r="BR112" i="4" s="1"/>
  <c r="BA94" i="4"/>
  <c r="BB94" i="4" s="1"/>
  <c r="AZ94" i="4"/>
  <c r="AJ94" i="4"/>
  <c r="U94" i="4"/>
  <c r="V94" i="4" s="1"/>
  <c r="D221" i="4" s="1"/>
  <c r="T94" i="4"/>
  <c r="E94" i="4"/>
  <c r="F94" i="4" s="1"/>
  <c r="D159" i="4" s="1"/>
  <c r="D94" i="4"/>
  <c r="CF93" i="4"/>
  <c r="CG123" i="4" s="1"/>
  <c r="CH123" i="4" s="1"/>
  <c r="BP93" i="4"/>
  <c r="BR135" i="4" s="1"/>
  <c r="AZ93" i="4"/>
  <c r="BA134" i="4" s="1"/>
  <c r="BB134" i="4" s="1"/>
  <c r="AJ93" i="4"/>
  <c r="AK123" i="4" s="1"/>
  <c r="AL123" i="4" s="1"/>
  <c r="U93" i="4"/>
  <c r="V93" i="4" s="1"/>
  <c r="D220" i="4" s="1"/>
  <c r="T93" i="4"/>
  <c r="U105" i="4" s="1"/>
  <c r="V105" i="4" s="1"/>
  <c r="D232" i="4" s="1"/>
  <c r="D93" i="4"/>
  <c r="E147" i="4" s="1"/>
  <c r="F147" i="4" s="1"/>
  <c r="D212" i="4" s="1"/>
  <c r="CH100" i="2"/>
  <c r="CH118" i="2"/>
  <c r="CH126" i="2"/>
  <c r="CH146" i="2"/>
  <c r="CG94" i="2"/>
  <c r="CG95" i="2"/>
  <c r="CG96" i="2"/>
  <c r="CH96" i="2" s="1"/>
  <c r="CG97" i="2"/>
  <c r="CH97" i="2" s="1"/>
  <c r="CG104" i="2"/>
  <c r="CG105" i="2"/>
  <c r="CH105" i="2" s="1"/>
  <c r="CG106" i="2"/>
  <c r="CH106" i="2" s="1"/>
  <c r="CG110" i="2"/>
  <c r="CG111" i="2"/>
  <c r="CG118" i="2"/>
  <c r="CG119" i="2"/>
  <c r="CH119" i="2" s="1"/>
  <c r="CG120" i="2"/>
  <c r="CH120" i="2" s="1"/>
  <c r="CG121" i="2"/>
  <c r="CG122" i="2"/>
  <c r="CH122" i="2" s="1"/>
  <c r="CG129" i="2"/>
  <c r="CG130" i="2"/>
  <c r="CH130" i="2" s="1"/>
  <c r="CG134" i="2"/>
  <c r="CG135" i="2"/>
  <c r="CG136" i="2"/>
  <c r="CH136" i="2" s="1"/>
  <c r="CG143" i="2"/>
  <c r="CH143" i="2" s="1"/>
  <c r="CG144" i="2"/>
  <c r="CG145" i="2"/>
  <c r="CH145" i="2" s="1"/>
  <c r="CG146" i="2"/>
  <c r="CG150" i="2"/>
  <c r="CH150" i="2" s="1"/>
  <c r="CF152" i="2"/>
  <c r="CG152" i="2" s="1"/>
  <c r="CF151" i="2"/>
  <c r="CF150" i="2"/>
  <c r="CF149" i="2"/>
  <c r="CG149" i="2" s="1"/>
  <c r="CH149" i="2" s="1"/>
  <c r="CF148" i="2"/>
  <c r="CG148" i="2" s="1"/>
  <c r="CF147" i="2"/>
  <c r="CF146" i="2"/>
  <c r="CF145" i="2"/>
  <c r="CF144" i="2"/>
  <c r="CF143" i="2"/>
  <c r="CF142" i="2"/>
  <c r="CF141" i="2"/>
  <c r="CG141" i="2" s="1"/>
  <c r="CH141" i="2" s="1"/>
  <c r="CF140" i="2"/>
  <c r="CG140" i="2" s="1"/>
  <c r="CH140" i="2" s="1"/>
  <c r="CF139" i="2"/>
  <c r="CF138" i="2"/>
  <c r="CG138" i="2" s="1"/>
  <c r="CH138" i="2" s="1"/>
  <c r="CF137" i="2"/>
  <c r="CG137" i="2" s="1"/>
  <c r="CF136" i="2"/>
  <c r="CF135" i="2"/>
  <c r="CF134" i="2"/>
  <c r="CF133" i="2"/>
  <c r="CG133" i="2" s="1"/>
  <c r="CH133" i="2" s="1"/>
  <c r="CF132" i="2"/>
  <c r="CG132" i="2" s="1"/>
  <c r="CF131" i="2"/>
  <c r="CF130" i="2"/>
  <c r="CF129" i="2"/>
  <c r="CF128" i="2"/>
  <c r="CG128" i="2" s="1"/>
  <c r="CF127" i="2"/>
  <c r="CF126" i="2"/>
  <c r="CF125" i="2"/>
  <c r="CG125" i="2" s="1"/>
  <c r="CH125" i="2" s="1"/>
  <c r="CF124" i="2"/>
  <c r="CG124" i="2" s="1"/>
  <c r="CH124" i="2" s="1"/>
  <c r="CF123" i="2"/>
  <c r="CF122" i="2"/>
  <c r="CF121" i="2"/>
  <c r="CF120" i="2"/>
  <c r="CF119" i="2"/>
  <c r="CF118" i="2"/>
  <c r="CF117" i="2"/>
  <c r="CG117" i="2" s="1"/>
  <c r="CH117" i="2" s="1"/>
  <c r="CF116" i="2"/>
  <c r="CG116" i="2" s="1"/>
  <c r="CH116" i="2" s="1"/>
  <c r="CF115" i="2"/>
  <c r="CF114" i="2"/>
  <c r="CF113" i="2"/>
  <c r="CG126" i="2" s="1"/>
  <c r="CF112" i="2"/>
  <c r="CG112" i="2" s="1"/>
  <c r="CF111" i="2"/>
  <c r="CF110" i="2"/>
  <c r="CF109" i="2"/>
  <c r="CG109" i="2" s="1"/>
  <c r="CH109" i="2" s="1"/>
  <c r="CF108" i="2"/>
  <c r="CG108" i="2" s="1"/>
  <c r="CH108" i="2" s="1"/>
  <c r="CF107" i="2"/>
  <c r="CF106" i="2"/>
  <c r="CF105" i="2"/>
  <c r="CF104" i="2"/>
  <c r="CF103" i="2"/>
  <c r="CF102" i="2"/>
  <c r="CF101" i="2"/>
  <c r="CG101" i="2" s="1"/>
  <c r="CH101" i="2" s="1"/>
  <c r="CF100" i="2"/>
  <c r="CG100" i="2" s="1"/>
  <c r="CF99" i="2"/>
  <c r="CF98" i="2"/>
  <c r="CG98" i="2" s="1"/>
  <c r="CH98" i="2" s="1"/>
  <c r="CF97" i="2"/>
  <c r="CF96" i="2"/>
  <c r="CF95" i="2"/>
  <c r="CF94" i="2"/>
  <c r="CF93" i="2"/>
  <c r="BR118" i="2"/>
  <c r="BQ94" i="2"/>
  <c r="BR94" i="2" s="1"/>
  <c r="BQ98" i="2"/>
  <c r="BR98" i="2" s="1"/>
  <c r="BQ102" i="2"/>
  <c r="BR102" i="2" s="1"/>
  <c r="BQ107" i="2"/>
  <c r="BQ109" i="2"/>
  <c r="BQ115" i="2"/>
  <c r="BQ117" i="2"/>
  <c r="BR117" i="2" s="1"/>
  <c r="BQ118" i="2"/>
  <c r="BQ123" i="2"/>
  <c r="BQ130" i="2"/>
  <c r="BR130" i="2" s="1"/>
  <c r="BQ131" i="2"/>
  <c r="BQ133" i="2"/>
  <c r="BQ134" i="2"/>
  <c r="BQ141" i="2"/>
  <c r="BQ146" i="2"/>
  <c r="BQ147" i="2"/>
  <c r="BP152" i="2"/>
  <c r="BQ152" i="2" s="1"/>
  <c r="BR152" i="2" s="1"/>
  <c r="BP151" i="2"/>
  <c r="BP150" i="2"/>
  <c r="BQ150" i="2" s="1"/>
  <c r="BP149" i="2"/>
  <c r="BP148" i="2"/>
  <c r="BQ148" i="2" s="1"/>
  <c r="BR148" i="2" s="1"/>
  <c r="BP147" i="2"/>
  <c r="BP146" i="2"/>
  <c r="BP145" i="2"/>
  <c r="BQ145" i="2" s="1"/>
  <c r="BP144" i="2"/>
  <c r="BQ144" i="2" s="1"/>
  <c r="BP143" i="2"/>
  <c r="BP142" i="2"/>
  <c r="BQ142" i="2" s="1"/>
  <c r="BP141" i="2"/>
  <c r="BP140" i="2"/>
  <c r="BQ140" i="2" s="1"/>
  <c r="BP139" i="2"/>
  <c r="BP138" i="2"/>
  <c r="BP137" i="2"/>
  <c r="BQ137" i="2" s="1"/>
  <c r="BR137" i="2" s="1"/>
  <c r="BP136" i="2"/>
  <c r="BQ136" i="2" s="1"/>
  <c r="BP135" i="2"/>
  <c r="BP134" i="2"/>
  <c r="BP133" i="2"/>
  <c r="BP132" i="2"/>
  <c r="BQ132" i="2" s="1"/>
  <c r="BR132" i="2" s="1"/>
  <c r="BP131" i="2"/>
  <c r="BP130" i="2"/>
  <c r="BP129" i="2"/>
  <c r="BQ129" i="2" s="1"/>
  <c r="BR129" i="2" s="1"/>
  <c r="BP128" i="2"/>
  <c r="BQ128" i="2" s="1"/>
  <c r="BP127" i="2"/>
  <c r="BP126" i="2"/>
  <c r="BQ126" i="2" s="1"/>
  <c r="BP125" i="2"/>
  <c r="BP124" i="2"/>
  <c r="BQ124" i="2" s="1"/>
  <c r="BR124" i="2" s="1"/>
  <c r="BP123" i="2"/>
  <c r="BP122" i="2"/>
  <c r="BP121" i="2"/>
  <c r="BQ121" i="2" s="1"/>
  <c r="BP120" i="2"/>
  <c r="BQ120" i="2" s="1"/>
  <c r="BP119" i="2"/>
  <c r="BP118" i="2"/>
  <c r="BP117" i="2"/>
  <c r="BP116" i="2"/>
  <c r="BQ116" i="2" s="1"/>
  <c r="BR116" i="2" s="1"/>
  <c r="BP115" i="2"/>
  <c r="BP114" i="2"/>
  <c r="BQ114" i="2" s="1"/>
  <c r="BP113" i="2"/>
  <c r="BQ113" i="2" s="1"/>
  <c r="BP112" i="2"/>
  <c r="BQ112" i="2" s="1"/>
  <c r="BR112" i="2" s="1"/>
  <c r="BP111" i="2"/>
  <c r="BP110" i="2"/>
  <c r="BQ110" i="2" s="1"/>
  <c r="BP109" i="2"/>
  <c r="BP108" i="2"/>
  <c r="BQ108" i="2" s="1"/>
  <c r="BR108" i="2" s="1"/>
  <c r="BP107" i="2"/>
  <c r="BP106" i="2"/>
  <c r="BP105" i="2"/>
  <c r="BQ105" i="2" s="1"/>
  <c r="BP104" i="2"/>
  <c r="BQ104" i="2" s="1"/>
  <c r="BP103" i="2"/>
  <c r="BP102" i="2"/>
  <c r="BP101" i="2"/>
  <c r="BP100" i="2"/>
  <c r="BQ100" i="2" s="1"/>
  <c r="BR100" i="2" s="1"/>
  <c r="BP99" i="2"/>
  <c r="BP98" i="2"/>
  <c r="BP97" i="2"/>
  <c r="BQ97" i="2" s="1"/>
  <c r="BP96" i="2"/>
  <c r="BQ96" i="2" s="1"/>
  <c r="BP95" i="2"/>
  <c r="BP94" i="2"/>
  <c r="BP93" i="2"/>
  <c r="AZ152" i="2"/>
  <c r="BA152" i="2" s="1"/>
  <c r="BB152" i="2" s="1"/>
  <c r="AZ151" i="2"/>
  <c r="AZ150" i="2"/>
  <c r="AZ149" i="2"/>
  <c r="AZ148" i="2"/>
  <c r="AZ147" i="2"/>
  <c r="AZ146" i="2"/>
  <c r="AZ145" i="2"/>
  <c r="BA145" i="2" s="1"/>
  <c r="BB145" i="2" s="1"/>
  <c r="AZ144" i="2"/>
  <c r="BA144" i="2" s="1"/>
  <c r="BB144" i="2" s="1"/>
  <c r="AZ143" i="2"/>
  <c r="AZ142" i="2"/>
  <c r="AZ141" i="2"/>
  <c r="AZ140" i="2"/>
  <c r="AZ139" i="2"/>
  <c r="AZ138" i="2"/>
  <c r="AZ137" i="2"/>
  <c r="AZ136" i="2"/>
  <c r="AZ135" i="2"/>
  <c r="AZ134" i="2"/>
  <c r="AZ133" i="2"/>
  <c r="AZ132" i="2"/>
  <c r="AZ131" i="2"/>
  <c r="AZ130" i="2"/>
  <c r="AZ129" i="2"/>
  <c r="BA129" i="2" s="1"/>
  <c r="BB129" i="2" s="1"/>
  <c r="AZ128" i="2"/>
  <c r="AZ127" i="2"/>
  <c r="AZ126" i="2"/>
  <c r="AZ125" i="2"/>
  <c r="AZ124" i="2"/>
  <c r="AZ123" i="2"/>
  <c r="AZ122" i="2"/>
  <c r="BA122" i="2" s="1"/>
  <c r="BB122" i="2" s="1"/>
  <c r="AZ121" i="2"/>
  <c r="BA121" i="2" s="1"/>
  <c r="BB121" i="2" s="1"/>
  <c r="AZ120" i="2"/>
  <c r="AZ119" i="2"/>
  <c r="AZ118" i="2"/>
  <c r="AZ117" i="2"/>
  <c r="AZ116" i="2"/>
  <c r="AZ115" i="2"/>
  <c r="AZ114" i="2"/>
  <c r="AZ113" i="2"/>
  <c r="BA94" i="2" s="1"/>
  <c r="BB94" i="2" s="1"/>
  <c r="AZ112" i="2"/>
  <c r="BA112" i="2" s="1"/>
  <c r="BB112" i="2" s="1"/>
  <c r="AZ111" i="2"/>
  <c r="AZ110" i="2"/>
  <c r="AZ109" i="2"/>
  <c r="AZ108" i="2"/>
  <c r="AZ107" i="2"/>
  <c r="AZ106" i="2"/>
  <c r="BA106" i="2" s="1"/>
  <c r="BB106" i="2" s="1"/>
  <c r="AZ105" i="2"/>
  <c r="AZ104" i="2"/>
  <c r="AZ103" i="2"/>
  <c r="BA107" i="2" s="1"/>
  <c r="BB107" i="2" s="1"/>
  <c r="AZ102" i="2"/>
  <c r="AZ101" i="2"/>
  <c r="AZ100" i="2"/>
  <c r="AZ99" i="2"/>
  <c r="AZ98" i="2"/>
  <c r="AZ97" i="2"/>
  <c r="BA97" i="2" s="1"/>
  <c r="BB97" i="2" s="1"/>
  <c r="AZ96" i="2"/>
  <c r="BA96" i="2" s="1"/>
  <c r="BB96" i="2" s="1"/>
  <c r="AZ95" i="2"/>
  <c r="AZ94" i="2"/>
  <c r="AZ93" i="2"/>
  <c r="AK144" i="2"/>
  <c r="AL144" i="2" s="1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T152" i="2"/>
  <c r="T151" i="2"/>
  <c r="T150" i="2"/>
  <c r="U150" i="2" s="1"/>
  <c r="V150" i="2" s="1"/>
  <c r="D277" i="2" s="1"/>
  <c r="T149" i="2"/>
  <c r="U149" i="2" s="1"/>
  <c r="V149" i="2" s="1"/>
  <c r="D276" i="2" s="1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U134" i="2" s="1"/>
  <c r="V134" i="2" s="1"/>
  <c r="D261" i="2" s="1"/>
  <c r="T133" i="2"/>
  <c r="U133" i="2" s="1"/>
  <c r="V133" i="2" s="1"/>
  <c r="D260" i="2" s="1"/>
  <c r="T132" i="2"/>
  <c r="T131" i="2"/>
  <c r="T130" i="2"/>
  <c r="T129" i="2"/>
  <c r="T128" i="2"/>
  <c r="T127" i="2"/>
  <c r="T126" i="2"/>
  <c r="U126" i="2" s="1"/>
  <c r="V126" i="2" s="1"/>
  <c r="D253" i="2" s="1"/>
  <c r="T125" i="2"/>
  <c r="T124" i="2"/>
  <c r="T123" i="2"/>
  <c r="T122" i="2"/>
  <c r="T121" i="2"/>
  <c r="T120" i="2"/>
  <c r="T119" i="2"/>
  <c r="T118" i="2"/>
  <c r="U118" i="2" s="1"/>
  <c r="V118" i="2" s="1"/>
  <c r="D245" i="2" s="1"/>
  <c r="T117" i="2"/>
  <c r="T116" i="2"/>
  <c r="T115" i="2"/>
  <c r="T114" i="2"/>
  <c r="T113" i="2"/>
  <c r="T112" i="2"/>
  <c r="T111" i="2"/>
  <c r="U111" i="2" s="1"/>
  <c r="V111" i="2" s="1"/>
  <c r="D238" i="2" s="1"/>
  <c r="T110" i="2"/>
  <c r="U110" i="2" s="1"/>
  <c r="V110" i="2" s="1"/>
  <c r="D237" i="2" s="1"/>
  <c r="T109" i="2"/>
  <c r="U109" i="2" s="1"/>
  <c r="V109" i="2" s="1"/>
  <c r="D236" i="2" s="1"/>
  <c r="T108" i="2"/>
  <c r="T107" i="2"/>
  <c r="T106" i="2"/>
  <c r="T105" i="2"/>
  <c r="T104" i="2"/>
  <c r="T103" i="2"/>
  <c r="U131" i="2" s="1"/>
  <c r="V131" i="2" s="1"/>
  <c r="D258" i="2" s="1"/>
  <c r="T102" i="2"/>
  <c r="U102" i="2" s="1"/>
  <c r="V102" i="2" s="1"/>
  <c r="D229" i="2" s="1"/>
  <c r="T101" i="2"/>
  <c r="T100" i="2"/>
  <c r="T99" i="2"/>
  <c r="T98" i="2"/>
  <c r="T97" i="2"/>
  <c r="T96" i="2"/>
  <c r="T95" i="2"/>
  <c r="U95" i="2" s="1"/>
  <c r="V95" i="2" s="1"/>
  <c r="D222" i="2" s="1"/>
  <c r="T94" i="2"/>
  <c r="U94" i="2" s="1"/>
  <c r="V94" i="2" s="1"/>
  <c r="D221" i="2" s="1"/>
  <c r="T93" i="2"/>
  <c r="U124" i="2" s="1"/>
  <c r="V124" i="2" s="1"/>
  <c r="D251" i="2" s="1"/>
  <c r="E114" i="2"/>
  <c r="F114" i="2" s="1"/>
  <c r="D179" i="2" s="1"/>
  <c r="E125" i="2"/>
  <c r="F125" i="2" s="1"/>
  <c r="D190" i="2" s="1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E139" i="2" s="1"/>
  <c r="F139" i="2" s="1"/>
  <c r="D204" i="2" s="1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E107" i="2" s="1"/>
  <c r="F107" i="2" s="1"/>
  <c r="D172" i="2" s="1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E104" i="2" s="1"/>
  <c r="F104" i="2" s="1"/>
  <c r="D169" i="2" s="1"/>
  <c r="AJ79" i="9"/>
  <c r="AK79" i="9"/>
  <c r="AJ80" i="9"/>
  <c r="AK80" i="9"/>
  <c r="AI80" i="9"/>
  <c r="AI79" i="9"/>
  <c r="AL65" i="9"/>
  <c r="AM65" i="9"/>
  <c r="AN65" i="9"/>
  <c r="AO65" i="9"/>
  <c r="AI76" i="9" s="1"/>
  <c r="AI84" i="9" s="1"/>
  <c r="AP65" i="9"/>
  <c r="AQ65" i="9"/>
  <c r="AR65" i="9"/>
  <c r="AS65" i="9"/>
  <c r="AT65" i="9"/>
  <c r="AL66" i="9"/>
  <c r="AM66" i="9"/>
  <c r="AN66" i="9"/>
  <c r="AO66" i="9"/>
  <c r="AP66" i="9"/>
  <c r="AQ66" i="9"/>
  <c r="AR66" i="9"/>
  <c r="AS66" i="9"/>
  <c r="AT66" i="9"/>
  <c r="AL67" i="9"/>
  <c r="AM67" i="9"/>
  <c r="AJ76" i="9" s="1"/>
  <c r="AJ84" i="9" s="1"/>
  <c r="AN67" i="9"/>
  <c r="AO67" i="9"/>
  <c r="AP67" i="9"/>
  <c r="AQ67" i="9"/>
  <c r="AR67" i="9"/>
  <c r="AS67" i="9"/>
  <c r="AT67" i="9"/>
  <c r="AL68" i="9"/>
  <c r="AM68" i="9"/>
  <c r="AN68" i="9"/>
  <c r="AO68" i="9"/>
  <c r="AP68" i="9"/>
  <c r="AQ68" i="9"/>
  <c r="AR68" i="9"/>
  <c r="AS68" i="9"/>
  <c r="AT68" i="9"/>
  <c r="AL69" i="9"/>
  <c r="AL75" i="9" s="1"/>
  <c r="AM69" i="9"/>
  <c r="AN69" i="9"/>
  <c r="AO69" i="9"/>
  <c r="AP69" i="9"/>
  <c r="AQ69" i="9"/>
  <c r="AR69" i="9"/>
  <c r="AS69" i="9"/>
  <c r="AT69" i="9"/>
  <c r="AL70" i="9"/>
  <c r="AM70" i="9"/>
  <c r="AN70" i="9"/>
  <c r="AO70" i="9"/>
  <c r="AP70" i="9"/>
  <c r="AQ70" i="9"/>
  <c r="AR70" i="9"/>
  <c r="AS70" i="9"/>
  <c r="AT70" i="9"/>
  <c r="AK66" i="9"/>
  <c r="AK67" i="9"/>
  <c r="AK68" i="9"/>
  <c r="AK69" i="9"/>
  <c r="AK70" i="9"/>
  <c r="AK65" i="9"/>
  <c r="AJ79" i="7"/>
  <c r="AK79" i="7"/>
  <c r="AL79" i="7"/>
  <c r="AM79" i="7"/>
  <c r="AJ80" i="7"/>
  <c r="AK80" i="7"/>
  <c r="AL80" i="7"/>
  <c r="AM80" i="7"/>
  <c r="AI80" i="7"/>
  <c r="AI79" i="7"/>
  <c r="AL65" i="7"/>
  <c r="AM65" i="7"/>
  <c r="AN65" i="7"/>
  <c r="AO65" i="7"/>
  <c r="AP65" i="7"/>
  <c r="AQ65" i="7"/>
  <c r="AR65" i="7"/>
  <c r="AS65" i="7"/>
  <c r="AT65" i="7"/>
  <c r="AL66" i="7"/>
  <c r="AM66" i="7"/>
  <c r="AN66" i="7"/>
  <c r="AO66" i="7"/>
  <c r="AP66" i="7"/>
  <c r="AQ66" i="7"/>
  <c r="AR66" i="7"/>
  <c r="AS66" i="7"/>
  <c r="AT66" i="7"/>
  <c r="AL67" i="7"/>
  <c r="AM67" i="7"/>
  <c r="AN67" i="7"/>
  <c r="AO67" i="7"/>
  <c r="AP67" i="7"/>
  <c r="AQ67" i="7"/>
  <c r="AR67" i="7"/>
  <c r="AS67" i="7"/>
  <c r="AT67" i="7"/>
  <c r="AL68" i="7"/>
  <c r="AM68" i="7"/>
  <c r="AN68" i="7"/>
  <c r="AO68" i="7"/>
  <c r="AP68" i="7"/>
  <c r="AQ68" i="7"/>
  <c r="AR68" i="7"/>
  <c r="AS68" i="7"/>
  <c r="AT68" i="7"/>
  <c r="AL69" i="7"/>
  <c r="AM69" i="7"/>
  <c r="AN69" i="7"/>
  <c r="AO69" i="7"/>
  <c r="AP69" i="7"/>
  <c r="AQ69" i="7"/>
  <c r="AR69" i="7"/>
  <c r="AS69" i="7"/>
  <c r="AT69" i="7"/>
  <c r="AL70" i="7"/>
  <c r="AM70" i="7"/>
  <c r="AN70" i="7"/>
  <c r="AO70" i="7"/>
  <c r="AP70" i="7"/>
  <c r="AQ70" i="7"/>
  <c r="AR70" i="7"/>
  <c r="AS70" i="7"/>
  <c r="AT70" i="7"/>
  <c r="AK66" i="7"/>
  <c r="AK67" i="7"/>
  <c r="AK68" i="7"/>
  <c r="AK69" i="7"/>
  <c r="AK70" i="7"/>
  <c r="AK65" i="7"/>
  <c r="AI80" i="5"/>
  <c r="AJ80" i="5"/>
  <c r="AK80" i="5"/>
  <c r="AL80" i="5"/>
  <c r="AM80" i="5"/>
  <c r="AJ79" i="5"/>
  <c r="AK79" i="5"/>
  <c r="AL79" i="5"/>
  <c r="AM79" i="5"/>
  <c r="AI79" i="5"/>
  <c r="AK66" i="5"/>
  <c r="AL66" i="5"/>
  <c r="AM66" i="5"/>
  <c r="AN66" i="5"/>
  <c r="AO66" i="5"/>
  <c r="AP66" i="5"/>
  <c r="AQ66" i="5"/>
  <c r="AR66" i="5"/>
  <c r="AS66" i="5"/>
  <c r="AT66" i="5"/>
  <c r="AK67" i="5"/>
  <c r="AL67" i="5"/>
  <c r="AM67" i="5"/>
  <c r="AN67" i="5"/>
  <c r="AO67" i="5"/>
  <c r="AP67" i="5"/>
  <c r="AQ67" i="5"/>
  <c r="AR67" i="5"/>
  <c r="AS67" i="5"/>
  <c r="AT67" i="5"/>
  <c r="AK68" i="5"/>
  <c r="AL68" i="5"/>
  <c r="AM68" i="5"/>
  <c r="AN68" i="5"/>
  <c r="AO68" i="5"/>
  <c r="AP68" i="5"/>
  <c r="AQ68" i="5"/>
  <c r="AR68" i="5"/>
  <c r="AS68" i="5"/>
  <c r="AT68" i="5"/>
  <c r="AK69" i="5"/>
  <c r="AL69" i="5"/>
  <c r="AM69" i="5"/>
  <c r="AN69" i="5"/>
  <c r="AO69" i="5"/>
  <c r="AP69" i="5"/>
  <c r="AQ69" i="5"/>
  <c r="AR69" i="5"/>
  <c r="AS69" i="5"/>
  <c r="AT69" i="5"/>
  <c r="AK70" i="5"/>
  <c r="AL70" i="5"/>
  <c r="AM70" i="5"/>
  <c r="AN70" i="5"/>
  <c r="AO70" i="5"/>
  <c r="AP70" i="5"/>
  <c r="AQ70" i="5"/>
  <c r="AR70" i="5"/>
  <c r="AS70" i="5"/>
  <c r="AT70" i="5"/>
  <c r="AL65" i="5"/>
  <c r="AM65" i="5"/>
  <c r="AN65" i="5"/>
  <c r="AO65" i="5"/>
  <c r="AP65" i="5"/>
  <c r="AQ65" i="5"/>
  <c r="AR65" i="5"/>
  <c r="AS65" i="5"/>
  <c r="AT65" i="5"/>
  <c r="AK65" i="5"/>
  <c r="CJ79" i="6"/>
  <c r="CJ80" i="6"/>
  <c r="CF79" i="6"/>
  <c r="CG79" i="6"/>
  <c r="CH79" i="6"/>
  <c r="CI79" i="6"/>
  <c r="CF80" i="6"/>
  <c r="CG80" i="6"/>
  <c r="CH80" i="6"/>
  <c r="CI80" i="6"/>
  <c r="CE80" i="6"/>
  <c r="CE79" i="6"/>
  <c r="BZ79" i="6"/>
  <c r="CA79" i="6"/>
  <c r="CB79" i="6"/>
  <c r="CC79" i="6"/>
  <c r="CD79" i="6"/>
  <c r="BZ80" i="6"/>
  <c r="CA80" i="6"/>
  <c r="CB80" i="6"/>
  <c r="CC80" i="6"/>
  <c r="CD80" i="6"/>
  <c r="BY80" i="6"/>
  <c r="BY79" i="6"/>
  <c r="CH65" i="6"/>
  <c r="CI65" i="6"/>
  <c r="CJ65" i="6"/>
  <c r="CK65" i="6"/>
  <c r="CL65" i="6"/>
  <c r="CM65" i="6"/>
  <c r="CN65" i="6"/>
  <c r="CO65" i="6"/>
  <c r="CP65" i="6"/>
  <c r="CH66" i="6"/>
  <c r="CI66" i="6"/>
  <c r="CJ66" i="6"/>
  <c r="CK66" i="6"/>
  <c r="CL66" i="6"/>
  <c r="CM66" i="6"/>
  <c r="CN66" i="6"/>
  <c r="CO66" i="6"/>
  <c r="CP66" i="6"/>
  <c r="CH67" i="6"/>
  <c r="CI67" i="6"/>
  <c r="CJ67" i="6"/>
  <c r="CK67" i="6"/>
  <c r="CL67" i="6"/>
  <c r="CM67" i="6"/>
  <c r="CN67" i="6"/>
  <c r="CO67" i="6"/>
  <c r="CP67" i="6"/>
  <c r="CH68" i="6"/>
  <c r="CI68" i="6"/>
  <c r="CJ68" i="6"/>
  <c r="CK68" i="6"/>
  <c r="CL68" i="6"/>
  <c r="CH75" i="6" s="1"/>
  <c r="CH83" i="6" s="1"/>
  <c r="CM68" i="6"/>
  <c r="CN68" i="6"/>
  <c r="CO68" i="6"/>
  <c r="CP68" i="6"/>
  <c r="CH69" i="6"/>
  <c r="CI69" i="6"/>
  <c r="CJ69" i="6"/>
  <c r="CI76" i="6" s="1"/>
  <c r="CK69" i="6"/>
  <c r="CL69" i="6"/>
  <c r="CM69" i="6"/>
  <c r="CN69" i="6"/>
  <c r="CO69" i="6"/>
  <c r="CP69" i="6"/>
  <c r="CH70" i="6"/>
  <c r="CI70" i="6"/>
  <c r="CJ70" i="6"/>
  <c r="CK70" i="6"/>
  <c r="CL70" i="6"/>
  <c r="CM70" i="6"/>
  <c r="CN70" i="6"/>
  <c r="CO70" i="6"/>
  <c r="CP70" i="6"/>
  <c r="CG66" i="6"/>
  <c r="CG67" i="6"/>
  <c r="CG68" i="6"/>
  <c r="CG69" i="6"/>
  <c r="CG70" i="6"/>
  <c r="CG65" i="6"/>
  <c r="BR65" i="6"/>
  <c r="BS65" i="6"/>
  <c r="BT65" i="6"/>
  <c r="BU65" i="6"/>
  <c r="BV65" i="6"/>
  <c r="BW65" i="6"/>
  <c r="BX65" i="6"/>
  <c r="BY65" i="6"/>
  <c r="BZ65" i="6"/>
  <c r="BR66" i="6"/>
  <c r="BS66" i="6"/>
  <c r="BT66" i="6"/>
  <c r="BU66" i="6"/>
  <c r="BV66" i="6"/>
  <c r="BW66" i="6"/>
  <c r="BX66" i="6"/>
  <c r="BY66" i="6"/>
  <c r="BZ66" i="6"/>
  <c r="BR67" i="6"/>
  <c r="BS67" i="6"/>
  <c r="BT67" i="6"/>
  <c r="BU67" i="6"/>
  <c r="BV67" i="6"/>
  <c r="BW67" i="6"/>
  <c r="BX67" i="6"/>
  <c r="BY67" i="6"/>
  <c r="BZ67" i="6"/>
  <c r="BR68" i="6"/>
  <c r="BS68" i="6"/>
  <c r="BT68" i="6"/>
  <c r="BU68" i="6"/>
  <c r="BV68" i="6"/>
  <c r="BW68" i="6"/>
  <c r="BX68" i="6"/>
  <c r="BY68" i="6"/>
  <c r="BZ68" i="6"/>
  <c r="BR69" i="6"/>
  <c r="BS69" i="6"/>
  <c r="BT69" i="6"/>
  <c r="BU69" i="6"/>
  <c r="BV69" i="6"/>
  <c r="BW69" i="6"/>
  <c r="BX69" i="6"/>
  <c r="BY69" i="6"/>
  <c r="BZ69" i="6"/>
  <c r="BR70" i="6"/>
  <c r="BS70" i="6"/>
  <c r="BT70" i="6"/>
  <c r="BU70" i="6"/>
  <c r="BV70" i="6"/>
  <c r="BW70" i="6"/>
  <c r="BX70" i="6"/>
  <c r="BY70" i="6"/>
  <c r="BZ70" i="6"/>
  <c r="BQ66" i="6"/>
  <c r="BQ67" i="6"/>
  <c r="BQ68" i="6"/>
  <c r="BQ69" i="6"/>
  <c r="BQ70" i="6"/>
  <c r="BQ65" i="6"/>
  <c r="CF79" i="4"/>
  <c r="CG79" i="4"/>
  <c r="CH79" i="4"/>
  <c r="CI79" i="4"/>
  <c r="CJ79" i="4"/>
  <c r="CF80" i="4"/>
  <c r="CG80" i="4"/>
  <c r="CH80" i="4"/>
  <c r="CI80" i="4"/>
  <c r="CJ80" i="4"/>
  <c r="CE80" i="4"/>
  <c r="CE79" i="4"/>
  <c r="BZ79" i="4"/>
  <c r="CA79" i="4"/>
  <c r="CB79" i="4"/>
  <c r="CC79" i="4"/>
  <c r="CD79" i="4"/>
  <c r="BZ80" i="4"/>
  <c r="CA80" i="4"/>
  <c r="CB80" i="4"/>
  <c r="CC80" i="4"/>
  <c r="CD80" i="4"/>
  <c r="BY80" i="4"/>
  <c r="BY79" i="4"/>
  <c r="BO75" i="4"/>
  <c r="CH65" i="4"/>
  <c r="CI65" i="4"/>
  <c r="CJ65" i="4"/>
  <c r="CK65" i="4"/>
  <c r="CL65" i="4"/>
  <c r="CM65" i="4"/>
  <c r="CN65" i="4"/>
  <c r="CO65" i="4"/>
  <c r="CP65" i="4"/>
  <c r="CH66" i="4"/>
  <c r="CI66" i="4"/>
  <c r="CJ66" i="4"/>
  <c r="CK66" i="4"/>
  <c r="CL66" i="4"/>
  <c r="CM66" i="4"/>
  <c r="CN66" i="4"/>
  <c r="CO66" i="4"/>
  <c r="CP66" i="4"/>
  <c r="CH67" i="4"/>
  <c r="CI67" i="4"/>
  <c r="CJ67" i="4"/>
  <c r="CK67" i="4"/>
  <c r="CL67" i="4"/>
  <c r="CM67" i="4"/>
  <c r="CN67" i="4"/>
  <c r="CO67" i="4"/>
  <c r="CP67" i="4"/>
  <c r="CH68" i="4"/>
  <c r="CI68" i="4"/>
  <c r="CJ68" i="4"/>
  <c r="CK68" i="4"/>
  <c r="CL68" i="4"/>
  <c r="CM68" i="4"/>
  <c r="CN68" i="4"/>
  <c r="CO68" i="4"/>
  <c r="CP68" i="4"/>
  <c r="CH69" i="4"/>
  <c r="CI69" i="4"/>
  <c r="CJ69" i="4"/>
  <c r="CK69" i="4"/>
  <c r="CL69" i="4"/>
  <c r="CM69" i="4"/>
  <c r="CN69" i="4"/>
  <c r="CO69" i="4"/>
  <c r="CP69" i="4"/>
  <c r="CH70" i="4"/>
  <c r="CI70" i="4"/>
  <c r="CJ70" i="4"/>
  <c r="CK70" i="4"/>
  <c r="CL70" i="4"/>
  <c r="CM70" i="4"/>
  <c r="CN70" i="4"/>
  <c r="CO70" i="4"/>
  <c r="CP70" i="4"/>
  <c r="CG66" i="4"/>
  <c r="CG67" i="4"/>
  <c r="CG68" i="4"/>
  <c r="CG69" i="4"/>
  <c r="CG70" i="4"/>
  <c r="CG65" i="4"/>
  <c r="BQ66" i="4"/>
  <c r="BR66" i="4"/>
  <c r="BS66" i="4"/>
  <c r="BT66" i="4"/>
  <c r="BU66" i="4"/>
  <c r="BV66" i="4"/>
  <c r="BW66" i="4"/>
  <c r="BX66" i="4"/>
  <c r="BY66" i="4"/>
  <c r="BZ66" i="4"/>
  <c r="BQ67" i="4"/>
  <c r="BR67" i="4"/>
  <c r="BS67" i="4"/>
  <c r="BT67" i="4"/>
  <c r="BU67" i="4"/>
  <c r="BQ75" i="4" s="1"/>
  <c r="CA83" i="4" s="1"/>
  <c r="BV67" i="4"/>
  <c r="BW67" i="4"/>
  <c r="BX67" i="4"/>
  <c r="BY67" i="4"/>
  <c r="BZ67" i="4"/>
  <c r="BQ68" i="4"/>
  <c r="BR68" i="4"/>
  <c r="BS68" i="4"/>
  <c r="BT68" i="4"/>
  <c r="BU68" i="4"/>
  <c r="BV68" i="4"/>
  <c r="BW68" i="4"/>
  <c r="BX68" i="4"/>
  <c r="BY68" i="4"/>
  <c r="BZ68" i="4"/>
  <c r="BQ69" i="4"/>
  <c r="BR69" i="4"/>
  <c r="BU75" i="4" s="1"/>
  <c r="BS69" i="4"/>
  <c r="BT69" i="4"/>
  <c r="BU69" i="4"/>
  <c r="BV69" i="4"/>
  <c r="BW69" i="4"/>
  <c r="BX69" i="4"/>
  <c r="BY69" i="4"/>
  <c r="BZ69" i="4"/>
  <c r="BS76" i="4" s="1"/>
  <c r="CC84" i="4" s="1"/>
  <c r="BQ70" i="4"/>
  <c r="BR70" i="4"/>
  <c r="BS70" i="4"/>
  <c r="BT70" i="4"/>
  <c r="BU70" i="4"/>
  <c r="BV70" i="4"/>
  <c r="BW70" i="4"/>
  <c r="BX70" i="4"/>
  <c r="BY70" i="4"/>
  <c r="BZ70" i="4"/>
  <c r="BR65" i="4"/>
  <c r="BS65" i="4"/>
  <c r="BT65" i="4"/>
  <c r="BU65" i="4"/>
  <c r="BV65" i="4"/>
  <c r="BW65" i="4"/>
  <c r="BX65" i="4"/>
  <c r="BY65" i="4"/>
  <c r="BY83" i="4" s="1"/>
  <c r="BZ65" i="4"/>
  <c r="BQ65" i="4"/>
  <c r="CG66" i="2"/>
  <c r="CH66" i="2"/>
  <c r="CI66" i="2"/>
  <c r="CJ66" i="2"/>
  <c r="CK66" i="2"/>
  <c r="CL66" i="2"/>
  <c r="CM66" i="2"/>
  <c r="CN66" i="2"/>
  <c r="CO66" i="2"/>
  <c r="CP66" i="2"/>
  <c r="CG67" i="2"/>
  <c r="CH67" i="2"/>
  <c r="CI67" i="2"/>
  <c r="CJ67" i="2"/>
  <c r="CK67" i="2"/>
  <c r="CL67" i="2"/>
  <c r="CM67" i="2"/>
  <c r="CN67" i="2"/>
  <c r="CO67" i="2"/>
  <c r="CP67" i="2"/>
  <c r="CG68" i="2"/>
  <c r="CH68" i="2"/>
  <c r="CK76" i="2" s="1"/>
  <c r="CI68" i="2"/>
  <c r="CJ68" i="2"/>
  <c r="CK68" i="2"/>
  <c r="CL68" i="2"/>
  <c r="CM68" i="2"/>
  <c r="CN68" i="2"/>
  <c r="CO68" i="2"/>
  <c r="CP68" i="2"/>
  <c r="CG69" i="2"/>
  <c r="CH69" i="2"/>
  <c r="CI69" i="2"/>
  <c r="CJ69" i="2"/>
  <c r="CK69" i="2"/>
  <c r="CL69" i="2"/>
  <c r="CM69" i="2"/>
  <c r="CN69" i="2"/>
  <c r="CO69" i="2"/>
  <c r="CP69" i="2"/>
  <c r="CG70" i="2"/>
  <c r="CH70" i="2"/>
  <c r="CI70" i="2"/>
  <c r="CJ70" i="2"/>
  <c r="CK70" i="2"/>
  <c r="CL70" i="2"/>
  <c r="CM70" i="2"/>
  <c r="CN70" i="2"/>
  <c r="CO70" i="2"/>
  <c r="CP70" i="2"/>
  <c r="CH65" i="2"/>
  <c r="CI65" i="2"/>
  <c r="CJ65" i="2"/>
  <c r="CK65" i="2"/>
  <c r="CL65" i="2"/>
  <c r="CM65" i="2"/>
  <c r="CN65" i="2"/>
  <c r="CO65" i="2"/>
  <c r="CP65" i="2"/>
  <c r="CG65" i="2"/>
  <c r="BR65" i="2"/>
  <c r="BS65" i="2"/>
  <c r="BT65" i="2"/>
  <c r="BU65" i="2"/>
  <c r="BV65" i="2"/>
  <c r="BW65" i="2"/>
  <c r="BX65" i="2"/>
  <c r="BY65" i="2"/>
  <c r="BZ65" i="2"/>
  <c r="BR66" i="2"/>
  <c r="BU75" i="2" s="1"/>
  <c r="BS66" i="2"/>
  <c r="BT66" i="2"/>
  <c r="BU66" i="2"/>
  <c r="BV66" i="2"/>
  <c r="BW66" i="2"/>
  <c r="BX66" i="2"/>
  <c r="BY66" i="2"/>
  <c r="BZ66" i="2"/>
  <c r="BR67" i="2"/>
  <c r="BS67" i="2"/>
  <c r="BT67" i="2"/>
  <c r="BU67" i="2"/>
  <c r="BV67" i="2"/>
  <c r="BW67" i="2"/>
  <c r="BX67" i="2"/>
  <c r="BY67" i="2"/>
  <c r="BZ67" i="2"/>
  <c r="BR68" i="2"/>
  <c r="BS68" i="2"/>
  <c r="BT68" i="2"/>
  <c r="BU68" i="2"/>
  <c r="BV68" i="2"/>
  <c r="BW68" i="2"/>
  <c r="BX68" i="2"/>
  <c r="BY68" i="2"/>
  <c r="BZ68" i="2"/>
  <c r="BR69" i="2"/>
  <c r="BS69" i="2"/>
  <c r="BT69" i="2"/>
  <c r="BU69" i="2"/>
  <c r="BV69" i="2"/>
  <c r="BW69" i="2"/>
  <c r="BX69" i="2"/>
  <c r="BY69" i="2"/>
  <c r="BZ69" i="2"/>
  <c r="BR70" i="2"/>
  <c r="BS70" i="2"/>
  <c r="BT70" i="2"/>
  <c r="BU70" i="2"/>
  <c r="BV70" i="2"/>
  <c r="BW70" i="2"/>
  <c r="BX70" i="2"/>
  <c r="BY70" i="2"/>
  <c r="BZ70" i="2"/>
  <c r="BQ66" i="2"/>
  <c r="BQ67" i="2"/>
  <c r="BQ68" i="2"/>
  <c r="BQ69" i="2"/>
  <c r="BQ70" i="2"/>
  <c r="BQ65" i="2"/>
  <c r="AN75" i="7"/>
  <c r="CE75" i="6"/>
  <c r="CE83" i="6" s="1"/>
  <c r="BU76" i="6"/>
  <c r="BU76" i="4"/>
  <c r="E300" i="4" l="1"/>
  <c r="E286" i="4"/>
  <c r="E301" i="4"/>
  <c r="E287" i="4"/>
  <c r="E284" i="4"/>
  <c r="E298" i="4"/>
  <c r="E299" i="4"/>
  <c r="E285" i="4"/>
  <c r="E297" i="4"/>
  <c r="E283" i="4"/>
  <c r="E302" i="4"/>
  <c r="DL79" i="6"/>
  <c r="DL83" i="6" s="1"/>
  <c r="DO79" i="6"/>
  <c r="DO83" i="6" s="1"/>
  <c r="DM80" i="6"/>
  <c r="DM84" i="6" s="1"/>
  <c r="DL80" i="6"/>
  <c r="DL84" i="6" s="1"/>
  <c r="DK79" i="4"/>
  <c r="DK83" i="4" s="1"/>
  <c r="DL79" i="4"/>
  <c r="DL83" i="4" s="1"/>
  <c r="DM79" i="4"/>
  <c r="DM83" i="4" s="1"/>
  <c r="DM80" i="4"/>
  <c r="DM84" i="4" s="1"/>
  <c r="DL80" i="4"/>
  <c r="DL84" i="4" s="1"/>
  <c r="DG79" i="4"/>
  <c r="DG83" i="4" s="1"/>
  <c r="DK79" i="2"/>
  <c r="DK83" i="2" s="1"/>
  <c r="DN83" i="2"/>
  <c r="DM79" i="2"/>
  <c r="DM83" i="2" s="1"/>
  <c r="DP80" i="2"/>
  <c r="DP84" i="2" s="1"/>
  <c r="DN79" i="2"/>
  <c r="DL80" i="2"/>
  <c r="DO79" i="2"/>
  <c r="DO83" i="2" s="1"/>
  <c r="DP79" i="2"/>
  <c r="DP83" i="2" s="1"/>
  <c r="DN80" i="2"/>
  <c r="DN84" i="2" s="1"/>
  <c r="DL79" i="2"/>
  <c r="DL83" i="2" s="1"/>
  <c r="DO80" i="2"/>
  <c r="DO84" i="2" s="1"/>
  <c r="DM80" i="2"/>
  <c r="DM84" i="2" s="1"/>
  <c r="DL84" i="2"/>
  <c r="DK84" i="2"/>
  <c r="DK80" i="2"/>
  <c r="DE79" i="2"/>
  <c r="DE83" i="2" s="1"/>
  <c r="DG79" i="2"/>
  <c r="DG83" i="2" s="1"/>
  <c r="DJ80" i="2"/>
  <c r="DJ84" i="2" s="1"/>
  <c r="DG80" i="2"/>
  <c r="DG84" i="2" s="1"/>
  <c r="DH79" i="2"/>
  <c r="DH83" i="2" s="1"/>
  <c r="DI79" i="2"/>
  <c r="DI83" i="2" s="1"/>
  <c r="DH80" i="2"/>
  <c r="DH84" i="2" s="1"/>
  <c r="DJ79" i="2"/>
  <c r="DJ83" i="2" s="1"/>
  <c r="DF79" i="2"/>
  <c r="DF83" i="2" s="1"/>
  <c r="DF80" i="2"/>
  <c r="DF84" i="2" s="1"/>
  <c r="DI80" i="2"/>
  <c r="DI84" i="2" s="1"/>
  <c r="DF80" i="4"/>
  <c r="DF84" i="4" s="1"/>
  <c r="DI79" i="4"/>
  <c r="DI83" i="4" s="1"/>
  <c r="DE79" i="4"/>
  <c r="DE83" i="4" s="1"/>
  <c r="DJ79" i="4"/>
  <c r="DJ83" i="4" s="1"/>
  <c r="DH80" i="4"/>
  <c r="DH84" i="4" s="1"/>
  <c r="DE80" i="4"/>
  <c r="DE84" i="4" s="1"/>
  <c r="DH79" i="4"/>
  <c r="DH83" i="4" s="1"/>
  <c r="DP79" i="4"/>
  <c r="DP83" i="4" s="1"/>
  <c r="DP80" i="4"/>
  <c r="DP84" i="4" s="1"/>
  <c r="DO80" i="4"/>
  <c r="DO84" i="4" s="1"/>
  <c r="DN79" i="4"/>
  <c r="DN83" i="4" s="1"/>
  <c r="DO79" i="4"/>
  <c r="DO83" i="4" s="1"/>
  <c r="DN80" i="4"/>
  <c r="DN84" i="4" s="1"/>
  <c r="F245" i="2"/>
  <c r="E101" i="2"/>
  <c r="F101" i="2" s="1"/>
  <c r="D166" i="2" s="1"/>
  <c r="E117" i="2"/>
  <c r="F117" i="2" s="1"/>
  <c r="D182" i="2" s="1"/>
  <c r="E133" i="2"/>
  <c r="F133" i="2" s="1"/>
  <c r="D198" i="2" s="1"/>
  <c r="E141" i="2"/>
  <c r="F141" i="2" s="1"/>
  <c r="D206" i="2" s="1"/>
  <c r="E149" i="2"/>
  <c r="F149" i="2" s="1"/>
  <c r="D214" i="2" s="1"/>
  <c r="U119" i="2"/>
  <c r="V119" i="2" s="1"/>
  <c r="D246" i="2" s="1"/>
  <c r="U127" i="2"/>
  <c r="V127" i="2" s="1"/>
  <c r="D254" i="2" s="1"/>
  <c r="U135" i="2"/>
  <c r="V135" i="2" s="1"/>
  <c r="D262" i="2" s="1"/>
  <c r="U143" i="2"/>
  <c r="V143" i="2" s="1"/>
  <c r="D270" i="2" s="1"/>
  <c r="U151" i="2"/>
  <c r="V151" i="2" s="1"/>
  <c r="D278" i="2" s="1"/>
  <c r="F236" i="2"/>
  <c r="F260" i="2"/>
  <c r="F268" i="2"/>
  <c r="E111" i="2"/>
  <c r="F111" i="2" s="1"/>
  <c r="D176" i="2" s="1"/>
  <c r="E143" i="2"/>
  <c r="F143" i="2" s="1"/>
  <c r="D208" i="2" s="1"/>
  <c r="E93" i="2"/>
  <c r="F93" i="2" s="1"/>
  <c r="D158" i="2" s="1"/>
  <c r="E99" i="2"/>
  <c r="F99" i="2" s="1"/>
  <c r="D164" i="2" s="1"/>
  <c r="E131" i="2"/>
  <c r="F131" i="2" s="1"/>
  <c r="D196" i="2" s="1"/>
  <c r="E122" i="2"/>
  <c r="F122" i="2" s="1"/>
  <c r="D187" i="2" s="1"/>
  <c r="E123" i="2"/>
  <c r="F123" i="2" s="1"/>
  <c r="D188" i="2" s="1"/>
  <c r="E95" i="2"/>
  <c r="F95" i="2" s="1"/>
  <c r="D160" i="2" s="1"/>
  <c r="E105" i="2"/>
  <c r="F105" i="2" s="1"/>
  <c r="D170" i="2" s="1"/>
  <c r="E115" i="2"/>
  <c r="F115" i="2" s="1"/>
  <c r="D180" i="2" s="1"/>
  <c r="E127" i="2"/>
  <c r="F127" i="2" s="1"/>
  <c r="D192" i="2" s="1"/>
  <c r="E137" i="2"/>
  <c r="F137" i="2" s="1"/>
  <c r="D202" i="2" s="1"/>
  <c r="E147" i="2"/>
  <c r="F147" i="2" s="1"/>
  <c r="D212" i="2" s="1"/>
  <c r="E126" i="2"/>
  <c r="F126" i="2" s="1"/>
  <c r="D191" i="2" s="1"/>
  <c r="F243" i="2"/>
  <c r="E94" i="2"/>
  <c r="F94" i="2" s="1"/>
  <c r="D159" i="2" s="1"/>
  <c r="E118" i="2"/>
  <c r="F118" i="2" s="1"/>
  <c r="D183" i="2" s="1"/>
  <c r="E142" i="2"/>
  <c r="F142" i="2" s="1"/>
  <c r="D207" i="2" s="1"/>
  <c r="E135" i="2"/>
  <c r="F135" i="2" s="1"/>
  <c r="D200" i="2" s="1"/>
  <c r="AK96" i="2"/>
  <c r="AL96" i="2" s="1"/>
  <c r="AK128" i="2"/>
  <c r="AL128" i="2" s="1"/>
  <c r="AK119" i="2"/>
  <c r="AL119" i="2" s="1"/>
  <c r="AK151" i="2"/>
  <c r="AL151" i="2" s="1"/>
  <c r="E216" i="2" s="1"/>
  <c r="AK120" i="2"/>
  <c r="AL120" i="2" s="1"/>
  <c r="E185" i="2" s="1"/>
  <c r="AK152" i="2"/>
  <c r="AL152" i="2" s="1"/>
  <c r="E217" i="2" s="1"/>
  <c r="AK95" i="2"/>
  <c r="AL95" i="2" s="1"/>
  <c r="E160" i="2" s="1"/>
  <c r="AK113" i="2"/>
  <c r="AL113" i="2" s="1"/>
  <c r="AK148" i="2"/>
  <c r="AL148" i="2" s="1"/>
  <c r="AK121" i="2"/>
  <c r="AL121" i="2" s="1"/>
  <c r="AK111" i="2"/>
  <c r="AL111" i="2" s="1"/>
  <c r="AK116" i="2"/>
  <c r="AL116" i="2" s="1"/>
  <c r="AK103" i="2"/>
  <c r="AL103" i="2" s="1"/>
  <c r="E168" i="2" s="1"/>
  <c r="AK126" i="2"/>
  <c r="AL126" i="2" s="1"/>
  <c r="E191" i="2" s="1"/>
  <c r="AK135" i="2"/>
  <c r="AL135" i="2" s="1"/>
  <c r="E200" i="2" s="1"/>
  <c r="AK93" i="2"/>
  <c r="AL93" i="2" s="1"/>
  <c r="E158" i="2" s="1"/>
  <c r="AK136" i="2"/>
  <c r="AL136" i="2" s="1"/>
  <c r="AK104" i="2"/>
  <c r="AL104" i="2" s="1"/>
  <c r="E169" i="2" s="1"/>
  <c r="AK124" i="2"/>
  <c r="AL124" i="2" s="1"/>
  <c r="AK137" i="2"/>
  <c r="AL137" i="2" s="1"/>
  <c r="E202" i="2" s="1"/>
  <c r="AK105" i="2"/>
  <c r="AL105" i="2" s="1"/>
  <c r="AK143" i="2"/>
  <c r="AL143" i="2" s="1"/>
  <c r="E208" i="2" s="1"/>
  <c r="AK94" i="2"/>
  <c r="AL94" i="2" s="1"/>
  <c r="E159" i="2" s="1"/>
  <c r="AK112" i="2"/>
  <c r="AL112" i="2" s="1"/>
  <c r="AK127" i="2"/>
  <c r="AL127" i="2" s="1"/>
  <c r="E192" i="2" s="1"/>
  <c r="AK145" i="2"/>
  <c r="AL145" i="2" s="1"/>
  <c r="AK109" i="2"/>
  <c r="AL109" i="2" s="1"/>
  <c r="AK133" i="2"/>
  <c r="AL133" i="2" s="1"/>
  <c r="E198" i="2" s="1"/>
  <c r="AK141" i="2"/>
  <c r="AL141" i="2" s="1"/>
  <c r="E206" i="2" s="1"/>
  <c r="E223" i="2"/>
  <c r="E112" i="2"/>
  <c r="F112" i="2" s="1"/>
  <c r="D177" i="2" s="1"/>
  <c r="E120" i="2"/>
  <c r="F120" i="2" s="1"/>
  <c r="D185" i="2" s="1"/>
  <c r="E152" i="2"/>
  <c r="F152" i="2" s="1"/>
  <c r="D217" i="2" s="1"/>
  <c r="AK102" i="2"/>
  <c r="AL102" i="2" s="1"/>
  <c r="AK134" i="2"/>
  <c r="AL134" i="2" s="1"/>
  <c r="E256" i="2"/>
  <c r="E272" i="2"/>
  <c r="E109" i="2"/>
  <c r="F109" i="2" s="1"/>
  <c r="D174" i="2" s="1"/>
  <c r="U100" i="2"/>
  <c r="V100" i="2" s="1"/>
  <c r="D227" i="2" s="1"/>
  <c r="U139" i="2"/>
  <c r="V139" i="2" s="1"/>
  <c r="D266" i="2" s="1"/>
  <c r="U125" i="2"/>
  <c r="V125" i="2" s="1"/>
  <c r="D252" i="2" s="1"/>
  <c r="U101" i="2"/>
  <c r="V101" i="2" s="1"/>
  <c r="D228" i="2" s="1"/>
  <c r="U115" i="2"/>
  <c r="V115" i="2" s="1"/>
  <c r="D242" i="2" s="1"/>
  <c r="U140" i="2"/>
  <c r="V140" i="2" s="1"/>
  <c r="D267" i="2" s="1"/>
  <c r="U116" i="2"/>
  <c r="V116" i="2" s="1"/>
  <c r="D243" i="2" s="1"/>
  <c r="U141" i="2"/>
  <c r="V141" i="2" s="1"/>
  <c r="D268" i="2" s="1"/>
  <c r="U107" i="2"/>
  <c r="V107" i="2" s="1"/>
  <c r="D234" i="2" s="1"/>
  <c r="U132" i="2"/>
  <c r="V132" i="2" s="1"/>
  <c r="D259" i="2" s="1"/>
  <c r="E110" i="2"/>
  <c r="F110" i="2" s="1"/>
  <c r="D175" i="2" s="1"/>
  <c r="E103" i="2"/>
  <c r="F103" i="2" s="1"/>
  <c r="D168" i="2" s="1"/>
  <c r="E151" i="2"/>
  <c r="F151" i="2" s="1"/>
  <c r="D216" i="2" s="1"/>
  <c r="AK101" i="2"/>
  <c r="AL101" i="2" s="1"/>
  <c r="AK125" i="2"/>
  <c r="AL125" i="2" s="1"/>
  <c r="E190" i="2" s="1"/>
  <c r="AK149" i="2"/>
  <c r="AL149" i="2" s="1"/>
  <c r="E214" i="2" s="1"/>
  <c r="E239" i="2"/>
  <c r="E279" i="2"/>
  <c r="E96" i="2"/>
  <c r="F96" i="2" s="1"/>
  <c r="D161" i="2" s="1"/>
  <c r="E128" i="2"/>
  <c r="F128" i="2" s="1"/>
  <c r="D193" i="2" s="1"/>
  <c r="E144" i="2"/>
  <c r="F144" i="2" s="1"/>
  <c r="D209" i="2" s="1"/>
  <c r="E221" i="2"/>
  <c r="E97" i="2"/>
  <c r="F97" i="2" s="1"/>
  <c r="D162" i="2" s="1"/>
  <c r="E113" i="2"/>
  <c r="F113" i="2" s="1"/>
  <c r="D178" i="2" s="1"/>
  <c r="E121" i="2"/>
  <c r="F121" i="2" s="1"/>
  <c r="D186" i="2" s="1"/>
  <c r="E129" i="2"/>
  <c r="F129" i="2" s="1"/>
  <c r="D194" i="2" s="1"/>
  <c r="E145" i="2"/>
  <c r="F145" i="2" s="1"/>
  <c r="D210" i="2" s="1"/>
  <c r="E146" i="2"/>
  <c r="F146" i="2" s="1"/>
  <c r="D211" i="2" s="1"/>
  <c r="U99" i="2"/>
  <c r="V99" i="2" s="1"/>
  <c r="D226" i="2" s="1"/>
  <c r="U123" i="2"/>
  <c r="V123" i="2" s="1"/>
  <c r="D250" i="2" s="1"/>
  <c r="U147" i="2"/>
  <c r="V147" i="2" s="1"/>
  <c r="D274" i="2" s="1"/>
  <c r="U117" i="2"/>
  <c r="V117" i="2" s="1"/>
  <c r="D244" i="2" s="1"/>
  <c r="E233" i="2"/>
  <c r="E249" i="2"/>
  <c r="F202" i="2"/>
  <c r="F267" i="2"/>
  <c r="E102" i="2"/>
  <c r="F102" i="2" s="1"/>
  <c r="D167" i="2" s="1"/>
  <c r="E134" i="2"/>
  <c r="F134" i="2" s="1"/>
  <c r="D199" i="2" s="1"/>
  <c r="E150" i="2"/>
  <c r="F150" i="2" s="1"/>
  <c r="D215" i="2" s="1"/>
  <c r="E119" i="2"/>
  <c r="F119" i="2" s="1"/>
  <c r="D184" i="2" s="1"/>
  <c r="U142" i="2"/>
  <c r="V142" i="2" s="1"/>
  <c r="D269" i="2" s="1"/>
  <c r="AK117" i="2"/>
  <c r="AL117" i="2" s="1"/>
  <c r="CH75" i="2"/>
  <c r="E98" i="2"/>
  <c r="F98" i="2" s="1"/>
  <c r="D163" i="2" s="1"/>
  <c r="E106" i="2"/>
  <c r="F106" i="2" s="1"/>
  <c r="D171" i="2" s="1"/>
  <c r="E130" i="2"/>
  <c r="F130" i="2" s="1"/>
  <c r="D195" i="2" s="1"/>
  <c r="E138" i="2"/>
  <c r="F138" i="2" s="1"/>
  <c r="D203" i="2" s="1"/>
  <c r="E136" i="2"/>
  <c r="F136" i="2" s="1"/>
  <c r="D201" i="2" s="1"/>
  <c r="U148" i="2"/>
  <c r="V148" i="2" s="1"/>
  <c r="D275" i="2" s="1"/>
  <c r="U103" i="2"/>
  <c r="V103" i="2" s="1"/>
  <c r="D230" i="2" s="1"/>
  <c r="F163" i="2"/>
  <c r="F233" i="2"/>
  <c r="AK100" i="2"/>
  <c r="AL100" i="2" s="1"/>
  <c r="E165" i="2" s="1"/>
  <c r="AK108" i="2"/>
  <c r="AL108" i="2" s="1"/>
  <c r="AK132" i="2"/>
  <c r="AL132" i="2" s="1"/>
  <c r="AK140" i="2"/>
  <c r="AL140" i="2" s="1"/>
  <c r="BA104" i="2"/>
  <c r="BB104" i="2" s="1"/>
  <c r="E231" i="2" s="1"/>
  <c r="BA128" i="2"/>
  <c r="BB128" i="2" s="1"/>
  <c r="BA136" i="2"/>
  <c r="BB136" i="2" s="1"/>
  <c r="BA139" i="2"/>
  <c r="BB139" i="2" s="1"/>
  <c r="E266" i="2" s="1"/>
  <c r="BA98" i="2"/>
  <c r="BB98" i="2" s="1"/>
  <c r="E225" i="2" s="1"/>
  <c r="BR140" i="2"/>
  <c r="BR146" i="2"/>
  <c r="F211" i="2" s="1"/>
  <c r="F276" i="2"/>
  <c r="F270" i="2"/>
  <c r="F247" i="2"/>
  <c r="BA137" i="2"/>
  <c r="BB137" i="2" s="1"/>
  <c r="BA133" i="2"/>
  <c r="BB133" i="2" s="1"/>
  <c r="E260" i="2" s="1"/>
  <c r="F246" i="2"/>
  <c r="F223" i="2"/>
  <c r="F253" i="2"/>
  <c r="F227" i="2"/>
  <c r="U96" i="2"/>
  <c r="V96" i="2" s="1"/>
  <c r="D223" i="2" s="1"/>
  <c r="U104" i="2"/>
  <c r="V104" i="2" s="1"/>
  <c r="D231" i="2" s="1"/>
  <c r="U112" i="2"/>
  <c r="V112" i="2" s="1"/>
  <c r="D239" i="2" s="1"/>
  <c r="U120" i="2"/>
  <c r="V120" i="2" s="1"/>
  <c r="D247" i="2" s="1"/>
  <c r="U128" i="2"/>
  <c r="V128" i="2" s="1"/>
  <c r="D255" i="2" s="1"/>
  <c r="U136" i="2"/>
  <c r="V136" i="2" s="1"/>
  <c r="D263" i="2" s="1"/>
  <c r="U144" i="2"/>
  <c r="V144" i="2" s="1"/>
  <c r="D271" i="2" s="1"/>
  <c r="U152" i="2"/>
  <c r="V152" i="2" s="1"/>
  <c r="D279" i="2" s="1"/>
  <c r="AK110" i="2"/>
  <c r="AL110" i="2" s="1"/>
  <c r="AK118" i="2"/>
  <c r="AL118" i="2" s="1"/>
  <c r="AK142" i="2"/>
  <c r="AL142" i="2" s="1"/>
  <c r="AK150" i="2"/>
  <c r="AL150" i="2" s="1"/>
  <c r="BA114" i="2"/>
  <c r="BB114" i="2" s="1"/>
  <c r="E241" i="2" s="1"/>
  <c r="BA138" i="2"/>
  <c r="BB138" i="2" s="1"/>
  <c r="E265" i="2" s="1"/>
  <c r="BA146" i="2"/>
  <c r="BB146" i="2" s="1"/>
  <c r="BA132" i="2"/>
  <c r="BB132" i="2" s="1"/>
  <c r="E259" i="2" s="1"/>
  <c r="BA117" i="2"/>
  <c r="BB117" i="2" s="1"/>
  <c r="BR126" i="2"/>
  <c r="F191" i="2" s="1"/>
  <c r="BR134" i="2"/>
  <c r="BR114" i="2"/>
  <c r="F179" i="2" s="1"/>
  <c r="U97" i="2"/>
  <c r="V97" i="2" s="1"/>
  <c r="D224" i="2" s="1"/>
  <c r="U105" i="2"/>
  <c r="V105" i="2" s="1"/>
  <c r="D232" i="2" s="1"/>
  <c r="U113" i="2"/>
  <c r="V113" i="2" s="1"/>
  <c r="D240" i="2" s="1"/>
  <c r="U121" i="2"/>
  <c r="V121" i="2" s="1"/>
  <c r="D248" i="2" s="1"/>
  <c r="U129" i="2"/>
  <c r="V129" i="2" s="1"/>
  <c r="D256" i="2" s="1"/>
  <c r="U137" i="2"/>
  <c r="V137" i="2" s="1"/>
  <c r="D264" i="2" s="1"/>
  <c r="U145" i="2"/>
  <c r="V145" i="2" s="1"/>
  <c r="D272" i="2" s="1"/>
  <c r="BA149" i="2"/>
  <c r="BB149" i="2" s="1"/>
  <c r="E276" i="2" s="1"/>
  <c r="BA131" i="2"/>
  <c r="BB131" i="2" s="1"/>
  <c r="E258" i="2" s="1"/>
  <c r="BA113" i="2"/>
  <c r="BB113" i="2" s="1"/>
  <c r="BA95" i="2"/>
  <c r="BB95" i="2" s="1"/>
  <c r="E222" i="2" s="1"/>
  <c r="BR133" i="2"/>
  <c r="F198" i="2" s="1"/>
  <c r="BR115" i="2"/>
  <c r="BR142" i="2"/>
  <c r="BR113" i="2"/>
  <c r="BA93" i="2"/>
  <c r="BB93" i="2" s="1"/>
  <c r="E220" i="2" s="1"/>
  <c r="U106" i="2"/>
  <c r="V106" i="2" s="1"/>
  <c r="D233" i="2" s="1"/>
  <c r="U122" i="2"/>
  <c r="V122" i="2" s="1"/>
  <c r="D249" i="2" s="1"/>
  <c r="U146" i="2"/>
  <c r="V146" i="2" s="1"/>
  <c r="D273" i="2" s="1"/>
  <c r="AK97" i="2"/>
  <c r="AL97" i="2" s="1"/>
  <c r="E162" i="2" s="1"/>
  <c r="AK129" i="2"/>
  <c r="AL129" i="2" s="1"/>
  <c r="BA124" i="2"/>
  <c r="BB124" i="2" s="1"/>
  <c r="E251" i="2" s="1"/>
  <c r="BA125" i="2"/>
  <c r="BB125" i="2" s="1"/>
  <c r="BA108" i="2"/>
  <c r="BB108" i="2" s="1"/>
  <c r="E235" i="2" s="1"/>
  <c r="BR97" i="2"/>
  <c r="F162" i="2" s="1"/>
  <c r="BR105" i="2"/>
  <c r="BR121" i="2"/>
  <c r="F186" i="2" s="1"/>
  <c r="BR145" i="2"/>
  <c r="F210" i="2" s="1"/>
  <c r="BR131" i="2"/>
  <c r="F196" i="2" s="1"/>
  <c r="CH129" i="2"/>
  <c r="F256" i="2" s="1"/>
  <c r="U130" i="2"/>
  <c r="V130" i="2" s="1"/>
  <c r="D257" i="2" s="1"/>
  <c r="BA130" i="2"/>
  <c r="BB130" i="2" s="1"/>
  <c r="BR96" i="2"/>
  <c r="F161" i="2" s="1"/>
  <c r="BR128" i="2"/>
  <c r="F193" i="2" s="1"/>
  <c r="BR144" i="2"/>
  <c r="F209" i="2" s="1"/>
  <c r="BA141" i="2"/>
  <c r="BB141" i="2" s="1"/>
  <c r="E268" i="2" s="1"/>
  <c r="BA123" i="2"/>
  <c r="BB123" i="2" s="1"/>
  <c r="E250" i="2" s="1"/>
  <c r="F272" i="2"/>
  <c r="F249" i="2"/>
  <c r="F232" i="2"/>
  <c r="BA105" i="2"/>
  <c r="BB105" i="2" s="1"/>
  <c r="E232" i="2" s="1"/>
  <c r="BA120" i="2"/>
  <c r="BB120" i="2" s="1"/>
  <c r="E247" i="2" s="1"/>
  <c r="U98" i="2"/>
  <c r="V98" i="2" s="1"/>
  <c r="D225" i="2" s="1"/>
  <c r="U114" i="2"/>
  <c r="V114" i="2" s="1"/>
  <c r="D241" i="2" s="1"/>
  <c r="U138" i="2"/>
  <c r="V138" i="2" s="1"/>
  <c r="D265" i="2" s="1"/>
  <c r="BR104" i="2"/>
  <c r="F169" i="2" s="1"/>
  <c r="BR120" i="2"/>
  <c r="F185" i="2" s="1"/>
  <c r="BR136" i="2"/>
  <c r="F201" i="2" s="1"/>
  <c r="BR109" i="2"/>
  <c r="F174" i="2" s="1"/>
  <c r="F277" i="2"/>
  <c r="E100" i="2"/>
  <c r="F100" i="2" s="1"/>
  <c r="D165" i="2" s="1"/>
  <c r="E108" i="2"/>
  <c r="F108" i="2" s="1"/>
  <c r="D173" i="2" s="1"/>
  <c r="E116" i="2"/>
  <c r="F116" i="2" s="1"/>
  <c r="D181" i="2" s="1"/>
  <c r="E124" i="2"/>
  <c r="F124" i="2" s="1"/>
  <c r="D189" i="2" s="1"/>
  <c r="E132" i="2"/>
  <c r="F132" i="2" s="1"/>
  <c r="D197" i="2" s="1"/>
  <c r="E140" i="2"/>
  <c r="F140" i="2" s="1"/>
  <c r="D205" i="2" s="1"/>
  <c r="E148" i="2"/>
  <c r="F148" i="2" s="1"/>
  <c r="D213" i="2" s="1"/>
  <c r="U93" i="2"/>
  <c r="V93" i="2" s="1"/>
  <c r="D220" i="2" s="1"/>
  <c r="U108" i="2"/>
  <c r="V108" i="2" s="1"/>
  <c r="D235" i="2" s="1"/>
  <c r="BA103" i="2"/>
  <c r="BB103" i="2" s="1"/>
  <c r="E230" i="2" s="1"/>
  <c r="BA111" i="2"/>
  <c r="BB111" i="2" s="1"/>
  <c r="E238" i="2" s="1"/>
  <c r="BA119" i="2"/>
  <c r="BB119" i="2" s="1"/>
  <c r="E246" i="2" s="1"/>
  <c r="BA127" i="2"/>
  <c r="BB127" i="2" s="1"/>
  <c r="E254" i="2" s="1"/>
  <c r="BA135" i="2"/>
  <c r="BB135" i="2" s="1"/>
  <c r="E262" i="2" s="1"/>
  <c r="BA143" i="2"/>
  <c r="BB143" i="2" s="1"/>
  <c r="BA151" i="2"/>
  <c r="BB151" i="2" s="1"/>
  <c r="BA140" i="2"/>
  <c r="BB140" i="2" s="1"/>
  <c r="E267" i="2" s="1"/>
  <c r="BR147" i="2"/>
  <c r="F212" i="2" s="1"/>
  <c r="F251" i="2"/>
  <c r="CH132" i="2"/>
  <c r="F259" i="2" s="1"/>
  <c r="CH148" i="2"/>
  <c r="F275" i="2" s="1"/>
  <c r="CH144" i="2"/>
  <c r="CH121" i="2"/>
  <c r="CH104" i="2"/>
  <c r="F231" i="2" s="1"/>
  <c r="AK98" i="2"/>
  <c r="AL98" i="2" s="1"/>
  <c r="AK106" i="2"/>
  <c r="AL106" i="2" s="1"/>
  <c r="AK114" i="2"/>
  <c r="AL114" i="2" s="1"/>
  <c r="E179" i="2" s="1"/>
  <c r="AK122" i="2"/>
  <c r="AL122" i="2" s="1"/>
  <c r="E187" i="2" s="1"/>
  <c r="AK130" i="2"/>
  <c r="AL130" i="2" s="1"/>
  <c r="E195" i="2" s="1"/>
  <c r="AK138" i="2"/>
  <c r="AL138" i="2" s="1"/>
  <c r="E203" i="2" s="1"/>
  <c r="AK146" i="2"/>
  <c r="AL146" i="2" s="1"/>
  <c r="E211" i="2" s="1"/>
  <c r="BA100" i="2"/>
  <c r="BB100" i="2" s="1"/>
  <c r="BA148" i="2"/>
  <c r="BB148" i="2" s="1"/>
  <c r="E275" i="2" s="1"/>
  <c r="BA116" i="2"/>
  <c r="BB116" i="2" s="1"/>
  <c r="E243" i="2" s="1"/>
  <c r="BQ93" i="2"/>
  <c r="BR93" i="2" s="1"/>
  <c r="F158" i="2" s="1"/>
  <c r="BQ99" i="2"/>
  <c r="BR99" i="2" s="1"/>
  <c r="F164" i="2" s="1"/>
  <c r="BQ138" i="2"/>
  <c r="BR138" i="2" s="1"/>
  <c r="F203" i="2" s="1"/>
  <c r="BQ139" i="2"/>
  <c r="BR139" i="2" s="1"/>
  <c r="F204" i="2" s="1"/>
  <c r="BQ101" i="2"/>
  <c r="BR101" i="2" s="1"/>
  <c r="BQ125" i="2"/>
  <c r="BR125" i="2" s="1"/>
  <c r="F190" i="2" s="1"/>
  <c r="BQ149" i="2"/>
  <c r="BR149" i="2" s="1"/>
  <c r="F214" i="2" s="1"/>
  <c r="CH135" i="2"/>
  <c r="CH95" i="2"/>
  <c r="F222" i="2" s="1"/>
  <c r="AK99" i="2"/>
  <c r="AL99" i="2" s="1"/>
  <c r="E164" i="2" s="1"/>
  <c r="AK107" i="2"/>
  <c r="AL107" i="2" s="1"/>
  <c r="E172" i="2" s="1"/>
  <c r="AK115" i="2"/>
  <c r="AL115" i="2" s="1"/>
  <c r="E180" i="2" s="1"/>
  <c r="AK123" i="2"/>
  <c r="AL123" i="2" s="1"/>
  <c r="AK131" i="2"/>
  <c r="AL131" i="2" s="1"/>
  <c r="E196" i="2" s="1"/>
  <c r="AK139" i="2"/>
  <c r="AL139" i="2" s="1"/>
  <c r="E204" i="2" s="1"/>
  <c r="AK147" i="2"/>
  <c r="AL147" i="2" s="1"/>
  <c r="E212" i="2" s="1"/>
  <c r="BA101" i="2"/>
  <c r="BB101" i="2" s="1"/>
  <c r="E228" i="2" s="1"/>
  <c r="BA109" i="2"/>
  <c r="BB109" i="2" s="1"/>
  <c r="E236" i="2" s="1"/>
  <c r="BA147" i="2"/>
  <c r="BB147" i="2" s="1"/>
  <c r="E274" i="2" s="1"/>
  <c r="BA115" i="2"/>
  <c r="BB115" i="2" s="1"/>
  <c r="E242" i="2" s="1"/>
  <c r="BR110" i="2"/>
  <c r="BR150" i="2"/>
  <c r="BR141" i="2"/>
  <c r="F206" i="2" s="1"/>
  <c r="BR123" i="2"/>
  <c r="BR107" i="2"/>
  <c r="F172" i="2" s="1"/>
  <c r="CH112" i="2"/>
  <c r="F239" i="2" s="1"/>
  <c r="CH128" i="2"/>
  <c r="F255" i="2" s="1"/>
  <c r="CH152" i="2"/>
  <c r="F279" i="2" s="1"/>
  <c r="CH134" i="2"/>
  <c r="F261" i="2" s="1"/>
  <c r="CH111" i="2"/>
  <c r="F238" i="2" s="1"/>
  <c r="CH94" i="2"/>
  <c r="F221" i="2" s="1"/>
  <c r="BA102" i="2"/>
  <c r="BB102" i="2" s="1"/>
  <c r="E229" i="2" s="1"/>
  <c r="BA110" i="2"/>
  <c r="BB110" i="2" s="1"/>
  <c r="E237" i="2" s="1"/>
  <c r="BA118" i="2"/>
  <c r="BB118" i="2" s="1"/>
  <c r="E245" i="2" s="1"/>
  <c r="BA126" i="2"/>
  <c r="BB126" i="2" s="1"/>
  <c r="E253" i="2" s="1"/>
  <c r="BA134" i="2"/>
  <c r="BB134" i="2" s="1"/>
  <c r="E261" i="2" s="1"/>
  <c r="BA142" i="2"/>
  <c r="BB142" i="2" s="1"/>
  <c r="BA150" i="2"/>
  <c r="BB150" i="2" s="1"/>
  <c r="E277" i="2" s="1"/>
  <c r="BQ95" i="2"/>
  <c r="BR95" i="2" s="1"/>
  <c r="BQ103" i="2"/>
  <c r="BR103" i="2" s="1"/>
  <c r="F168" i="2" s="1"/>
  <c r="BQ111" i="2"/>
  <c r="BR111" i="2" s="1"/>
  <c r="BQ119" i="2"/>
  <c r="BR119" i="2" s="1"/>
  <c r="BQ127" i="2"/>
  <c r="BR127" i="2" s="1"/>
  <c r="F192" i="2" s="1"/>
  <c r="BQ135" i="2"/>
  <c r="BR135" i="2" s="1"/>
  <c r="F200" i="2" s="1"/>
  <c r="BQ143" i="2"/>
  <c r="BR143" i="2" s="1"/>
  <c r="BQ151" i="2"/>
  <c r="BR151" i="2" s="1"/>
  <c r="F216" i="2" s="1"/>
  <c r="BQ122" i="2"/>
  <c r="BR122" i="2" s="1"/>
  <c r="F187" i="2" s="1"/>
  <c r="BQ106" i="2"/>
  <c r="BR106" i="2" s="1"/>
  <c r="CH137" i="2"/>
  <c r="F264" i="2" s="1"/>
  <c r="CH110" i="2"/>
  <c r="F237" i="2" s="1"/>
  <c r="CG93" i="2"/>
  <c r="CH93" i="2" s="1"/>
  <c r="F220" i="2" s="1"/>
  <c r="CG142" i="2"/>
  <c r="CH142" i="2" s="1"/>
  <c r="F269" i="2" s="1"/>
  <c r="CG114" i="2"/>
  <c r="CH114" i="2" s="1"/>
  <c r="F241" i="2" s="1"/>
  <c r="CG103" i="2"/>
  <c r="CH103" i="2" s="1"/>
  <c r="F230" i="2" s="1"/>
  <c r="BA99" i="2"/>
  <c r="BB99" i="2" s="1"/>
  <c r="E226" i="2" s="1"/>
  <c r="CG127" i="2"/>
  <c r="CH127" i="2" s="1"/>
  <c r="F254" i="2" s="1"/>
  <c r="CG113" i="2"/>
  <c r="CH113" i="2" s="1"/>
  <c r="CG102" i="2"/>
  <c r="CH102" i="2" s="1"/>
  <c r="F229" i="2" s="1"/>
  <c r="CG99" i="2"/>
  <c r="CH99" i="2" s="1"/>
  <c r="F226" i="2" s="1"/>
  <c r="CG107" i="2"/>
  <c r="CH107" i="2" s="1"/>
  <c r="F234" i="2" s="1"/>
  <c r="CG115" i="2"/>
  <c r="CH115" i="2" s="1"/>
  <c r="F242" i="2" s="1"/>
  <c r="CG123" i="2"/>
  <c r="CH123" i="2" s="1"/>
  <c r="F250" i="2" s="1"/>
  <c r="CG131" i="2"/>
  <c r="CH131" i="2" s="1"/>
  <c r="F258" i="2" s="1"/>
  <c r="CG139" i="2"/>
  <c r="CH139" i="2" s="1"/>
  <c r="CG147" i="2"/>
  <c r="CH147" i="2" s="1"/>
  <c r="F274" i="2" s="1"/>
  <c r="CG151" i="2"/>
  <c r="CH151" i="2" s="1"/>
  <c r="AK94" i="9"/>
  <c r="AL94" i="9" s="1"/>
  <c r="AK102" i="9"/>
  <c r="AL102" i="9" s="1"/>
  <c r="AK110" i="9"/>
  <c r="AL110" i="9" s="1"/>
  <c r="AK118" i="9"/>
  <c r="AL118" i="9" s="1"/>
  <c r="AK126" i="9"/>
  <c r="AL126" i="9" s="1"/>
  <c r="AK134" i="9"/>
  <c r="AL134" i="9" s="1"/>
  <c r="AK142" i="9"/>
  <c r="AL142" i="9" s="1"/>
  <c r="AK150" i="9"/>
  <c r="AL150" i="9" s="1"/>
  <c r="AK95" i="9"/>
  <c r="AL95" i="9" s="1"/>
  <c r="AK103" i="9"/>
  <c r="AL103" i="9" s="1"/>
  <c r="AK111" i="9"/>
  <c r="AL111" i="9" s="1"/>
  <c r="AK119" i="9"/>
  <c r="AL119" i="9" s="1"/>
  <c r="AK127" i="9"/>
  <c r="AL127" i="9" s="1"/>
  <c r="AK135" i="9"/>
  <c r="AL135" i="9" s="1"/>
  <c r="AK143" i="9"/>
  <c r="AL143" i="9" s="1"/>
  <c r="AK106" i="9"/>
  <c r="AL106" i="9" s="1"/>
  <c r="AK146" i="9"/>
  <c r="AL146" i="9" s="1"/>
  <c r="AK93" i="9"/>
  <c r="AL93" i="9" s="1"/>
  <c r="AK98" i="9"/>
  <c r="AL98" i="9" s="1"/>
  <c r="AK138" i="9"/>
  <c r="AL138" i="9" s="1"/>
  <c r="AK114" i="9"/>
  <c r="AL114" i="9" s="1"/>
  <c r="AK122" i="9"/>
  <c r="AL122" i="9" s="1"/>
  <c r="AK130" i="9"/>
  <c r="AL130" i="9" s="1"/>
  <c r="AK99" i="9"/>
  <c r="AL99" i="9" s="1"/>
  <c r="AK107" i="9"/>
  <c r="AL107" i="9" s="1"/>
  <c r="AK115" i="9"/>
  <c r="AL115" i="9" s="1"/>
  <c r="AK123" i="9"/>
  <c r="AL123" i="9" s="1"/>
  <c r="AK131" i="9"/>
  <c r="AL131" i="9" s="1"/>
  <c r="AK139" i="9"/>
  <c r="AL139" i="9" s="1"/>
  <c r="U94" i="9"/>
  <c r="V94" i="9" s="1"/>
  <c r="U102" i="9"/>
  <c r="V102" i="9" s="1"/>
  <c r="U110" i="9"/>
  <c r="V110" i="9" s="1"/>
  <c r="U118" i="9"/>
  <c r="V118" i="9" s="1"/>
  <c r="U126" i="9"/>
  <c r="V126" i="9" s="1"/>
  <c r="U134" i="9"/>
  <c r="V134" i="9" s="1"/>
  <c r="U142" i="9"/>
  <c r="V142" i="9" s="1"/>
  <c r="U150" i="9"/>
  <c r="V150" i="9" s="1"/>
  <c r="U103" i="9"/>
  <c r="V103" i="9" s="1"/>
  <c r="U93" i="9"/>
  <c r="V93" i="9" s="1"/>
  <c r="U114" i="9"/>
  <c r="V114" i="9" s="1"/>
  <c r="U138" i="9"/>
  <c r="V138" i="9" s="1"/>
  <c r="U106" i="9"/>
  <c r="V106" i="9" s="1"/>
  <c r="U122" i="9"/>
  <c r="V122" i="9" s="1"/>
  <c r="U130" i="9"/>
  <c r="V130" i="9" s="1"/>
  <c r="U146" i="9"/>
  <c r="V146" i="9" s="1"/>
  <c r="U99" i="9"/>
  <c r="V99" i="9" s="1"/>
  <c r="U107" i="9"/>
  <c r="V107" i="9" s="1"/>
  <c r="U115" i="9"/>
  <c r="V115" i="9" s="1"/>
  <c r="U123" i="9"/>
  <c r="V123" i="9" s="1"/>
  <c r="U131" i="9"/>
  <c r="V131" i="9" s="1"/>
  <c r="U139" i="9"/>
  <c r="V139" i="9" s="1"/>
  <c r="F94" i="9"/>
  <c r="F112" i="9"/>
  <c r="F143" i="9"/>
  <c r="F149" i="9"/>
  <c r="F120" i="9"/>
  <c r="D160" i="9"/>
  <c r="D178" i="9"/>
  <c r="D190" i="9"/>
  <c r="F145" i="9"/>
  <c r="F97" i="9"/>
  <c r="F121" i="9"/>
  <c r="F133" i="9"/>
  <c r="F103" i="9"/>
  <c r="F109" i="9"/>
  <c r="F128" i="9"/>
  <c r="F148" i="9"/>
  <c r="F104" i="9"/>
  <c r="F129" i="9"/>
  <c r="F135" i="9"/>
  <c r="F141" i="9"/>
  <c r="D166" i="9"/>
  <c r="D184" i="9"/>
  <c r="D209" i="9"/>
  <c r="F96" i="9"/>
  <c r="F151" i="9"/>
  <c r="F102" i="9"/>
  <c r="F127" i="9"/>
  <c r="F152" i="9"/>
  <c r="F93" i="9"/>
  <c r="F105" i="9"/>
  <c r="F110" i="9"/>
  <c r="F136" i="9"/>
  <c r="F111" i="9"/>
  <c r="F117" i="9"/>
  <c r="F137" i="9"/>
  <c r="F142" i="9"/>
  <c r="E98" i="9"/>
  <c r="F98" i="9" s="1"/>
  <c r="E106" i="9"/>
  <c r="F106" i="9" s="1"/>
  <c r="E114" i="9"/>
  <c r="F114" i="9" s="1"/>
  <c r="E122" i="9"/>
  <c r="F122" i="9" s="1"/>
  <c r="E130" i="9"/>
  <c r="F130" i="9" s="1"/>
  <c r="E138" i="9"/>
  <c r="F138" i="9" s="1"/>
  <c r="E146" i="9"/>
  <c r="F146" i="9" s="1"/>
  <c r="E99" i="9"/>
  <c r="F99" i="9" s="1"/>
  <c r="E107" i="9"/>
  <c r="F107" i="9" s="1"/>
  <c r="E115" i="9"/>
  <c r="F115" i="9" s="1"/>
  <c r="E123" i="9"/>
  <c r="F123" i="9" s="1"/>
  <c r="E131" i="9"/>
  <c r="F131" i="9" s="1"/>
  <c r="E139" i="9"/>
  <c r="F139" i="9" s="1"/>
  <c r="E147" i="9"/>
  <c r="F147" i="9" s="1"/>
  <c r="E118" i="9"/>
  <c r="F118" i="9" s="1"/>
  <c r="E126" i="9"/>
  <c r="F126" i="9" s="1"/>
  <c r="E134" i="9"/>
  <c r="F134" i="9" s="1"/>
  <c r="E150" i="9"/>
  <c r="F150" i="9" s="1"/>
  <c r="E100" i="9"/>
  <c r="F100" i="9" s="1"/>
  <c r="E108" i="9"/>
  <c r="F108" i="9" s="1"/>
  <c r="E116" i="9"/>
  <c r="F116" i="9" s="1"/>
  <c r="E124" i="9"/>
  <c r="F124" i="9" s="1"/>
  <c r="E132" i="9"/>
  <c r="F132" i="9" s="1"/>
  <c r="E140" i="9"/>
  <c r="F140" i="9" s="1"/>
  <c r="F198" i="7"/>
  <c r="AK96" i="7"/>
  <c r="AL96" i="7" s="1"/>
  <c r="AK151" i="7"/>
  <c r="AL151" i="7" s="1"/>
  <c r="AK94" i="7"/>
  <c r="AL94" i="7" s="1"/>
  <c r="AK98" i="7"/>
  <c r="AL98" i="7" s="1"/>
  <c r="F163" i="7" s="1"/>
  <c r="E174" i="7"/>
  <c r="AK128" i="7"/>
  <c r="AL128" i="7" s="1"/>
  <c r="AK130" i="7"/>
  <c r="AL130" i="7" s="1"/>
  <c r="F195" i="7" s="1"/>
  <c r="E206" i="7"/>
  <c r="V101" i="7"/>
  <c r="E166" i="7" s="1"/>
  <c r="F110" i="7"/>
  <c r="D175" i="7" s="1"/>
  <c r="F112" i="7"/>
  <c r="D177" i="7" s="1"/>
  <c r="AK120" i="7"/>
  <c r="AL120" i="7" s="1"/>
  <c r="F185" i="7" s="1"/>
  <c r="AK122" i="7"/>
  <c r="AL122" i="7" s="1"/>
  <c r="F187" i="7" s="1"/>
  <c r="V131" i="7"/>
  <c r="V133" i="7"/>
  <c r="E198" i="7" s="1"/>
  <c r="E142" i="7"/>
  <c r="F142" i="7" s="1"/>
  <c r="D207" i="7" s="1"/>
  <c r="E144" i="7"/>
  <c r="F144" i="7" s="1"/>
  <c r="D209" i="7" s="1"/>
  <c r="AK103" i="7"/>
  <c r="AL103" i="7" s="1"/>
  <c r="E179" i="7"/>
  <c r="AK116" i="7"/>
  <c r="AL116" i="7" s="1"/>
  <c r="F181" i="7" s="1"/>
  <c r="AK131" i="7"/>
  <c r="AL131" i="7" s="1"/>
  <c r="AK135" i="7"/>
  <c r="AL135" i="7" s="1"/>
  <c r="F200" i="7" s="1"/>
  <c r="E207" i="7"/>
  <c r="E211" i="7"/>
  <c r="AK148" i="7"/>
  <c r="AL148" i="7" s="1"/>
  <c r="AK93" i="7"/>
  <c r="AL93" i="7" s="1"/>
  <c r="F158" i="7" s="1"/>
  <c r="F104" i="7"/>
  <c r="D169" i="7" s="1"/>
  <c r="AK112" i="7"/>
  <c r="AL112" i="7" s="1"/>
  <c r="F177" i="7" s="1"/>
  <c r="AK114" i="7"/>
  <c r="AL114" i="7" s="1"/>
  <c r="F179" i="7" s="1"/>
  <c r="V123" i="7"/>
  <c r="V125" i="7"/>
  <c r="E190" i="7" s="1"/>
  <c r="F134" i="7"/>
  <c r="D199" i="7" s="1"/>
  <c r="E136" i="7"/>
  <c r="F136" i="7" s="1"/>
  <c r="D201" i="7" s="1"/>
  <c r="AK144" i="7"/>
  <c r="AL144" i="7" s="1"/>
  <c r="AK146" i="7"/>
  <c r="AL146" i="7" s="1"/>
  <c r="F211" i="7" s="1"/>
  <c r="AK108" i="7"/>
  <c r="AL108" i="7" s="1"/>
  <c r="F173" i="7" s="1"/>
  <c r="AK123" i="7"/>
  <c r="AL123" i="7" s="1"/>
  <c r="AK127" i="7"/>
  <c r="AL127" i="7" s="1"/>
  <c r="AK140" i="7"/>
  <c r="AL140" i="7" s="1"/>
  <c r="F205" i="7" s="1"/>
  <c r="E184" i="7"/>
  <c r="F94" i="7"/>
  <c r="D159" i="7" s="1"/>
  <c r="E96" i="7"/>
  <c r="F96" i="7" s="1"/>
  <c r="D161" i="7" s="1"/>
  <c r="AK104" i="7"/>
  <c r="AL104" i="7" s="1"/>
  <c r="AK106" i="7"/>
  <c r="AL106" i="7" s="1"/>
  <c r="F171" i="7" s="1"/>
  <c r="V115" i="7"/>
  <c r="V117" i="7"/>
  <c r="E182" i="7" s="1"/>
  <c r="E126" i="7"/>
  <c r="F126" i="7" s="1"/>
  <c r="D191" i="7" s="1"/>
  <c r="E128" i="7"/>
  <c r="F128" i="7" s="1"/>
  <c r="D193" i="7" s="1"/>
  <c r="AK136" i="7"/>
  <c r="AL136" i="7" s="1"/>
  <c r="F201" i="7" s="1"/>
  <c r="AK138" i="7"/>
  <c r="AL138" i="7" s="1"/>
  <c r="F203" i="7" s="1"/>
  <c r="V147" i="7"/>
  <c r="E212" i="7" s="1"/>
  <c r="V149" i="7"/>
  <c r="E214" i="7" s="1"/>
  <c r="AK115" i="7"/>
  <c r="AL115" i="7" s="1"/>
  <c r="AK119" i="7"/>
  <c r="AL119" i="7" s="1"/>
  <c r="F184" i="7" s="1"/>
  <c r="E191" i="7"/>
  <c r="E195" i="7"/>
  <c r="AK132" i="7"/>
  <c r="AL132" i="7" s="1"/>
  <c r="AK147" i="7"/>
  <c r="AL147" i="7" s="1"/>
  <c r="F212" i="7" s="1"/>
  <c r="AK149" i="7"/>
  <c r="AL149" i="7" s="1"/>
  <c r="F214" i="7" s="1"/>
  <c r="U97" i="7"/>
  <c r="V97" i="7" s="1"/>
  <c r="E100" i="7"/>
  <c r="F100" i="7" s="1"/>
  <c r="D165" i="7" s="1"/>
  <c r="AK102" i="7"/>
  <c r="AL102" i="7" s="1"/>
  <c r="F167" i="7" s="1"/>
  <c r="U105" i="7"/>
  <c r="V105" i="7" s="1"/>
  <c r="E108" i="7"/>
  <c r="F108" i="7" s="1"/>
  <c r="D173" i="7" s="1"/>
  <c r="AK110" i="7"/>
  <c r="AL110" i="7" s="1"/>
  <c r="F175" i="7" s="1"/>
  <c r="U113" i="7"/>
  <c r="V113" i="7" s="1"/>
  <c r="E178" i="7" s="1"/>
  <c r="E116" i="7"/>
  <c r="F116" i="7" s="1"/>
  <c r="D181" i="7" s="1"/>
  <c r="AK118" i="7"/>
  <c r="AL118" i="7" s="1"/>
  <c r="F183" i="7" s="1"/>
  <c r="U121" i="7"/>
  <c r="V121" i="7" s="1"/>
  <c r="E186" i="7" s="1"/>
  <c r="E124" i="7"/>
  <c r="F124" i="7" s="1"/>
  <c r="D189" i="7" s="1"/>
  <c r="AK126" i="7"/>
  <c r="AL126" i="7" s="1"/>
  <c r="F191" i="7" s="1"/>
  <c r="U129" i="7"/>
  <c r="V129" i="7" s="1"/>
  <c r="E194" i="7" s="1"/>
  <c r="E132" i="7"/>
  <c r="F132" i="7" s="1"/>
  <c r="D197" i="7" s="1"/>
  <c r="AK134" i="7"/>
  <c r="AL134" i="7" s="1"/>
  <c r="F199" i="7" s="1"/>
  <c r="U137" i="7"/>
  <c r="V137" i="7" s="1"/>
  <c r="E202" i="7" s="1"/>
  <c r="E140" i="7"/>
  <c r="F140" i="7" s="1"/>
  <c r="D205" i="7" s="1"/>
  <c r="AK142" i="7"/>
  <c r="AL142" i="7" s="1"/>
  <c r="F207" i="7" s="1"/>
  <c r="U145" i="7"/>
  <c r="V145" i="7" s="1"/>
  <c r="E210" i="7" s="1"/>
  <c r="E148" i="7"/>
  <c r="F148" i="7" s="1"/>
  <c r="D213" i="7" s="1"/>
  <c r="AK150" i="7"/>
  <c r="AL150" i="7" s="1"/>
  <c r="F215" i="7" s="1"/>
  <c r="E95" i="7"/>
  <c r="F95" i="7" s="1"/>
  <c r="D160" i="7" s="1"/>
  <c r="AK97" i="7"/>
  <c r="AL97" i="7" s="1"/>
  <c r="F162" i="7" s="1"/>
  <c r="U100" i="7"/>
  <c r="V100" i="7" s="1"/>
  <c r="E103" i="7"/>
  <c r="F103" i="7" s="1"/>
  <c r="D168" i="7" s="1"/>
  <c r="AK105" i="7"/>
  <c r="AL105" i="7" s="1"/>
  <c r="F170" i="7" s="1"/>
  <c r="U108" i="7"/>
  <c r="V108" i="7" s="1"/>
  <c r="E173" i="7" s="1"/>
  <c r="E111" i="7"/>
  <c r="F111" i="7" s="1"/>
  <c r="D176" i="7" s="1"/>
  <c r="AK113" i="7"/>
  <c r="AL113" i="7" s="1"/>
  <c r="F178" i="7" s="1"/>
  <c r="U116" i="7"/>
  <c r="V116" i="7" s="1"/>
  <c r="E181" i="7" s="1"/>
  <c r="E119" i="7"/>
  <c r="F119" i="7" s="1"/>
  <c r="D184" i="7" s="1"/>
  <c r="AK121" i="7"/>
  <c r="AL121" i="7" s="1"/>
  <c r="F186" i="7" s="1"/>
  <c r="U124" i="7"/>
  <c r="V124" i="7" s="1"/>
  <c r="E127" i="7"/>
  <c r="F127" i="7" s="1"/>
  <c r="D192" i="7" s="1"/>
  <c r="AK129" i="7"/>
  <c r="AL129" i="7" s="1"/>
  <c r="F194" i="7" s="1"/>
  <c r="U132" i="7"/>
  <c r="V132" i="7" s="1"/>
  <c r="E197" i="7" s="1"/>
  <c r="E135" i="7"/>
  <c r="F135" i="7" s="1"/>
  <c r="D200" i="7" s="1"/>
  <c r="AK137" i="7"/>
  <c r="AL137" i="7" s="1"/>
  <c r="F202" i="7" s="1"/>
  <c r="U140" i="7"/>
  <c r="V140" i="7" s="1"/>
  <c r="E205" i="7" s="1"/>
  <c r="E143" i="7"/>
  <c r="F143" i="7" s="1"/>
  <c r="D208" i="7" s="1"/>
  <c r="AK145" i="7"/>
  <c r="AL145" i="7" s="1"/>
  <c r="F210" i="7" s="1"/>
  <c r="U148" i="7"/>
  <c r="V148" i="7" s="1"/>
  <c r="E213" i="7" s="1"/>
  <c r="E151" i="7"/>
  <c r="F151" i="7" s="1"/>
  <c r="D216" i="7" s="1"/>
  <c r="U93" i="7"/>
  <c r="V93" i="7" s="1"/>
  <c r="E158" i="7" s="1"/>
  <c r="U94" i="7"/>
  <c r="V94" i="7" s="1"/>
  <c r="E159" i="7" s="1"/>
  <c r="E97" i="7"/>
  <c r="F97" i="7" s="1"/>
  <c r="D162" i="7" s="1"/>
  <c r="AK99" i="7"/>
  <c r="AL99" i="7" s="1"/>
  <c r="F164" i="7" s="1"/>
  <c r="U102" i="7"/>
  <c r="V102" i="7" s="1"/>
  <c r="E167" i="7" s="1"/>
  <c r="E105" i="7"/>
  <c r="F105" i="7" s="1"/>
  <c r="D170" i="7" s="1"/>
  <c r="AK107" i="7"/>
  <c r="AL107" i="7" s="1"/>
  <c r="F172" i="7" s="1"/>
  <c r="U110" i="7"/>
  <c r="V110" i="7" s="1"/>
  <c r="E175" i="7" s="1"/>
  <c r="U96" i="7"/>
  <c r="V96" i="7" s="1"/>
  <c r="E161" i="7" s="1"/>
  <c r="E99" i="7"/>
  <c r="F99" i="7" s="1"/>
  <c r="D164" i="7" s="1"/>
  <c r="AK101" i="7"/>
  <c r="AL101" i="7" s="1"/>
  <c r="F166" i="7" s="1"/>
  <c r="U104" i="7"/>
  <c r="V104" i="7" s="1"/>
  <c r="E107" i="7"/>
  <c r="F107" i="7" s="1"/>
  <c r="D172" i="7" s="1"/>
  <c r="AK109" i="7"/>
  <c r="AL109" i="7" s="1"/>
  <c r="F174" i="7" s="1"/>
  <c r="U112" i="7"/>
  <c r="V112" i="7" s="1"/>
  <c r="E177" i="7" s="1"/>
  <c r="E115" i="7"/>
  <c r="F115" i="7" s="1"/>
  <c r="D180" i="7" s="1"/>
  <c r="AK117" i="7"/>
  <c r="AL117" i="7" s="1"/>
  <c r="F182" i="7" s="1"/>
  <c r="U120" i="7"/>
  <c r="V120" i="7" s="1"/>
  <c r="E185" i="7" s="1"/>
  <c r="E123" i="7"/>
  <c r="F123" i="7" s="1"/>
  <c r="D188" i="7" s="1"/>
  <c r="AK125" i="7"/>
  <c r="AL125" i="7" s="1"/>
  <c r="F190" i="7" s="1"/>
  <c r="U128" i="7"/>
  <c r="V128" i="7" s="1"/>
  <c r="E131" i="7"/>
  <c r="F131" i="7" s="1"/>
  <c r="D196" i="7" s="1"/>
  <c r="D173" i="5"/>
  <c r="D196" i="5"/>
  <c r="D212" i="5"/>
  <c r="D177" i="5"/>
  <c r="D179" i="5"/>
  <c r="D217" i="5"/>
  <c r="D185" i="5"/>
  <c r="D187" i="5"/>
  <c r="D214" i="5"/>
  <c r="D160" i="5"/>
  <c r="D192" i="5"/>
  <c r="D201" i="5"/>
  <c r="D203" i="5"/>
  <c r="D169" i="5"/>
  <c r="D165" i="5"/>
  <c r="D168" i="5"/>
  <c r="D161" i="5"/>
  <c r="D163" i="5"/>
  <c r="D193" i="5"/>
  <c r="D195" i="5"/>
  <c r="D164" i="5"/>
  <c r="D204" i="5"/>
  <c r="D211" i="5"/>
  <c r="F227" i="6"/>
  <c r="E237" i="6"/>
  <c r="E240" i="6"/>
  <c r="E225" i="6"/>
  <c r="E229" i="6"/>
  <c r="E161" i="6"/>
  <c r="F166" i="6"/>
  <c r="E221" i="6"/>
  <c r="BA117" i="6"/>
  <c r="BB117" i="6" s="1"/>
  <c r="BA104" i="6"/>
  <c r="BB104" i="6" s="1"/>
  <c r="E231" i="6" s="1"/>
  <c r="BA100" i="6"/>
  <c r="BB100" i="6" s="1"/>
  <c r="E227" i="6" s="1"/>
  <c r="BA96" i="6"/>
  <c r="BB96" i="6" s="1"/>
  <c r="E223" i="6" s="1"/>
  <c r="BA148" i="6"/>
  <c r="BB148" i="6" s="1"/>
  <c r="BA126" i="6"/>
  <c r="BB126" i="6" s="1"/>
  <c r="V108" i="6"/>
  <c r="D235" i="6" s="1"/>
  <c r="U113" i="6"/>
  <c r="V113" i="6" s="1"/>
  <c r="D240" i="6" s="1"/>
  <c r="E114" i="6"/>
  <c r="F114" i="6" s="1"/>
  <c r="D179" i="6" s="1"/>
  <c r="BA118" i="6"/>
  <c r="BB118" i="6" s="1"/>
  <c r="E245" i="6" s="1"/>
  <c r="AK124" i="6"/>
  <c r="AL124" i="6" s="1"/>
  <c r="BA125" i="6"/>
  <c r="BB125" i="6" s="1"/>
  <c r="E252" i="6" s="1"/>
  <c r="BA133" i="6"/>
  <c r="BB133" i="6" s="1"/>
  <c r="E260" i="6" s="1"/>
  <c r="U138" i="6"/>
  <c r="V138" i="6" s="1"/>
  <c r="D265" i="6" s="1"/>
  <c r="BA140" i="6"/>
  <c r="BB140" i="6" s="1"/>
  <c r="U152" i="6"/>
  <c r="V152" i="6" s="1"/>
  <c r="D279" i="6" s="1"/>
  <c r="AL94" i="6"/>
  <c r="BQ95" i="6"/>
  <c r="BR95" i="6" s="1"/>
  <c r="F160" i="6" s="1"/>
  <c r="E97" i="6"/>
  <c r="F97" i="6" s="1"/>
  <c r="D162" i="6" s="1"/>
  <c r="AK98" i="6"/>
  <c r="AL98" i="6" s="1"/>
  <c r="E163" i="6" s="1"/>
  <c r="BQ99" i="6"/>
  <c r="BR99" i="6" s="1"/>
  <c r="F164" i="6" s="1"/>
  <c r="E101" i="6"/>
  <c r="F101" i="6" s="1"/>
  <c r="D166" i="6" s="1"/>
  <c r="AK102" i="6"/>
  <c r="AL102" i="6" s="1"/>
  <c r="E103" i="6"/>
  <c r="F103" i="6" s="1"/>
  <c r="D168" i="6" s="1"/>
  <c r="BQ103" i="6"/>
  <c r="BR103" i="6" s="1"/>
  <c r="F168" i="6" s="1"/>
  <c r="E105" i="6"/>
  <c r="F105" i="6" s="1"/>
  <c r="D170" i="6" s="1"/>
  <c r="BA108" i="6"/>
  <c r="BB108" i="6" s="1"/>
  <c r="E235" i="6" s="1"/>
  <c r="AK109" i="6"/>
  <c r="AL109" i="6" s="1"/>
  <c r="E174" i="6" s="1"/>
  <c r="BA112" i="6"/>
  <c r="BB112" i="6" s="1"/>
  <c r="CG115" i="6"/>
  <c r="CH115" i="6" s="1"/>
  <c r="CG117" i="6"/>
  <c r="CH117" i="6" s="1"/>
  <c r="F244" i="6" s="1"/>
  <c r="BA119" i="6"/>
  <c r="BB119" i="6" s="1"/>
  <c r="BA122" i="6"/>
  <c r="BB122" i="6" s="1"/>
  <c r="CG134" i="6"/>
  <c r="CH134" i="6" s="1"/>
  <c r="E137" i="6"/>
  <c r="F137" i="6" s="1"/>
  <c r="D202" i="6" s="1"/>
  <c r="BQ140" i="6"/>
  <c r="BR140" i="6" s="1"/>
  <c r="F205" i="6" s="1"/>
  <c r="CG142" i="6"/>
  <c r="CH142" i="6" s="1"/>
  <c r="U145" i="6"/>
  <c r="V145" i="6" s="1"/>
  <c r="D272" i="6" s="1"/>
  <c r="BA107" i="6"/>
  <c r="BB107" i="6" s="1"/>
  <c r="E139" i="6"/>
  <c r="F139" i="6" s="1"/>
  <c r="D204" i="6" s="1"/>
  <c r="E136" i="6"/>
  <c r="F136" i="6" s="1"/>
  <c r="D201" i="6" s="1"/>
  <c r="E138" i="6"/>
  <c r="F138" i="6" s="1"/>
  <c r="D203" i="6" s="1"/>
  <c r="E115" i="6"/>
  <c r="F115" i="6" s="1"/>
  <c r="D180" i="6" s="1"/>
  <c r="BA103" i="6"/>
  <c r="BB103" i="6" s="1"/>
  <c r="E230" i="6" s="1"/>
  <c r="BQ93" i="6"/>
  <c r="BR93" i="6" s="1"/>
  <c r="U135" i="6"/>
  <c r="V135" i="6" s="1"/>
  <c r="D262" i="6" s="1"/>
  <c r="U127" i="6"/>
  <c r="V127" i="6" s="1"/>
  <c r="D254" i="6" s="1"/>
  <c r="U139" i="6"/>
  <c r="V139" i="6" s="1"/>
  <c r="D266" i="6" s="1"/>
  <c r="U112" i="6"/>
  <c r="V112" i="6" s="1"/>
  <c r="D239" i="6" s="1"/>
  <c r="U103" i="6"/>
  <c r="V103" i="6" s="1"/>
  <c r="D230" i="6" s="1"/>
  <c r="U99" i="6"/>
  <c r="V99" i="6" s="1"/>
  <c r="D226" i="6" s="1"/>
  <c r="U95" i="6"/>
  <c r="V95" i="6" s="1"/>
  <c r="D222" i="6" s="1"/>
  <c r="U147" i="6"/>
  <c r="V147" i="6" s="1"/>
  <c r="D274" i="6" s="1"/>
  <c r="U151" i="6"/>
  <c r="V151" i="6" s="1"/>
  <c r="D278" i="6" s="1"/>
  <c r="U117" i="6"/>
  <c r="V117" i="6" s="1"/>
  <c r="D244" i="6" s="1"/>
  <c r="CG114" i="6"/>
  <c r="CH114" i="6" s="1"/>
  <c r="CG106" i="6"/>
  <c r="CH106" i="6" s="1"/>
  <c r="F233" i="6" s="1"/>
  <c r="CG101" i="6"/>
  <c r="CH101" i="6" s="1"/>
  <c r="F228" i="6" s="1"/>
  <c r="CG97" i="6"/>
  <c r="CH97" i="6" s="1"/>
  <c r="F224" i="6" s="1"/>
  <c r="CG93" i="6"/>
  <c r="CH93" i="6" s="1"/>
  <c r="F220" i="6" s="1"/>
  <c r="CG145" i="6"/>
  <c r="CH145" i="6" s="1"/>
  <c r="F272" i="6" s="1"/>
  <c r="BQ107" i="6"/>
  <c r="BR107" i="6" s="1"/>
  <c r="F172" i="6" s="1"/>
  <c r="U110" i="6"/>
  <c r="V110" i="6" s="1"/>
  <c r="D237" i="6" s="1"/>
  <c r="U115" i="6"/>
  <c r="V115" i="6" s="1"/>
  <c r="D242" i="6" s="1"/>
  <c r="CG116" i="6"/>
  <c r="CH116" i="6" s="1"/>
  <c r="F243" i="6" s="1"/>
  <c r="BQ120" i="6"/>
  <c r="BR120" i="6" s="1"/>
  <c r="F185" i="6" s="1"/>
  <c r="CG126" i="6"/>
  <c r="CH126" i="6" s="1"/>
  <c r="F253" i="6" s="1"/>
  <c r="CG141" i="6"/>
  <c r="CH141" i="6" s="1"/>
  <c r="U144" i="6"/>
  <c r="V144" i="6" s="1"/>
  <c r="D271" i="6" s="1"/>
  <c r="U93" i="6"/>
  <c r="V93" i="6" s="1"/>
  <c r="D220" i="6" s="1"/>
  <c r="CG103" i="6"/>
  <c r="CH103" i="6" s="1"/>
  <c r="BA106" i="6"/>
  <c r="BB106" i="6" s="1"/>
  <c r="E233" i="6" s="1"/>
  <c r="U107" i="6"/>
  <c r="V107" i="6" s="1"/>
  <c r="D234" i="6" s="1"/>
  <c r="CG107" i="6"/>
  <c r="CH107" i="6" s="1"/>
  <c r="BQ108" i="6"/>
  <c r="BR108" i="6" s="1"/>
  <c r="CG111" i="6"/>
  <c r="CH111" i="6" s="1"/>
  <c r="BQ112" i="6"/>
  <c r="BR112" i="6" s="1"/>
  <c r="E118" i="6"/>
  <c r="F118" i="6" s="1"/>
  <c r="D183" i="6" s="1"/>
  <c r="CG118" i="6"/>
  <c r="CH118" i="6" s="1"/>
  <c r="CG119" i="6"/>
  <c r="CH119" i="6" s="1"/>
  <c r="CG121" i="6"/>
  <c r="CH121" i="6" s="1"/>
  <c r="CG122" i="6"/>
  <c r="CH122" i="6" s="1"/>
  <c r="U128" i="6"/>
  <c r="V128" i="6" s="1"/>
  <c r="D255" i="6" s="1"/>
  <c r="CG132" i="6"/>
  <c r="CH132" i="6" s="1"/>
  <c r="F259" i="6" s="1"/>
  <c r="CG147" i="6"/>
  <c r="CH147" i="6" s="1"/>
  <c r="F274" i="6" s="1"/>
  <c r="E185" i="6"/>
  <c r="E125" i="6"/>
  <c r="F125" i="6" s="1"/>
  <c r="D190" i="6" s="1"/>
  <c r="U114" i="6"/>
  <c r="V114" i="6" s="1"/>
  <c r="D241" i="6" s="1"/>
  <c r="E106" i="6"/>
  <c r="F106" i="6" s="1"/>
  <c r="D171" i="6" s="1"/>
  <c r="CG108" i="6"/>
  <c r="CH108" i="6" s="1"/>
  <c r="F235" i="6" s="1"/>
  <c r="AK115" i="6"/>
  <c r="AL115" i="6" s="1"/>
  <c r="U116" i="6"/>
  <c r="V116" i="6" s="1"/>
  <c r="D243" i="6" s="1"/>
  <c r="CG124" i="6"/>
  <c r="CH124" i="6" s="1"/>
  <c r="F251" i="6" s="1"/>
  <c r="E126" i="6"/>
  <c r="F126" i="6" s="1"/>
  <c r="D191" i="6" s="1"/>
  <c r="BA129" i="6"/>
  <c r="BB129" i="6" s="1"/>
  <c r="BQ131" i="6"/>
  <c r="BR131" i="6" s="1"/>
  <c r="AK135" i="6"/>
  <c r="AL135" i="6" s="1"/>
  <c r="E200" i="6" s="1"/>
  <c r="BA137" i="6"/>
  <c r="BB137" i="6" s="1"/>
  <c r="E264" i="6" s="1"/>
  <c r="CG146" i="6"/>
  <c r="CH146" i="6" s="1"/>
  <c r="F273" i="6" s="1"/>
  <c r="V132" i="6"/>
  <c r="D259" i="6" s="1"/>
  <c r="BQ150" i="6"/>
  <c r="BR150" i="6" s="1"/>
  <c r="BQ146" i="6"/>
  <c r="BR146" i="6" s="1"/>
  <c r="F211" i="6" s="1"/>
  <c r="BQ149" i="6"/>
  <c r="BR149" i="6" s="1"/>
  <c r="BQ145" i="6"/>
  <c r="BR145" i="6" s="1"/>
  <c r="BQ142" i="6"/>
  <c r="BR142" i="6" s="1"/>
  <c r="BQ134" i="6"/>
  <c r="BR134" i="6" s="1"/>
  <c r="BQ126" i="6"/>
  <c r="BR126" i="6" s="1"/>
  <c r="F191" i="6" s="1"/>
  <c r="BQ122" i="6"/>
  <c r="BR122" i="6" s="1"/>
  <c r="BQ137" i="6"/>
  <c r="BR137" i="6" s="1"/>
  <c r="F202" i="6" s="1"/>
  <c r="BQ129" i="6"/>
  <c r="BR129" i="6" s="1"/>
  <c r="F194" i="6" s="1"/>
  <c r="BQ141" i="6"/>
  <c r="BR141" i="6" s="1"/>
  <c r="BQ138" i="6"/>
  <c r="BR138" i="6" s="1"/>
  <c r="F203" i="6" s="1"/>
  <c r="BQ118" i="6"/>
  <c r="BR118" i="6" s="1"/>
  <c r="F183" i="6" s="1"/>
  <c r="BQ111" i="6"/>
  <c r="BR111" i="6" s="1"/>
  <c r="F176" i="6" s="1"/>
  <c r="BQ110" i="6"/>
  <c r="BR110" i="6" s="1"/>
  <c r="F175" i="6" s="1"/>
  <c r="BQ119" i="6"/>
  <c r="BR119" i="6" s="1"/>
  <c r="BQ133" i="6"/>
  <c r="BR133" i="6" s="1"/>
  <c r="BQ130" i="6"/>
  <c r="BR130" i="6" s="1"/>
  <c r="F195" i="6" s="1"/>
  <c r="BQ114" i="6"/>
  <c r="BR114" i="6" s="1"/>
  <c r="F179" i="6" s="1"/>
  <c r="BQ132" i="6"/>
  <c r="BR132" i="6" s="1"/>
  <c r="BQ124" i="6"/>
  <c r="BR124" i="6" s="1"/>
  <c r="BQ121" i="6"/>
  <c r="BR121" i="6" s="1"/>
  <c r="F186" i="6" s="1"/>
  <c r="BQ117" i="6"/>
  <c r="BR117" i="6" s="1"/>
  <c r="BQ116" i="6"/>
  <c r="BR116" i="6" s="1"/>
  <c r="V109" i="6"/>
  <c r="D236" i="6" s="1"/>
  <c r="AK149" i="6"/>
  <c r="AL149" i="6" s="1"/>
  <c r="AK145" i="6"/>
  <c r="AL145" i="6" s="1"/>
  <c r="AK152" i="6"/>
  <c r="AL152" i="6" s="1"/>
  <c r="AK148" i="6"/>
  <c r="AL148" i="6" s="1"/>
  <c r="E213" i="6" s="1"/>
  <c r="AK144" i="6"/>
  <c r="AL144" i="6" s="1"/>
  <c r="E209" i="6" s="1"/>
  <c r="AK137" i="6"/>
  <c r="AL137" i="6" s="1"/>
  <c r="E202" i="6" s="1"/>
  <c r="AK129" i="6"/>
  <c r="AL129" i="6" s="1"/>
  <c r="E194" i="6" s="1"/>
  <c r="AK125" i="6"/>
  <c r="AL125" i="6" s="1"/>
  <c r="E190" i="6" s="1"/>
  <c r="AK121" i="6"/>
  <c r="AL121" i="6" s="1"/>
  <c r="AK140" i="6"/>
  <c r="AL140" i="6" s="1"/>
  <c r="AK132" i="6"/>
  <c r="AL132" i="6" s="1"/>
  <c r="AK136" i="6"/>
  <c r="AL136" i="6" s="1"/>
  <c r="E201" i="6" s="1"/>
  <c r="AK133" i="6"/>
  <c r="AL133" i="6" s="1"/>
  <c r="AK113" i="6"/>
  <c r="AL113" i="6" s="1"/>
  <c r="AK110" i="6"/>
  <c r="AL110" i="6" s="1"/>
  <c r="E175" i="6" s="1"/>
  <c r="AK126" i="6"/>
  <c r="AL126" i="6" s="1"/>
  <c r="E191" i="6" s="1"/>
  <c r="AK114" i="6"/>
  <c r="AL114" i="6" s="1"/>
  <c r="E179" i="6" s="1"/>
  <c r="AK107" i="6"/>
  <c r="AL107" i="6" s="1"/>
  <c r="E172" i="6" s="1"/>
  <c r="AK106" i="6"/>
  <c r="AL106" i="6" s="1"/>
  <c r="E171" i="6" s="1"/>
  <c r="AK93" i="6"/>
  <c r="AL93" i="6" s="1"/>
  <c r="AK141" i="6"/>
  <c r="AL141" i="6" s="1"/>
  <c r="E206" i="6" s="1"/>
  <c r="AK128" i="6"/>
  <c r="AL128" i="6" s="1"/>
  <c r="E193" i="6" s="1"/>
  <c r="AK117" i="6"/>
  <c r="AL117" i="6" s="1"/>
  <c r="AK143" i="6"/>
  <c r="AL143" i="6" s="1"/>
  <c r="AK127" i="6"/>
  <c r="AL127" i="6" s="1"/>
  <c r="AK122" i="6"/>
  <c r="AL122" i="6" s="1"/>
  <c r="AK119" i="6"/>
  <c r="AL119" i="6" s="1"/>
  <c r="E94" i="6"/>
  <c r="F94" i="6" s="1"/>
  <c r="D159" i="6" s="1"/>
  <c r="BQ94" i="6"/>
  <c r="BR94" i="6" s="1"/>
  <c r="F159" i="6" s="1"/>
  <c r="AK95" i="6"/>
  <c r="AL95" i="6" s="1"/>
  <c r="E160" i="6" s="1"/>
  <c r="E96" i="6"/>
  <c r="F96" i="6" s="1"/>
  <c r="D161" i="6" s="1"/>
  <c r="BQ96" i="6"/>
  <c r="BR96" i="6" s="1"/>
  <c r="F161" i="6" s="1"/>
  <c r="AK97" i="6"/>
  <c r="AL97" i="6" s="1"/>
  <c r="E98" i="6"/>
  <c r="F98" i="6" s="1"/>
  <c r="D163" i="6" s="1"/>
  <c r="BQ98" i="6"/>
  <c r="BR98" i="6" s="1"/>
  <c r="F163" i="6" s="1"/>
  <c r="AK99" i="6"/>
  <c r="AL99" i="6" s="1"/>
  <c r="E164" i="6" s="1"/>
  <c r="E100" i="6"/>
  <c r="F100" i="6" s="1"/>
  <c r="D165" i="6" s="1"/>
  <c r="BQ100" i="6"/>
  <c r="BR100" i="6" s="1"/>
  <c r="AK101" i="6"/>
  <c r="AL101" i="6" s="1"/>
  <c r="E166" i="6" s="1"/>
  <c r="E102" i="6"/>
  <c r="F102" i="6" s="1"/>
  <c r="D167" i="6" s="1"/>
  <c r="BQ102" i="6"/>
  <c r="BR102" i="6" s="1"/>
  <c r="AK103" i="6"/>
  <c r="AL103" i="6" s="1"/>
  <c r="E168" i="6" s="1"/>
  <c r="E104" i="6"/>
  <c r="F104" i="6" s="1"/>
  <c r="D169" i="6" s="1"/>
  <c r="BQ104" i="6"/>
  <c r="BR104" i="6" s="1"/>
  <c r="F169" i="6" s="1"/>
  <c r="AK105" i="6"/>
  <c r="AL105" i="6" s="1"/>
  <c r="E170" i="6" s="1"/>
  <c r="E108" i="6"/>
  <c r="F108" i="6" s="1"/>
  <c r="D173" i="6" s="1"/>
  <c r="BQ109" i="6"/>
  <c r="BR109" i="6" s="1"/>
  <c r="AK111" i="6"/>
  <c r="AL111" i="6" s="1"/>
  <c r="E176" i="6" s="1"/>
  <c r="E112" i="6"/>
  <c r="F112" i="6" s="1"/>
  <c r="D177" i="6" s="1"/>
  <c r="BQ113" i="6"/>
  <c r="BR113" i="6" s="1"/>
  <c r="BA114" i="6"/>
  <c r="BB114" i="6" s="1"/>
  <c r="E241" i="6" s="1"/>
  <c r="E119" i="6"/>
  <c r="F119" i="6" s="1"/>
  <c r="D184" i="6" s="1"/>
  <c r="E122" i="6"/>
  <c r="F122" i="6" s="1"/>
  <c r="D187" i="6" s="1"/>
  <c r="E123" i="6"/>
  <c r="F123" i="6" s="1"/>
  <c r="D188" i="6" s="1"/>
  <c r="BA136" i="6"/>
  <c r="BB136" i="6" s="1"/>
  <c r="CG138" i="6"/>
  <c r="CH138" i="6" s="1"/>
  <c r="F265" i="6" s="1"/>
  <c r="BA143" i="6"/>
  <c r="BB143" i="6" s="1"/>
  <c r="BA128" i="6"/>
  <c r="BB128" i="6" s="1"/>
  <c r="CG94" i="6"/>
  <c r="CH94" i="6" s="1"/>
  <c r="F221" i="6" s="1"/>
  <c r="U96" i="6"/>
  <c r="V96" i="6" s="1"/>
  <c r="D223" i="6" s="1"/>
  <c r="BA97" i="6"/>
  <c r="BB97" i="6" s="1"/>
  <c r="E224" i="6" s="1"/>
  <c r="CG98" i="6"/>
  <c r="CH98" i="6" s="1"/>
  <c r="F225" i="6" s="1"/>
  <c r="U100" i="6"/>
  <c r="V100" i="6" s="1"/>
  <c r="D227" i="6" s="1"/>
  <c r="BA101" i="6"/>
  <c r="BB101" i="6" s="1"/>
  <c r="E228" i="6" s="1"/>
  <c r="CG102" i="6"/>
  <c r="CH102" i="6" s="1"/>
  <c r="F229" i="6" s="1"/>
  <c r="U104" i="6"/>
  <c r="V104" i="6" s="1"/>
  <c r="D231" i="6" s="1"/>
  <c r="BA105" i="6"/>
  <c r="BB105" i="6" s="1"/>
  <c r="E232" i="6" s="1"/>
  <c r="E109" i="6"/>
  <c r="F109" i="6" s="1"/>
  <c r="D174" i="6" s="1"/>
  <c r="E113" i="6"/>
  <c r="F113" i="6" s="1"/>
  <c r="D178" i="6" s="1"/>
  <c r="AK116" i="6"/>
  <c r="AL116" i="6" s="1"/>
  <c r="E181" i="6" s="1"/>
  <c r="AK118" i="6"/>
  <c r="AL118" i="6" s="1"/>
  <c r="U121" i="6"/>
  <c r="V121" i="6" s="1"/>
  <c r="D248" i="6" s="1"/>
  <c r="U124" i="6"/>
  <c r="V124" i="6" s="1"/>
  <c r="D251" i="6" s="1"/>
  <c r="U125" i="6"/>
  <c r="V125" i="6" s="1"/>
  <c r="D252" i="6" s="1"/>
  <c r="BA127" i="6"/>
  <c r="BB127" i="6" s="1"/>
  <c r="E254" i="6" s="1"/>
  <c r="U140" i="6"/>
  <c r="V140" i="6" s="1"/>
  <c r="D267" i="6" s="1"/>
  <c r="AK142" i="6"/>
  <c r="AL142" i="6" s="1"/>
  <c r="E207" i="6" s="1"/>
  <c r="BA149" i="6"/>
  <c r="BB149" i="6" s="1"/>
  <c r="E276" i="6" s="1"/>
  <c r="BA123" i="6"/>
  <c r="BB123" i="6" s="1"/>
  <c r="E250" i="6" s="1"/>
  <c r="CG131" i="6"/>
  <c r="CH131" i="6" s="1"/>
  <c r="F258" i="6" s="1"/>
  <c r="U137" i="6"/>
  <c r="V137" i="6" s="1"/>
  <c r="D264" i="6" s="1"/>
  <c r="BA142" i="6"/>
  <c r="BB142" i="6" s="1"/>
  <c r="E145" i="6"/>
  <c r="F145" i="6" s="1"/>
  <c r="D210" i="6" s="1"/>
  <c r="BQ147" i="6"/>
  <c r="BR147" i="6" s="1"/>
  <c r="F212" i="6" s="1"/>
  <c r="AK150" i="6"/>
  <c r="AL150" i="6" s="1"/>
  <c r="E215" i="6" s="1"/>
  <c r="BQ148" i="6"/>
  <c r="BR148" i="6" s="1"/>
  <c r="F213" i="6" s="1"/>
  <c r="BA150" i="6"/>
  <c r="BB150" i="6" s="1"/>
  <c r="AK151" i="6"/>
  <c r="AL151" i="6" s="1"/>
  <c r="E216" i="6" s="1"/>
  <c r="U123" i="6"/>
  <c r="V123" i="6" s="1"/>
  <c r="D250" i="6" s="1"/>
  <c r="U126" i="6"/>
  <c r="V126" i="6" s="1"/>
  <c r="D253" i="6" s="1"/>
  <c r="BQ127" i="6"/>
  <c r="BR127" i="6" s="1"/>
  <c r="F192" i="6" s="1"/>
  <c r="AK131" i="6"/>
  <c r="AL131" i="6" s="1"/>
  <c r="E133" i="6"/>
  <c r="F133" i="6" s="1"/>
  <c r="D198" i="6" s="1"/>
  <c r="BQ136" i="6"/>
  <c r="BR136" i="6" s="1"/>
  <c r="F201" i="6" s="1"/>
  <c r="AK138" i="6"/>
  <c r="AL138" i="6" s="1"/>
  <c r="E142" i="6"/>
  <c r="F142" i="6" s="1"/>
  <c r="D207" i="6" s="1"/>
  <c r="BQ143" i="6"/>
  <c r="BR143" i="6" s="1"/>
  <c r="CG137" i="6"/>
  <c r="CH137" i="6" s="1"/>
  <c r="F264" i="6" s="1"/>
  <c r="CG129" i="6"/>
  <c r="CH129" i="6" s="1"/>
  <c r="F256" i="6" s="1"/>
  <c r="CG105" i="6"/>
  <c r="CH105" i="6" s="1"/>
  <c r="F232" i="6" s="1"/>
  <c r="U111" i="6"/>
  <c r="V111" i="6" s="1"/>
  <c r="D238" i="6" s="1"/>
  <c r="CG120" i="6"/>
  <c r="CH120" i="6" s="1"/>
  <c r="F247" i="6" s="1"/>
  <c r="U129" i="6"/>
  <c r="V129" i="6" s="1"/>
  <c r="D256" i="6" s="1"/>
  <c r="BA134" i="6"/>
  <c r="BB134" i="6" s="1"/>
  <c r="CG139" i="6"/>
  <c r="CH139" i="6" s="1"/>
  <c r="F266" i="6" s="1"/>
  <c r="BA144" i="6"/>
  <c r="BB144" i="6" s="1"/>
  <c r="E271" i="6" s="1"/>
  <c r="AK146" i="6"/>
  <c r="AL146" i="6" s="1"/>
  <c r="E211" i="6" s="1"/>
  <c r="E149" i="6"/>
  <c r="F149" i="6" s="1"/>
  <c r="D214" i="6" s="1"/>
  <c r="CG149" i="6"/>
  <c r="CH149" i="6" s="1"/>
  <c r="F276" i="6" s="1"/>
  <c r="BQ151" i="6"/>
  <c r="BR151" i="6" s="1"/>
  <c r="F216" i="6" s="1"/>
  <c r="BA152" i="6"/>
  <c r="BB152" i="6" s="1"/>
  <c r="E279" i="6" s="1"/>
  <c r="E152" i="6"/>
  <c r="F152" i="6" s="1"/>
  <c r="D217" i="6" s="1"/>
  <c r="E148" i="6"/>
  <c r="F148" i="6" s="1"/>
  <c r="D213" i="6" s="1"/>
  <c r="E151" i="6"/>
  <c r="F151" i="6" s="1"/>
  <c r="D216" i="6" s="1"/>
  <c r="E147" i="6"/>
  <c r="F147" i="6" s="1"/>
  <c r="D212" i="6" s="1"/>
  <c r="E140" i="6"/>
  <c r="F140" i="6" s="1"/>
  <c r="D205" i="6" s="1"/>
  <c r="E132" i="6"/>
  <c r="F132" i="6" s="1"/>
  <c r="D197" i="6" s="1"/>
  <c r="E124" i="6"/>
  <c r="F124" i="6" s="1"/>
  <c r="D189" i="6" s="1"/>
  <c r="E120" i="6"/>
  <c r="F120" i="6" s="1"/>
  <c r="D185" i="6" s="1"/>
  <c r="E143" i="6"/>
  <c r="F143" i="6" s="1"/>
  <c r="D208" i="6" s="1"/>
  <c r="E135" i="6"/>
  <c r="F135" i="6" s="1"/>
  <c r="D200" i="6" s="1"/>
  <c r="E127" i="6"/>
  <c r="F127" i="6" s="1"/>
  <c r="D192" i="6" s="1"/>
  <c r="CG113" i="6"/>
  <c r="CH113" i="6" s="1"/>
  <c r="F240" i="6" s="1"/>
  <c r="BA116" i="6"/>
  <c r="BB116" i="6" s="1"/>
  <c r="E243" i="6" s="1"/>
  <c r="E117" i="6"/>
  <c r="F117" i="6" s="1"/>
  <c r="D182" i="6" s="1"/>
  <c r="U119" i="6"/>
  <c r="V119" i="6" s="1"/>
  <c r="D246" i="6" s="1"/>
  <c r="BA121" i="6"/>
  <c r="BB121" i="6" s="1"/>
  <c r="CG123" i="6"/>
  <c r="CH123" i="6" s="1"/>
  <c r="F250" i="6" s="1"/>
  <c r="BA124" i="6"/>
  <c r="BB124" i="6" s="1"/>
  <c r="E251" i="6" s="1"/>
  <c r="BQ125" i="6"/>
  <c r="BR125" i="6" s="1"/>
  <c r="F190" i="6" s="1"/>
  <c r="U130" i="6"/>
  <c r="V130" i="6" s="1"/>
  <c r="D257" i="6" s="1"/>
  <c r="CG130" i="6"/>
  <c r="CH130" i="6" s="1"/>
  <c r="F257" i="6" s="1"/>
  <c r="CG133" i="6"/>
  <c r="CH133" i="6" s="1"/>
  <c r="F260" i="6" s="1"/>
  <c r="BA135" i="6"/>
  <c r="BB135" i="6" s="1"/>
  <c r="E262" i="6" s="1"/>
  <c r="U136" i="6"/>
  <c r="V136" i="6" s="1"/>
  <c r="D263" i="6" s="1"/>
  <c r="CG140" i="6"/>
  <c r="CH140" i="6" s="1"/>
  <c r="BA141" i="6"/>
  <c r="BB141" i="6" s="1"/>
  <c r="BA145" i="6"/>
  <c r="BB145" i="6" s="1"/>
  <c r="E272" i="6" s="1"/>
  <c r="U148" i="6"/>
  <c r="V148" i="6" s="1"/>
  <c r="D275" i="6" s="1"/>
  <c r="CG150" i="6"/>
  <c r="CH150" i="6" s="1"/>
  <c r="E93" i="6"/>
  <c r="F93" i="6" s="1"/>
  <c r="D158" i="6" s="1"/>
  <c r="BA132" i="6"/>
  <c r="BB132" i="6" s="1"/>
  <c r="E259" i="6" s="1"/>
  <c r="CG109" i="6"/>
  <c r="CH109" i="6" s="1"/>
  <c r="CG112" i="6"/>
  <c r="CH112" i="6" s="1"/>
  <c r="F239" i="6" s="1"/>
  <c r="BA115" i="6"/>
  <c r="BB115" i="6" s="1"/>
  <c r="E242" i="6" s="1"/>
  <c r="U118" i="6"/>
  <c r="V118" i="6" s="1"/>
  <c r="D245" i="6" s="1"/>
  <c r="E121" i="6"/>
  <c r="F121" i="6" s="1"/>
  <c r="D186" i="6" s="1"/>
  <c r="U122" i="6"/>
  <c r="V122" i="6" s="1"/>
  <c r="D249" i="6" s="1"/>
  <c r="CG125" i="6"/>
  <c r="CH125" i="6" s="1"/>
  <c r="F252" i="6" s="1"/>
  <c r="U143" i="6"/>
  <c r="V143" i="6" s="1"/>
  <c r="D270" i="6" s="1"/>
  <c r="BQ144" i="6"/>
  <c r="BR144" i="6" s="1"/>
  <c r="F209" i="6" s="1"/>
  <c r="BA146" i="6"/>
  <c r="BB146" i="6" s="1"/>
  <c r="AK147" i="6"/>
  <c r="AL147" i="6" s="1"/>
  <c r="U149" i="6"/>
  <c r="V149" i="6" s="1"/>
  <c r="D276" i="6" s="1"/>
  <c r="E150" i="6"/>
  <c r="F150" i="6" s="1"/>
  <c r="D215" i="6" s="1"/>
  <c r="CG151" i="6"/>
  <c r="CH151" i="6" s="1"/>
  <c r="F278" i="6" s="1"/>
  <c r="BQ152" i="6"/>
  <c r="BR152" i="6" s="1"/>
  <c r="F217" i="6" s="1"/>
  <c r="BA93" i="6"/>
  <c r="BB93" i="6" s="1"/>
  <c r="E220" i="6" s="1"/>
  <c r="E116" i="6"/>
  <c r="F116" i="6" s="1"/>
  <c r="D181" i="6" s="1"/>
  <c r="BA120" i="6"/>
  <c r="BB120" i="6" s="1"/>
  <c r="E247" i="6" s="1"/>
  <c r="E128" i="6"/>
  <c r="F128" i="6" s="1"/>
  <c r="D193" i="6" s="1"/>
  <c r="BQ128" i="6"/>
  <c r="BR128" i="6" s="1"/>
  <c r="F193" i="6" s="1"/>
  <c r="AK130" i="6"/>
  <c r="AL130" i="6" s="1"/>
  <c r="E195" i="6" s="1"/>
  <c r="E131" i="6"/>
  <c r="F131" i="6" s="1"/>
  <c r="D196" i="6" s="1"/>
  <c r="E134" i="6"/>
  <c r="F134" i="6" s="1"/>
  <c r="D199" i="6" s="1"/>
  <c r="BQ135" i="6"/>
  <c r="BR135" i="6" s="1"/>
  <c r="F200" i="6" s="1"/>
  <c r="AK139" i="6"/>
  <c r="AL139" i="6" s="1"/>
  <c r="E204" i="6" s="1"/>
  <c r="E141" i="6"/>
  <c r="F141" i="6" s="1"/>
  <c r="D206" i="6" s="1"/>
  <c r="E144" i="6"/>
  <c r="F144" i="6" s="1"/>
  <c r="D209" i="6" s="1"/>
  <c r="CG144" i="6"/>
  <c r="CH144" i="6" s="1"/>
  <c r="F271" i="6" s="1"/>
  <c r="U146" i="6"/>
  <c r="V146" i="6" s="1"/>
  <c r="D273" i="6" s="1"/>
  <c r="BA147" i="6"/>
  <c r="BB147" i="6" s="1"/>
  <c r="E274" i="6" s="1"/>
  <c r="CG148" i="6"/>
  <c r="CH148" i="6" s="1"/>
  <c r="F275" i="6" s="1"/>
  <c r="U150" i="6"/>
  <c r="V150" i="6" s="1"/>
  <c r="D277" i="6" s="1"/>
  <c r="BA151" i="6"/>
  <c r="BB151" i="6" s="1"/>
  <c r="CG152" i="6"/>
  <c r="CH152" i="6" s="1"/>
  <c r="F279" i="6" s="1"/>
  <c r="CG128" i="6"/>
  <c r="CH128" i="6" s="1"/>
  <c r="BA131" i="6"/>
  <c r="BB131" i="6" s="1"/>
  <c r="E258" i="6" s="1"/>
  <c r="U134" i="6"/>
  <c r="V134" i="6" s="1"/>
  <c r="D261" i="6" s="1"/>
  <c r="CG136" i="6"/>
  <c r="CH136" i="6" s="1"/>
  <c r="F263" i="6" s="1"/>
  <c r="BA139" i="6"/>
  <c r="BB139" i="6" s="1"/>
  <c r="E266" i="6" s="1"/>
  <c r="U142" i="6"/>
  <c r="V142" i="6" s="1"/>
  <c r="D269" i="6" s="1"/>
  <c r="CG127" i="6"/>
  <c r="CH127" i="6" s="1"/>
  <c r="F254" i="6" s="1"/>
  <c r="BA130" i="6"/>
  <c r="BB130" i="6" s="1"/>
  <c r="E257" i="6" s="1"/>
  <c r="U133" i="6"/>
  <c r="V133" i="6" s="1"/>
  <c r="D260" i="6" s="1"/>
  <c r="CG135" i="6"/>
  <c r="CH135" i="6" s="1"/>
  <c r="BA138" i="6"/>
  <c r="BB138" i="6" s="1"/>
  <c r="E265" i="6" s="1"/>
  <c r="U141" i="6"/>
  <c r="V141" i="6" s="1"/>
  <c r="D268" i="6" s="1"/>
  <c r="CG143" i="6"/>
  <c r="CH143" i="6" s="1"/>
  <c r="F197" i="4"/>
  <c r="F200" i="4"/>
  <c r="F177" i="4"/>
  <c r="E232" i="4"/>
  <c r="AK113" i="4"/>
  <c r="AL113" i="4" s="1"/>
  <c r="E178" i="4" s="1"/>
  <c r="CG116" i="4"/>
  <c r="CH116" i="4" s="1"/>
  <c r="F243" i="4" s="1"/>
  <c r="BR133" i="4"/>
  <c r="AK136" i="4"/>
  <c r="AL136" i="4" s="1"/>
  <c r="AK93" i="4"/>
  <c r="AL93" i="4" s="1"/>
  <c r="BR94" i="4"/>
  <c r="F159" i="4" s="1"/>
  <c r="AK107" i="4"/>
  <c r="AL107" i="4" s="1"/>
  <c r="E172" i="4" s="1"/>
  <c r="CG110" i="4"/>
  <c r="CH110" i="4" s="1"/>
  <c r="BR111" i="4"/>
  <c r="F176" i="4" s="1"/>
  <c r="U115" i="4"/>
  <c r="V115" i="4" s="1"/>
  <c r="D242" i="4" s="1"/>
  <c r="BB127" i="4"/>
  <c r="BR134" i="4"/>
  <c r="U141" i="4"/>
  <c r="V141" i="4" s="1"/>
  <c r="D268" i="4" s="1"/>
  <c r="BB142" i="4"/>
  <c r="E269" i="4" s="1"/>
  <c r="BB150" i="4"/>
  <c r="E277" i="4" s="1"/>
  <c r="E221" i="4"/>
  <c r="F161" i="4"/>
  <c r="E238" i="4"/>
  <c r="AK150" i="4"/>
  <c r="AL150" i="4" s="1"/>
  <c r="AK146" i="4"/>
  <c r="AL146" i="4" s="1"/>
  <c r="E211" i="4" s="1"/>
  <c r="AK142" i="4"/>
  <c r="AL142" i="4" s="1"/>
  <c r="E207" i="4" s="1"/>
  <c r="AK138" i="4"/>
  <c r="AL138" i="4" s="1"/>
  <c r="E203" i="4" s="1"/>
  <c r="AK134" i="4"/>
  <c r="AL134" i="4" s="1"/>
  <c r="AK152" i="4"/>
  <c r="AL152" i="4" s="1"/>
  <c r="AK141" i="4"/>
  <c r="AL141" i="4" s="1"/>
  <c r="AK149" i="4"/>
  <c r="AL149" i="4" s="1"/>
  <c r="AK122" i="4"/>
  <c r="AL122" i="4" s="1"/>
  <c r="AK129" i="4"/>
  <c r="AL129" i="4" s="1"/>
  <c r="AK101" i="4"/>
  <c r="AL101" i="4" s="1"/>
  <c r="E166" i="4" s="1"/>
  <c r="AK148" i="4"/>
  <c r="AL148" i="4" s="1"/>
  <c r="E213" i="4" s="1"/>
  <c r="AK105" i="4"/>
  <c r="AL105" i="4" s="1"/>
  <c r="E170" i="4" s="1"/>
  <c r="AK97" i="4"/>
  <c r="AL97" i="4" s="1"/>
  <c r="E162" i="4" s="1"/>
  <c r="AK151" i="4"/>
  <c r="AL151" i="4" s="1"/>
  <c r="F230" i="4"/>
  <c r="CG109" i="4"/>
  <c r="CH109" i="4" s="1"/>
  <c r="F236" i="4" s="1"/>
  <c r="AK114" i="4"/>
  <c r="AL114" i="4" s="1"/>
  <c r="E179" i="4" s="1"/>
  <c r="CG117" i="4"/>
  <c r="CH117" i="4" s="1"/>
  <c r="F244" i="4" s="1"/>
  <c r="CG94" i="4"/>
  <c r="CH94" i="4" s="1"/>
  <c r="F221" i="4" s="1"/>
  <c r="AK96" i="4"/>
  <c r="AL96" i="4" s="1"/>
  <c r="E161" i="4" s="1"/>
  <c r="AK108" i="4"/>
  <c r="AL108" i="4" s="1"/>
  <c r="E173" i="4" s="1"/>
  <c r="U110" i="4"/>
  <c r="V110" i="4" s="1"/>
  <c r="D237" i="4" s="1"/>
  <c r="CG111" i="4"/>
  <c r="CH111" i="4" s="1"/>
  <c r="F238" i="4" s="1"/>
  <c r="CG119" i="4"/>
  <c r="CH119" i="4" s="1"/>
  <c r="F246" i="4" s="1"/>
  <c r="CG120" i="4"/>
  <c r="CH120" i="4" s="1"/>
  <c r="F247" i="4" s="1"/>
  <c r="BB122" i="4"/>
  <c r="BB126" i="4"/>
  <c r="BR129" i="4"/>
  <c r="CG130" i="4"/>
  <c r="CH130" i="4" s="1"/>
  <c r="BR136" i="4"/>
  <c r="CG137" i="4"/>
  <c r="CH137" i="4" s="1"/>
  <c r="F264" i="4" s="1"/>
  <c r="BR146" i="4"/>
  <c r="F211" i="4" s="1"/>
  <c r="E177" i="4"/>
  <c r="E227" i="4"/>
  <c r="AK116" i="4"/>
  <c r="AL116" i="4" s="1"/>
  <c r="CG121" i="4"/>
  <c r="CH121" i="4" s="1"/>
  <c r="E251" i="4"/>
  <c r="BR126" i="4"/>
  <c r="F191" i="4" s="1"/>
  <c r="CG127" i="4"/>
  <c r="CH127" i="4" s="1"/>
  <c r="CG129" i="4"/>
  <c r="CH129" i="4" s="1"/>
  <c r="F256" i="4" s="1"/>
  <c r="CG132" i="4"/>
  <c r="CH132" i="4" s="1"/>
  <c r="F259" i="4" s="1"/>
  <c r="BR151" i="4"/>
  <c r="BR147" i="4"/>
  <c r="F212" i="4" s="1"/>
  <c r="BR143" i="4"/>
  <c r="BR139" i="4"/>
  <c r="BR127" i="4"/>
  <c r="BR148" i="4"/>
  <c r="F213" i="4" s="1"/>
  <c r="BR131" i="4"/>
  <c r="BR98" i="4"/>
  <c r="F163" i="4" s="1"/>
  <c r="BR142" i="4"/>
  <c r="BR107" i="4"/>
  <c r="F172" i="4" s="1"/>
  <c r="BR130" i="4"/>
  <c r="BR152" i="4"/>
  <c r="F217" i="4" s="1"/>
  <c r="BR150" i="4"/>
  <c r="BR149" i="4"/>
  <c r="F214" i="4" s="1"/>
  <c r="BR102" i="4"/>
  <c r="F167" i="4" s="1"/>
  <c r="BR93" i="4"/>
  <c r="F158" i="4" s="1"/>
  <c r="BR95" i="4"/>
  <c r="F160" i="4" s="1"/>
  <c r="BB96" i="4"/>
  <c r="E223" i="4" s="1"/>
  <c r="U97" i="4"/>
  <c r="V97" i="4" s="1"/>
  <c r="D224" i="4" s="1"/>
  <c r="BR100" i="4"/>
  <c r="BR101" i="4"/>
  <c r="F166" i="4" s="1"/>
  <c r="AK103" i="4"/>
  <c r="AL103" i="4" s="1"/>
  <c r="E168" i="4" s="1"/>
  <c r="AK104" i="4"/>
  <c r="AL104" i="4" s="1"/>
  <c r="E169" i="4" s="1"/>
  <c r="F106" i="4"/>
  <c r="D171" i="4" s="1"/>
  <c r="BR108" i="4"/>
  <c r="F173" i="4" s="1"/>
  <c r="AK110" i="4"/>
  <c r="AL110" i="4" s="1"/>
  <c r="E175" i="4" s="1"/>
  <c r="BB115" i="4"/>
  <c r="E242" i="4" s="1"/>
  <c r="AK118" i="4"/>
  <c r="AL118" i="4" s="1"/>
  <c r="E183" i="4" s="1"/>
  <c r="U120" i="4"/>
  <c r="V120" i="4" s="1"/>
  <c r="D247" i="4" s="1"/>
  <c r="CG122" i="4"/>
  <c r="CH122" i="4" s="1"/>
  <c r="CG126" i="4"/>
  <c r="CH126" i="4" s="1"/>
  <c r="F253" i="4" s="1"/>
  <c r="F131" i="4"/>
  <c r="D196" i="4" s="1"/>
  <c r="U132" i="4"/>
  <c r="V132" i="4" s="1"/>
  <c r="D259" i="4" s="1"/>
  <c r="U134" i="4"/>
  <c r="V134" i="4" s="1"/>
  <c r="D261" i="4" s="1"/>
  <c r="F135" i="4"/>
  <c r="D200" i="4" s="1"/>
  <c r="AK139" i="4"/>
  <c r="AL139" i="4" s="1"/>
  <c r="BR141" i="4"/>
  <c r="AK144" i="4"/>
  <c r="AL144" i="4" s="1"/>
  <c r="E209" i="4" s="1"/>
  <c r="E163" i="4"/>
  <c r="E222" i="4"/>
  <c r="BR99" i="4"/>
  <c r="F164" i="4" s="1"/>
  <c r="E228" i="4"/>
  <c r="AK102" i="4"/>
  <c r="AL102" i="4" s="1"/>
  <c r="E167" i="4" s="1"/>
  <c r="CG105" i="4"/>
  <c r="CH105" i="4" s="1"/>
  <c r="F232" i="4" s="1"/>
  <c r="CG106" i="4"/>
  <c r="CH106" i="4" s="1"/>
  <c r="E252" i="4"/>
  <c r="AK94" i="4"/>
  <c r="AL94" i="4" s="1"/>
  <c r="E159" i="4" s="1"/>
  <c r="U99" i="4"/>
  <c r="V99" i="4" s="1"/>
  <c r="D226" i="4" s="1"/>
  <c r="CG99" i="4"/>
  <c r="CH99" i="4" s="1"/>
  <c r="CG101" i="4"/>
  <c r="CH101" i="4" s="1"/>
  <c r="F228" i="4" s="1"/>
  <c r="BB102" i="4"/>
  <c r="BB104" i="4"/>
  <c r="E231" i="4" s="1"/>
  <c r="CG107" i="4"/>
  <c r="CH107" i="4" s="1"/>
  <c r="AK111" i="4"/>
  <c r="AL111" i="4" s="1"/>
  <c r="E176" i="4" s="1"/>
  <c r="U112" i="4"/>
  <c r="V112" i="4" s="1"/>
  <c r="D239" i="4" s="1"/>
  <c r="BR115" i="4"/>
  <c r="F180" i="4" s="1"/>
  <c r="BB117" i="4"/>
  <c r="E244" i="4" s="1"/>
  <c r="AK120" i="4"/>
  <c r="AL120" i="4" s="1"/>
  <c r="AK121" i="4"/>
  <c r="AL121" i="4" s="1"/>
  <c r="E186" i="4" s="1"/>
  <c r="BR124" i="4"/>
  <c r="F127" i="4"/>
  <c r="D192" i="4" s="1"/>
  <c r="U133" i="4"/>
  <c r="V133" i="4" s="1"/>
  <c r="D260" i="4" s="1"/>
  <c r="U143" i="4"/>
  <c r="V143" i="4" s="1"/>
  <c r="D270" i="4" s="1"/>
  <c r="CG98" i="4"/>
  <c r="CH98" i="4" s="1"/>
  <c r="F225" i="4" s="1"/>
  <c r="U152" i="4"/>
  <c r="V152" i="4" s="1"/>
  <c r="D279" i="4" s="1"/>
  <c r="U148" i="4"/>
  <c r="V148" i="4" s="1"/>
  <c r="D275" i="4" s="1"/>
  <c r="U150" i="4"/>
  <c r="V150" i="4" s="1"/>
  <c r="D277" i="4" s="1"/>
  <c r="U144" i="4"/>
  <c r="V144" i="4" s="1"/>
  <c r="D271" i="4" s="1"/>
  <c r="U106" i="4"/>
  <c r="V106" i="4" s="1"/>
  <c r="D233" i="4" s="1"/>
  <c r="U102" i="4"/>
  <c r="V102" i="4" s="1"/>
  <c r="D229" i="4" s="1"/>
  <c r="U98" i="4"/>
  <c r="V98" i="4" s="1"/>
  <c r="D225" i="4" s="1"/>
  <c r="U123" i="4"/>
  <c r="V123" i="4" s="1"/>
  <c r="D250" i="4" s="1"/>
  <c r="U119" i="4"/>
  <c r="V119" i="4" s="1"/>
  <c r="D246" i="4" s="1"/>
  <c r="U126" i="4"/>
  <c r="V126" i="4" s="1"/>
  <c r="D253" i="4" s="1"/>
  <c r="U124" i="4"/>
  <c r="V124" i="4" s="1"/>
  <c r="D251" i="4" s="1"/>
  <c r="U130" i="4"/>
  <c r="V130" i="4" s="1"/>
  <c r="D257" i="4" s="1"/>
  <c r="U111" i="4"/>
  <c r="V111" i="4" s="1"/>
  <c r="D238" i="4" s="1"/>
  <c r="U138" i="4"/>
  <c r="V138" i="4" s="1"/>
  <c r="D265" i="4" s="1"/>
  <c r="U122" i="4"/>
  <c r="V122" i="4" s="1"/>
  <c r="D249" i="4" s="1"/>
  <c r="U107" i="4"/>
  <c r="V107" i="4" s="1"/>
  <c r="D234" i="4" s="1"/>
  <c r="U140" i="4"/>
  <c r="V140" i="4" s="1"/>
  <c r="D267" i="4" s="1"/>
  <c r="U125" i="4"/>
  <c r="V125" i="4" s="1"/>
  <c r="D252" i="4" s="1"/>
  <c r="CG150" i="4"/>
  <c r="CH150" i="4" s="1"/>
  <c r="F277" i="4" s="1"/>
  <c r="CG152" i="4"/>
  <c r="CH152" i="4" s="1"/>
  <c r="F279" i="4" s="1"/>
  <c r="CG148" i="4"/>
  <c r="CH148" i="4" s="1"/>
  <c r="F275" i="4" s="1"/>
  <c r="CG142" i="4"/>
  <c r="CH142" i="4" s="1"/>
  <c r="F269" i="4" s="1"/>
  <c r="CG104" i="4"/>
  <c r="CH104" i="4" s="1"/>
  <c r="F231" i="4" s="1"/>
  <c r="CG100" i="4"/>
  <c r="CH100" i="4" s="1"/>
  <c r="F227" i="4" s="1"/>
  <c r="CG135" i="4"/>
  <c r="CH135" i="4" s="1"/>
  <c r="CG125" i="4"/>
  <c r="CH125" i="4" s="1"/>
  <c r="F252" i="4" s="1"/>
  <c r="CG113" i="4"/>
  <c r="CH113" i="4" s="1"/>
  <c r="F240" i="4" s="1"/>
  <c r="CG136" i="4"/>
  <c r="CH136" i="4" s="1"/>
  <c r="CG143" i="4"/>
  <c r="CH143" i="4" s="1"/>
  <c r="CG128" i="4"/>
  <c r="CH128" i="4" s="1"/>
  <c r="CG118" i="4"/>
  <c r="CH118" i="4" s="1"/>
  <c r="F245" i="4" s="1"/>
  <c r="CG124" i="4"/>
  <c r="CH124" i="4" s="1"/>
  <c r="F251" i="4" s="1"/>
  <c r="CG93" i="4"/>
  <c r="CH93" i="4" s="1"/>
  <c r="F220" i="4" s="1"/>
  <c r="CG140" i="4"/>
  <c r="CH140" i="4" s="1"/>
  <c r="CG146" i="4"/>
  <c r="CH146" i="4" s="1"/>
  <c r="U95" i="4"/>
  <c r="V95" i="4" s="1"/>
  <c r="D222" i="4" s="1"/>
  <c r="CG95" i="4"/>
  <c r="CH95" i="4" s="1"/>
  <c r="CG108" i="4"/>
  <c r="CH108" i="4" s="1"/>
  <c r="F235" i="4" s="1"/>
  <c r="BR109" i="4"/>
  <c r="F174" i="4" s="1"/>
  <c r="BR116" i="4"/>
  <c r="F181" i="4" s="1"/>
  <c r="BR117" i="4"/>
  <c r="F182" i="4" s="1"/>
  <c r="AK119" i="4"/>
  <c r="AL119" i="4" s="1"/>
  <c r="E184" i="4" s="1"/>
  <c r="F122" i="4"/>
  <c r="D187" i="4" s="1"/>
  <c r="F124" i="4"/>
  <c r="D189" i="4" s="1"/>
  <c r="U129" i="4"/>
  <c r="V129" i="4" s="1"/>
  <c r="D256" i="4" s="1"/>
  <c r="AK131" i="4"/>
  <c r="AL131" i="4" s="1"/>
  <c r="AK133" i="4"/>
  <c r="AL133" i="4" s="1"/>
  <c r="U136" i="4"/>
  <c r="V136" i="4" s="1"/>
  <c r="D263" i="4" s="1"/>
  <c r="U137" i="4"/>
  <c r="V137" i="4" s="1"/>
  <c r="D264" i="4" s="1"/>
  <c r="BR140" i="4"/>
  <c r="F205" i="4" s="1"/>
  <c r="F146" i="4"/>
  <c r="D211" i="4" s="1"/>
  <c r="E245" i="4"/>
  <c r="E192" i="4"/>
  <c r="E193" i="4"/>
  <c r="AK130" i="4"/>
  <c r="AL130" i="4" s="1"/>
  <c r="E195" i="4" s="1"/>
  <c r="E265" i="4"/>
  <c r="CG144" i="4"/>
  <c r="CH144" i="4" s="1"/>
  <c r="AK143" i="4"/>
  <c r="AL143" i="4" s="1"/>
  <c r="CG96" i="4"/>
  <c r="CH96" i="4" s="1"/>
  <c r="F223" i="4" s="1"/>
  <c r="E100" i="4"/>
  <c r="F100" i="4" s="1"/>
  <c r="D165" i="4" s="1"/>
  <c r="BA107" i="4"/>
  <c r="BB107" i="4" s="1"/>
  <c r="AK109" i="4"/>
  <c r="AL109" i="4" s="1"/>
  <c r="E174" i="4" s="1"/>
  <c r="BA110" i="4"/>
  <c r="BB110" i="4" s="1"/>
  <c r="E237" i="4" s="1"/>
  <c r="BR119" i="4"/>
  <c r="F184" i="4" s="1"/>
  <c r="E132" i="4"/>
  <c r="F132" i="4" s="1"/>
  <c r="D197" i="4" s="1"/>
  <c r="BR138" i="4"/>
  <c r="F203" i="4" s="1"/>
  <c r="U146" i="4"/>
  <c r="V146" i="4" s="1"/>
  <c r="D273" i="4" s="1"/>
  <c r="BB139" i="4"/>
  <c r="E266" i="4" s="1"/>
  <c r="U145" i="4"/>
  <c r="V145" i="4" s="1"/>
  <c r="D272" i="4" s="1"/>
  <c r="BB109" i="4"/>
  <c r="E236" i="4" s="1"/>
  <c r="BR114" i="4"/>
  <c r="F179" i="4" s="1"/>
  <c r="U127" i="4"/>
  <c r="V127" i="4" s="1"/>
  <c r="D254" i="4" s="1"/>
  <c r="BR128" i="4"/>
  <c r="AK137" i="4"/>
  <c r="AL137" i="4" s="1"/>
  <c r="AK147" i="4"/>
  <c r="AL147" i="4" s="1"/>
  <c r="E212" i="4" s="1"/>
  <c r="E149" i="4"/>
  <c r="F149" i="4" s="1"/>
  <c r="D214" i="4" s="1"/>
  <c r="E145" i="4"/>
  <c r="F145" i="4" s="1"/>
  <c r="D210" i="4" s="1"/>
  <c r="E141" i="4"/>
  <c r="F141" i="4" s="1"/>
  <c r="D206" i="4" s="1"/>
  <c r="E133" i="4"/>
  <c r="F133" i="4" s="1"/>
  <c r="D198" i="4" s="1"/>
  <c r="E129" i="4"/>
  <c r="F129" i="4" s="1"/>
  <c r="D194" i="4" s="1"/>
  <c r="E148" i="4"/>
  <c r="F148" i="4" s="1"/>
  <c r="D213" i="4" s="1"/>
  <c r="E151" i="4"/>
  <c r="F151" i="4" s="1"/>
  <c r="D216" i="4" s="1"/>
  <c r="E144" i="4"/>
  <c r="F144" i="4" s="1"/>
  <c r="D209" i="4" s="1"/>
  <c r="E137" i="4"/>
  <c r="F137" i="4" s="1"/>
  <c r="D202" i="4" s="1"/>
  <c r="E150" i="4"/>
  <c r="F150" i="4" s="1"/>
  <c r="D215" i="4" s="1"/>
  <c r="BA113" i="4"/>
  <c r="BB113" i="4" s="1"/>
  <c r="E240" i="4" s="1"/>
  <c r="AK115" i="4"/>
  <c r="AL115" i="4" s="1"/>
  <c r="E180" i="4" s="1"/>
  <c r="BR118" i="4"/>
  <c r="F183" i="4" s="1"/>
  <c r="BA120" i="4"/>
  <c r="BB120" i="4" s="1"/>
  <c r="E247" i="4" s="1"/>
  <c r="BR121" i="4"/>
  <c r="F186" i="4" s="1"/>
  <c r="AK126" i="4"/>
  <c r="AL126" i="4" s="1"/>
  <c r="E191" i="4" s="1"/>
  <c r="AK132" i="4"/>
  <c r="AL132" i="4" s="1"/>
  <c r="E197" i="4" s="1"/>
  <c r="CG133" i="4"/>
  <c r="CH133" i="4" s="1"/>
  <c r="U135" i="4"/>
  <c r="V135" i="4" s="1"/>
  <c r="D262" i="4" s="1"/>
  <c r="BA137" i="4"/>
  <c r="BB137" i="4" s="1"/>
  <c r="E264" i="4" s="1"/>
  <c r="E139" i="4"/>
  <c r="F139" i="4" s="1"/>
  <c r="D204" i="4" s="1"/>
  <c r="CG139" i="4"/>
  <c r="CH139" i="4" s="1"/>
  <c r="BA147" i="4"/>
  <c r="BB147" i="4" s="1"/>
  <c r="E152" i="4"/>
  <c r="F152" i="4" s="1"/>
  <c r="D217" i="4" s="1"/>
  <c r="CG115" i="4"/>
  <c r="CH115" i="4" s="1"/>
  <c r="F242" i="4" s="1"/>
  <c r="BB140" i="4"/>
  <c r="E267" i="4" s="1"/>
  <c r="CG149" i="4"/>
  <c r="CH149" i="4" s="1"/>
  <c r="F276" i="4" s="1"/>
  <c r="E93" i="4"/>
  <c r="F93" i="4" s="1"/>
  <c r="D158" i="4" s="1"/>
  <c r="BA149" i="4"/>
  <c r="BB149" i="4" s="1"/>
  <c r="E276" i="4" s="1"/>
  <c r="BA151" i="4"/>
  <c r="BB151" i="4" s="1"/>
  <c r="BA143" i="4"/>
  <c r="BB143" i="4" s="1"/>
  <c r="BA103" i="4"/>
  <c r="BB103" i="4" s="1"/>
  <c r="E230" i="4" s="1"/>
  <c r="BA99" i="4"/>
  <c r="BB99" i="4" s="1"/>
  <c r="BA145" i="4"/>
  <c r="BB145" i="4" s="1"/>
  <c r="E272" i="4" s="1"/>
  <c r="BA141" i="4"/>
  <c r="BB141" i="4" s="1"/>
  <c r="E268" i="4" s="1"/>
  <c r="BA130" i="4"/>
  <c r="BB130" i="4" s="1"/>
  <c r="E257" i="4" s="1"/>
  <c r="BA108" i="4"/>
  <c r="BB108" i="4" s="1"/>
  <c r="E235" i="4" s="1"/>
  <c r="BA131" i="4"/>
  <c r="BB131" i="4" s="1"/>
  <c r="BA123" i="4"/>
  <c r="BB123" i="4" s="1"/>
  <c r="E104" i="4"/>
  <c r="F104" i="4" s="1"/>
  <c r="D169" i="4" s="1"/>
  <c r="E109" i="4"/>
  <c r="F109" i="4" s="1"/>
  <c r="D174" i="4" s="1"/>
  <c r="E113" i="4"/>
  <c r="F113" i="4" s="1"/>
  <c r="D178" i="4" s="1"/>
  <c r="CG114" i="4"/>
  <c r="CH114" i="4" s="1"/>
  <c r="F241" i="4" s="1"/>
  <c r="E116" i="4"/>
  <c r="F116" i="4" s="1"/>
  <c r="D181" i="4" s="1"/>
  <c r="BA116" i="4"/>
  <c r="BB116" i="4" s="1"/>
  <c r="E243" i="4" s="1"/>
  <c r="U118" i="4"/>
  <c r="V118" i="4" s="1"/>
  <c r="D245" i="4" s="1"/>
  <c r="E120" i="4"/>
  <c r="F120" i="4" s="1"/>
  <c r="D185" i="4" s="1"/>
  <c r="U121" i="4"/>
  <c r="V121" i="4" s="1"/>
  <c r="D248" i="4" s="1"/>
  <c r="BR123" i="4"/>
  <c r="F188" i="4" s="1"/>
  <c r="E128" i="4"/>
  <c r="F128" i="4" s="1"/>
  <c r="D193" i="4" s="1"/>
  <c r="BA132" i="4"/>
  <c r="BB132" i="4" s="1"/>
  <c r="E259" i="4" s="1"/>
  <c r="E134" i="4"/>
  <c r="F134" i="4" s="1"/>
  <c r="D199" i="4" s="1"/>
  <c r="AK135" i="4"/>
  <c r="AL135" i="4" s="1"/>
  <c r="E200" i="4" s="1"/>
  <c r="E136" i="4"/>
  <c r="F136" i="4" s="1"/>
  <c r="D201" i="4" s="1"/>
  <c r="U142" i="4"/>
  <c r="V142" i="4" s="1"/>
  <c r="D269" i="4" s="1"/>
  <c r="E143" i="4"/>
  <c r="F143" i="4" s="1"/>
  <c r="D208" i="4" s="1"/>
  <c r="U151" i="4"/>
  <c r="V151" i="4" s="1"/>
  <c r="D278" i="4" s="1"/>
  <c r="BR110" i="4"/>
  <c r="F175" i="4" s="1"/>
  <c r="CG112" i="4"/>
  <c r="CH112" i="4" s="1"/>
  <c r="F130" i="4"/>
  <c r="D195" i="4" s="1"/>
  <c r="AK145" i="4"/>
  <c r="AL145" i="4" s="1"/>
  <c r="E210" i="4" s="1"/>
  <c r="U149" i="4"/>
  <c r="V149" i="4" s="1"/>
  <c r="D276" i="4" s="1"/>
  <c r="BA93" i="4"/>
  <c r="BB93" i="4" s="1"/>
  <c r="E220" i="4" s="1"/>
  <c r="BR97" i="4"/>
  <c r="F162" i="4" s="1"/>
  <c r="AK100" i="4"/>
  <c r="AL100" i="4" s="1"/>
  <c r="E165" i="4" s="1"/>
  <c r="E103" i="4"/>
  <c r="F103" i="4" s="1"/>
  <c r="D168" i="4" s="1"/>
  <c r="BR105" i="4"/>
  <c r="F170" i="4" s="1"/>
  <c r="BA112" i="4"/>
  <c r="BB112" i="4" s="1"/>
  <c r="E239" i="4" s="1"/>
  <c r="BR120" i="4"/>
  <c r="F185" i="4" s="1"/>
  <c r="E123" i="4"/>
  <c r="F123" i="4" s="1"/>
  <c r="D188" i="4" s="1"/>
  <c r="E125" i="4"/>
  <c r="F125" i="4" s="1"/>
  <c r="D190" i="4" s="1"/>
  <c r="BR125" i="4"/>
  <c r="BR137" i="4"/>
  <c r="F202" i="4" s="1"/>
  <c r="U139" i="4"/>
  <c r="V139" i="4" s="1"/>
  <c r="D266" i="4" s="1"/>
  <c r="BR144" i="4"/>
  <c r="F209" i="4" s="1"/>
  <c r="CG145" i="4"/>
  <c r="CH145" i="4" s="1"/>
  <c r="F272" i="4" s="1"/>
  <c r="U128" i="4"/>
  <c r="V128" i="4" s="1"/>
  <c r="D255" i="4" s="1"/>
  <c r="BA133" i="4"/>
  <c r="BB133" i="4" s="1"/>
  <c r="CG138" i="4"/>
  <c r="CH138" i="4" s="1"/>
  <c r="E142" i="4"/>
  <c r="F142" i="4" s="1"/>
  <c r="D207" i="4" s="1"/>
  <c r="CG147" i="4"/>
  <c r="CH147" i="4" s="1"/>
  <c r="F274" i="4" s="1"/>
  <c r="BA148" i="4"/>
  <c r="BB148" i="4" s="1"/>
  <c r="E275" i="4" s="1"/>
  <c r="BR122" i="4"/>
  <c r="F187" i="4" s="1"/>
  <c r="AK125" i="4"/>
  <c r="AL125" i="4" s="1"/>
  <c r="E190" i="4" s="1"/>
  <c r="BA129" i="4"/>
  <c r="BB129" i="4" s="1"/>
  <c r="E256" i="4" s="1"/>
  <c r="U131" i="4"/>
  <c r="V131" i="4" s="1"/>
  <c r="D258" i="4" s="1"/>
  <c r="CG134" i="4"/>
  <c r="CH134" i="4" s="1"/>
  <c r="F261" i="4" s="1"/>
  <c r="BA136" i="4"/>
  <c r="BB136" i="4" s="1"/>
  <c r="AK140" i="4"/>
  <c r="AL140" i="4" s="1"/>
  <c r="E205" i="4" s="1"/>
  <c r="BA146" i="4"/>
  <c r="BB146" i="4" s="1"/>
  <c r="E273" i="4" s="1"/>
  <c r="CG151" i="4"/>
  <c r="CH151" i="4" s="1"/>
  <c r="F278" i="4" s="1"/>
  <c r="BA152" i="4"/>
  <c r="BB152" i="4" s="1"/>
  <c r="E279" i="4" s="1"/>
  <c r="BR106" i="4"/>
  <c r="F171" i="4" s="1"/>
  <c r="E112" i="4"/>
  <c r="F112" i="4" s="1"/>
  <c r="D177" i="4" s="1"/>
  <c r="AK117" i="4"/>
  <c r="AL117" i="4" s="1"/>
  <c r="E182" i="4" s="1"/>
  <c r="AK124" i="4"/>
  <c r="AL124" i="4" s="1"/>
  <c r="BR145" i="4"/>
  <c r="F210" i="4" s="1"/>
  <c r="U147" i="4"/>
  <c r="V147" i="4" s="1"/>
  <c r="D274" i="4" s="1"/>
  <c r="CG141" i="4"/>
  <c r="CH141" i="4" s="1"/>
  <c r="F268" i="4" s="1"/>
  <c r="BA144" i="4"/>
  <c r="BB144" i="4" s="1"/>
  <c r="E271" i="4" s="1"/>
  <c r="AK75" i="9"/>
  <c r="AK83" i="9" s="1"/>
  <c r="AI75" i="9"/>
  <c r="AI83" i="9" s="1"/>
  <c r="AJ75" i="9"/>
  <c r="AJ83" i="9" s="1"/>
  <c r="AL75" i="7"/>
  <c r="AL83" i="7" s="1"/>
  <c r="AM75" i="7"/>
  <c r="AM83" i="7" s="1"/>
  <c r="AI76" i="7"/>
  <c r="AI84" i="7" s="1"/>
  <c r="AI75" i="7"/>
  <c r="AI83" i="7" s="1"/>
  <c r="AJ76" i="7"/>
  <c r="AJ84" i="7" s="1"/>
  <c r="AK76" i="7"/>
  <c r="AK84" i="7" s="1"/>
  <c r="AL76" i="7"/>
  <c r="AL84" i="7" s="1"/>
  <c r="AK75" i="7"/>
  <c r="AK83" i="7" s="1"/>
  <c r="AK76" i="5"/>
  <c r="AK84" i="5" s="1"/>
  <c r="AM75" i="5"/>
  <c r="AM83" i="5" s="1"/>
  <c r="AN75" i="5"/>
  <c r="AI76" i="5"/>
  <c r="AI84" i="5" s="1"/>
  <c r="AL75" i="5"/>
  <c r="AL83" i="5" s="1"/>
  <c r="AJ76" i="5"/>
  <c r="AJ84" i="5" s="1"/>
  <c r="AK75" i="5"/>
  <c r="AK83" i="5" s="1"/>
  <c r="CI84" i="6"/>
  <c r="CG75" i="6"/>
  <c r="CG83" i="6" s="1"/>
  <c r="CJ76" i="6"/>
  <c r="CJ84" i="6" s="1"/>
  <c r="CF76" i="6"/>
  <c r="CF84" i="6" s="1"/>
  <c r="CF75" i="6"/>
  <c r="CF83" i="6" s="1"/>
  <c r="CH76" i="6"/>
  <c r="CH84" i="6" s="1"/>
  <c r="CI75" i="6"/>
  <c r="CI83" i="6" s="1"/>
  <c r="CK75" i="6"/>
  <c r="BO76" i="6"/>
  <c r="BY84" i="6" s="1"/>
  <c r="BS76" i="6"/>
  <c r="CC84" i="6" s="1"/>
  <c r="BU75" i="6"/>
  <c r="BT76" i="6"/>
  <c r="CD84" i="6" s="1"/>
  <c r="BR75" i="6"/>
  <c r="CB83" i="6" s="1"/>
  <c r="BQ76" i="6"/>
  <c r="CA84" i="6" s="1"/>
  <c r="BP75" i="6"/>
  <c r="BZ83" i="6" s="1"/>
  <c r="BR76" i="6"/>
  <c r="CB84" i="6" s="1"/>
  <c r="BT75" i="6"/>
  <c r="CD83" i="6" s="1"/>
  <c r="CK75" i="4"/>
  <c r="CJ76" i="4"/>
  <c r="CJ84" i="4" s="1"/>
  <c r="CF75" i="4"/>
  <c r="CF83" i="4" s="1"/>
  <c r="CK76" i="4"/>
  <c r="CE75" i="4"/>
  <c r="CE83" i="4" s="1"/>
  <c r="CF76" i="4"/>
  <c r="CF84" i="4" s="1"/>
  <c r="CG75" i="4"/>
  <c r="CG83" i="4" s="1"/>
  <c r="CI75" i="4"/>
  <c r="CI83" i="4" s="1"/>
  <c r="CJ75" i="4"/>
  <c r="CJ83" i="4" s="1"/>
  <c r="CH75" i="4"/>
  <c r="CH83" i="4" s="1"/>
  <c r="BT75" i="4"/>
  <c r="CD83" i="4" s="1"/>
  <c r="BO76" i="4"/>
  <c r="BY84" i="4" s="1"/>
  <c r="BP75" i="4"/>
  <c r="BZ83" i="4" s="1"/>
  <c r="BR75" i="4"/>
  <c r="CB83" i="4" s="1"/>
  <c r="BS75" i="4"/>
  <c r="CC83" i="4" s="1"/>
  <c r="BT76" i="4"/>
  <c r="CD84" i="4" s="1"/>
  <c r="CI75" i="2"/>
  <c r="CJ76" i="2"/>
  <c r="CF75" i="2"/>
  <c r="CG75" i="2"/>
  <c r="CE75" i="2"/>
  <c r="BO75" i="2"/>
  <c r="BS76" i="2"/>
  <c r="BQ75" i="2"/>
  <c r="BP75" i="2"/>
  <c r="BR75" i="2"/>
  <c r="BT76" i="2"/>
  <c r="AK76" i="9"/>
  <c r="AK84" i="9" s="1"/>
  <c r="AL76" i="9"/>
  <c r="AJ75" i="7"/>
  <c r="AJ83" i="7" s="1"/>
  <c r="AM76" i="7"/>
  <c r="AM84" i="7" s="1"/>
  <c r="AN76" i="7"/>
  <c r="AI75" i="5"/>
  <c r="AI83" i="5" s="1"/>
  <c r="AJ75" i="5"/>
  <c r="AJ83" i="5" s="1"/>
  <c r="AL76" i="5"/>
  <c r="AL84" i="5" s="1"/>
  <c r="AM76" i="5"/>
  <c r="AM84" i="5" s="1"/>
  <c r="AN76" i="5"/>
  <c r="BQ75" i="6"/>
  <c r="CA83" i="6" s="1"/>
  <c r="CK76" i="6"/>
  <c r="BS75" i="6"/>
  <c r="CC83" i="6" s="1"/>
  <c r="CJ75" i="6"/>
  <c r="CJ83" i="6" s="1"/>
  <c r="CE76" i="6"/>
  <c r="CE84" i="6" s="1"/>
  <c r="BO75" i="6"/>
  <c r="BY83" i="6" s="1"/>
  <c r="BP76" i="6"/>
  <c r="BZ84" i="6" s="1"/>
  <c r="CG76" i="6"/>
  <c r="CG84" i="6" s="1"/>
  <c r="CG76" i="4"/>
  <c r="CG84" i="4" s="1"/>
  <c r="BQ76" i="4"/>
  <c r="CA84" i="4" s="1"/>
  <c r="CH76" i="4"/>
  <c r="CH84" i="4" s="1"/>
  <c r="BP76" i="4"/>
  <c r="BZ84" i="4" s="1"/>
  <c r="BR76" i="4"/>
  <c r="CB84" i="4" s="1"/>
  <c r="CI76" i="4"/>
  <c r="CI84" i="4" s="1"/>
  <c r="CE76" i="4"/>
  <c r="CE84" i="4" s="1"/>
  <c r="BS75" i="2"/>
  <c r="CJ75" i="2"/>
  <c r="BU76" i="2"/>
  <c r="BT75" i="2"/>
  <c r="CK75" i="2"/>
  <c r="CE76" i="2"/>
  <c r="BO76" i="2"/>
  <c r="CF76" i="2"/>
  <c r="BP76" i="2"/>
  <c r="CG76" i="2"/>
  <c r="BQ76" i="2"/>
  <c r="CH76" i="2"/>
  <c r="BR76" i="2"/>
  <c r="CI76" i="2"/>
  <c r="T79" i="9"/>
  <c r="U79" i="9"/>
  <c r="T80" i="9"/>
  <c r="U80" i="9"/>
  <c r="S80" i="9"/>
  <c r="S79" i="9"/>
  <c r="V65" i="9"/>
  <c r="V75" i="9" s="1"/>
  <c r="W65" i="9"/>
  <c r="X65" i="9"/>
  <c r="Y65" i="9"/>
  <c r="Z65" i="9"/>
  <c r="AA65" i="9"/>
  <c r="AB65" i="9"/>
  <c r="AC65" i="9"/>
  <c r="AD65" i="9"/>
  <c r="V66" i="9"/>
  <c r="W66" i="9"/>
  <c r="X66" i="9"/>
  <c r="Y66" i="9"/>
  <c r="Z66" i="9"/>
  <c r="AA66" i="9"/>
  <c r="AB66" i="9"/>
  <c r="AC66" i="9"/>
  <c r="AD66" i="9"/>
  <c r="V67" i="9"/>
  <c r="W67" i="9"/>
  <c r="X67" i="9"/>
  <c r="Y67" i="9"/>
  <c r="Z67" i="9"/>
  <c r="AA67" i="9"/>
  <c r="AB67" i="9"/>
  <c r="AC67" i="9"/>
  <c r="AD67" i="9"/>
  <c r="V68" i="9"/>
  <c r="W68" i="9"/>
  <c r="X68" i="9"/>
  <c r="Y68" i="9"/>
  <c r="Z68" i="9"/>
  <c r="AA68" i="9"/>
  <c r="AB68" i="9"/>
  <c r="AC68" i="9"/>
  <c r="AD68" i="9"/>
  <c r="V69" i="9"/>
  <c r="W69" i="9"/>
  <c r="X69" i="9"/>
  <c r="Y69" i="9"/>
  <c r="Z69" i="9"/>
  <c r="AA69" i="9"/>
  <c r="AB69" i="9"/>
  <c r="AC69" i="9"/>
  <c r="AD69" i="9"/>
  <c r="V70" i="9"/>
  <c r="W70" i="9"/>
  <c r="X70" i="9"/>
  <c r="Y70" i="9"/>
  <c r="Z70" i="9"/>
  <c r="AA70" i="9"/>
  <c r="AB70" i="9"/>
  <c r="AC70" i="9"/>
  <c r="AD70" i="9"/>
  <c r="U66" i="9"/>
  <c r="U67" i="9"/>
  <c r="U68" i="9"/>
  <c r="U69" i="9"/>
  <c r="U70" i="9"/>
  <c r="U65" i="9"/>
  <c r="T79" i="7"/>
  <c r="U79" i="7"/>
  <c r="V79" i="7"/>
  <c r="W79" i="7"/>
  <c r="T80" i="7"/>
  <c r="U80" i="7"/>
  <c r="V80" i="7"/>
  <c r="W80" i="7"/>
  <c r="S80" i="7"/>
  <c r="S79" i="7"/>
  <c r="U66" i="7"/>
  <c r="V66" i="7"/>
  <c r="W66" i="7"/>
  <c r="X66" i="7"/>
  <c r="Y66" i="7"/>
  <c r="Z66" i="7"/>
  <c r="AA66" i="7"/>
  <c r="AB66" i="7"/>
  <c r="AC66" i="7"/>
  <c r="AD66" i="7"/>
  <c r="U67" i="7"/>
  <c r="V67" i="7"/>
  <c r="W67" i="7"/>
  <c r="X67" i="7"/>
  <c r="Y67" i="7"/>
  <c r="Z67" i="7"/>
  <c r="AA67" i="7"/>
  <c r="AB67" i="7"/>
  <c r="AC67" i="7"/>
  <c r="AD67" i="7"/>
  <c r="U68" i="7"/>
  <c r="V68" i="7"/>
  <c r="W68" i="7"/>
  <c r="X68" i="7"/>
  <c r="Y68" i="7"/>
  <c r="Z68" i="7"/>
  <c r="AA68" i="7"/>
  <c r="AB68" i="7"/>
  <c r="AC68" i="7"/>
  <c r="AD68" i="7"/>
  <c r="U69" i="7"/>
  <c r="V69" i="7"/>
  <c r="W69" i="7"/>
  <c r="X69" i="7"/>
  <c r="Y69" i="7"/>
  <c r="Z69" i="7"/>
  <c r="AA69" i="7"/>
  <c r="AB69" i="7"/>
  <c r="AC69" i="7"/>
  <c r="AD69" i="7"/>
  <c r="U70" i="7"/>
  <c r="V70" i="7"/>
  <c r="W70" i="7"/>
  <c r="X70" i="7"/>
  <c r="Y70" i="7"/>
  <c r="Z70" i="7"/>
  <c r="AA70" i="7"/>
  <c r="AB70" i="7"/>
  <c r="AC70" i="7"/>
  <c r="AD70" i="7"/>
  <c r="V65" i="7"/>
  <c r="W65" i="7"/>
  <c r="X65" i="7"/>
  <c r="Y65" i="7"/>
  <c r="Z65" i="7"/>
  <c r="AA65" i="7"/>
  <c r="AB65" i="7"/>
  <c r="AC65" i="7"/>
  <c r="AD65" i="7"/>
  <c r="U65" i="7"/>
  <c r="T79" i="5"/>
  <c r="U79" i="5"/>
  <c r="V79" i="5"/>
  <c r="W79" i="5"/>
  <c r="T80" i="5"/>
  <c r="U80" i="5"/>
  <c r="V80" i="5"/>
  <c r="W80" i="5"/>
  <c r="S80" i="5"/>
  <c r="S79" i="5"/>
  <c r="V65" i="5"/>
  <c r="W65" i="5"/>
  <c r="X65" i="5"/>
  <c r="Y65" i="5"/>
  <c r="Z65" i="5"/>
  <c r="AA65" i="5"/>
  <c r="AB65" i="5"/>
  <c r="AC65" i="5"/>
  <c r="AD65" i="5"/>
  <c r="X76" i="5" s="1"/>
  <c r="V66" i="5"/>
  <c r="W66" i="5"/>
  <c r="X66" i="5"/>
  <c r="Y66" i="5"/>
  <c r="Z66" i="5"/>
  <c r="AA66" i="5"/>
  <c r="AB66" i="5"/>
  <c r="AC66" i="5"/>
  <c r="AD66" i="5"/>
  <c r="V67" i="5"/>
  <c r="W67" i="5"/>
  <c r="X67" i="5"/>
  <c r="Y67" i="5"/>
  <c r="Z67" i="5"/>
  <c r="AA67" i="5"/>
  <c r="AB67" i="5"/>
  <c r="AC67" i="5"/>
  <c r="AD67" i="5"/>
  <c r="V68" i="5"/>
  <c r="W68" i="5"/>
  <c r="X68" i="5"/>
  <c r="Y68" i="5"/>
  <c r="Z68" i="5"/>
  <c r="AA68" i="5"/>
  <c r="AB68" i="5"/>
  <c r="AC68" i="5"/>
  <c r="AD68" i="5"/>
  <c r="V69" i="5"/>
  <c r="W69" i="5"/>
  <c r="X69" i="5"/>
  <c r="Y69" i="5"/>
  <c r="Z69" i="5"/>
  <c r="AA69" i="5"/>
  <c r="AB69" i="5"/>
  <c r="AC69" i="5"/>
  <c r="AD69" i="5"/>
  <c r="V70" i="5"/>
  <c r="W75" i="5" s="1"/>
  <c r="W70" i="5"/>
  <c r="X70" i="5"/>
  <c r="Y70" i="5"/>
  <c r="Z70" i="5"/>
  <c r="AA70" i="5"/>
  <c r="AB70" i="5"/>
  <c r="AC70" i="5"/>
  <c r="AD70" i="5"/>
  <c r="U66" i="5"/>
  <c r="U67" i="5"/>
  <c r="U68" i="5"/>
  <c r="U69" i="5"/>
  <c r="U70" i="5"/>
  <c r="U65" i="5"/>
  <c r="AZ79" i="6"/>
  <c r="BA79" i="6"/>
  <c r="BB79" i="6"/>
  <c r="BC79" i="6"/>
  <c r="BD79" i="6"/>
  <c r="AZ80" i="6"/>
  <c r="BA80" i="6"/>
  <c r="BB80" i="6"/>
  <c r="BC80" i="6"/>
  <c r="BD80" i="6"/>
  <c r="AY80" i="6"/>
  <c r="AY79" i="6"/>
  <c r="AT79" i="6"/>
  <c r="AU79" i="6"/>
  <c r="AV79" i="6"/>
  <c r="AW79" i="6"/>
  <c r="AX79" i="6"/>
  <c r="AT80" i="6"/>
  <c r="AU80" i="6"/>
  <c r="AV80" i="6"/>
  <c r="AW80" i="6"/>
  <c r="AX80" i="6"/>
  <c r="AS80" i="6"/>
  <c r="AS79" i="6"/>
  <c r="BA66" i="6"/>
  <c r="BB66" i="6"/>
  <c r="BC66" i="6"/>
  <c r="BD66" i="6"/>
  <c r="BE66" i="6"/>
  <c r="BF66" i="6"/>
  <c r="BG66" i="6"/>
  <c r="BH66" i="6"/>
  <c r="BI66" i="6"/>
  <c r="BJ66" i="6"/>
  <c r="BA67" i="6"/>
  <c r="BB67" i="6"/>
  <c r="BC67" i="6"/>
  <c r="BD67" i="6"/>
  <c r="BE67" i="6"/>
  <c r="BF67" i="6"/>
  <c r="BG67" i="6"/>
  <c r="BH67" i="6"/>
  <c r="BI67" i="6"/>
  <c r="BJ67" i="6"/>
  <c r="BA68" i="6"/>
  <c r="BB68" i="6"/>
  <c r="BC68" i="6"/>
  <c r="BD68" i="6"/>
  <c r="BE68" i="6"/>
  <c r="BF68" i="6"/>
  <c r="BG68" i="6"/>
  <c r="BH68" i="6"/>
  <c r="BI68" i="6"/>
  <c r="BJ68" i="6"/>
  <c r="BA69" i="6"/>
  <c r="BB69" i="6"/>
  <c r="BC69" i="6"/>
  <c r="BD69" i="6"/>
  <c r="BE69" i="6"/>
  <c r="BF69" i="6"/>
  <c r="BG69" i="6"/>
  <c r="BH69" i="6"/>
  <c r="BI69" i="6"/>
  <c r="BJ69" i="6"/>
  <c r="BA70" i="6"/>
  <c r="BB70" i="6"/>
  <c r="BC70" i="6"/>
  <c r="BD70" i="6"/>
  <c r="BE70" i="6"/>
  <c r="BF70" i="6"/>
  <c r="BG70" i="6"/>
  <c r="BH70" i="6"/>
  <c r="BI70" i="6"/>
  <c r="BJ70" i="6"/>
  <c r="BB65" i="6"/>
  <c r="BC65" i="6"/>
  <c r="BD65" i="6"/>
  <c r="BE65" i="6"/>
  <c r="BF65" i="6"/>
  <c r="BG65" i="6"/>
  <c r="BH65" i="6"/>
  <c r="BI65" i="6"/>
  <c r="BJ65" i="6"/>
  <c r="BA65" i="6"/>
  <c r="AK66" i="6"/>
  <c r="AL66" i="6"/>
  <c r="AM66" i="6"/>
  <c r="AN66" i="6"/>
  <c r="AO66" i="6"/>
  <c r="AP66" i="6"/>
  <c r="AQ66" i="6"/>
  <c r="AR66" i="6"/>
  <c r="AS66" i="6"/>
  <c r="AT66" i="6"/>
  <c r="AK67" i="6"/>
  <c r="AL67" i="6"/>
  <c r="AM67" i="6"/>
  <c r="AN67" i="6"/>
  <c r="AO67" i="6"/>
  <c r="AP67" i="6"/>
  <c r="AQ67" i="6"/>
  <c r="AR67" i="6"/>
  <c r="AS67" i="6"/>
  <c r="AT67" i="6"/>
  <c r="AK68" i="6"/>
  <c r="AL68" i="6"/>
  <c r="AM68" i="6"/>
  <c r="AN68" i="6"/>
  <c r="AO68" i="6"/>
  <c r="AP68" i="6"/>
  <c r="AQ68" i="6"/>
  <c r="AR68" i="6"/>
  <c r="AS68" i="6"/>
  <c r="AT68" i="6"/>
  <c r="AK69" i="6"/>
  <c r="AL69" i="6"/>
  <c r="AM69" i="6"/>
  <c r="AN69" i="6"/>
  <c r="AO69" i="6"/>
  <c r="AP69" i="6"/>
  <c r="AQ69" i="6"/>
  <c r="AR69" i="6"/>
  <c r="AS69" i="6"/>
  <c r="AT69" i="6"/>
  <c r="AK70" i="6"/>
  <c r="AL70" i="6"/>
  <c r="AM70" i="6"/>
  <c r="AN70" i="6"/>
  <c r="AO70" i="6"/>
  <c r="AP70" i="6"/>
  <c r="AQ70" i="6"/>
  <c r="AR70" i="6"/>
  <c r="AS70" i="6"/>
  <c r="AT70" i="6"/>
  <c r="AL65" i="6"/>
  <c r="AO75" i="6" s="1"/>
  <c r="AM65" i="6"/>
  <c r="AN65" i="6"/>
  <c r="AO65" i="6"/>
  <c r="AP65" i="6"/>
  <c r="AQ65" i="6"/>
  <c r="AR65" i="6"/>
  <c r="AS65" i="6"/>
  <c r="AT65" i="6"/>
  <c r="AK65" i="6"/>
  <c r="AZ79" i="4"/>
  <c r="BA79" i="4"/>
  <c r="BB79" i="4"/>
  <c r="BC79" i="4"/>
  <c r="BD79" i="4"/>
  <c r="AZ80" i="4"/>
  <c r="BA80" i="4"/>
  <c r="BB80" i="4"/>
  <c r="BC80" i="4"/>
  <c r="BD80" i="4"/>
  <c r="AY80" i="4"/>
  <c r="AY79" i="4"/>
  <c r="AT79" i="4"/>
  <c r="AU79" i="4"/>
  <c r="AV79" i="4"/>
  <c r="AW79" i="4"/>
  <c r="AX79" i="4"/>
  <c r="AT80" i="4"/>
  <c r="AU80" i="4"/>
  <c r="AV80" i="4"/>
  <c r="AW80" i="4"/>
  <c r="AX80" i="4"/>
  <c r="AS80" i="4"/>
  <c r="AS79" i="4"/>
  <c r="BB65" i="4"/>
  <c r="BC65" i="4"/>
  <c r="BD65" i="4"/>
  <c r="BE65" i="4"/>
  <c r="BF65" i="4"/>
  <c r="BG65" i="4"/>
  <c r="BH65" i="4"/>
  <c r="BI65" i="4"/>
  <c r="BJ65" i="4"/>
  <c r="BB66" i="4"/>
  <c r="BC66" i="4"/>
  <c r="BD66" i="4"/>
  <c r="BE66" i="4"/>
  <c r="BF66" i="4"/>
  <c r="BG66" i="4"/>
  <c r="BH66" i="4"/>
  <c r="BI66" i="4"/>
  <c r="BJ66" i="4"/>
  <c r="BB67" i="4"/>
  <c r="BC67" i="4"/>
  <c r="BD67" i="4"/>
  <c r="BE67" i="4"/>
  <c r="BF67" i="4"/>
  <c r="BG67" i="4"/>
  <c r="BH67" i="4"/>
  <c r="BI67" i="4"/>
  <c r="BJ67" i="4"/>
  <c r="BB68" i="4"/>
  <c r="BC68" i="4"/>
  <c r="BD68" i="4"/>
  <c r="BE68" i="4"/>
  <c r="BF68" i="4"/>
  <c r="BG68" i="4"/>
  <c r="BH68" i="4"/>
  <c r="BI68" i="4"/>
  <c r="BJ68" i="4"/>
  <c r="BB69" i="4"/>
  <c r="BC69" i="4"/>
  <c r="BD69" i="4"/>
  <c r="BE69" i="4"/>
  <c r="BF69" i="4"/>
  <c r="BG69" i="4"/>
  <c r="BH69" i="4"/>
  <c r="BI69" i="4"/>
  <c r="BJ69" i="4"/>
  <c r="BB70" i="4"/>
  <c r="BC70" i="4"/>
  <c r="BD70" i="4"/>
  <c r="BE70" i="4"/>
  <c r="BF70" i="4"/>
  <c r="BG70" i="4"/>
  <c r="BH70" i="4"/>
  <c r="BI70" i="4"/>
  <c r="BJ70" i="4"/>
  <c r="BA66" i="4"/>
  <c r="BA67" i="4"/>
  <c r="BA68" i="4"/>
  <c r="BA69" i="4"/>
  <c r="BA70" i="4"/>
  <c r="BA65" i="4"/>
  <c r="AK66" i="4"/>
  <c r="AL66" i="4"/>
  <c r="AM66" i="4"/>
  <c r="AN66" i="4"/>
  <c r="AO66" i="4"/>
  <c r="AP66" i="4"/>
  <c r="AQ66" i="4"/>
  <c r="AR66" i="4"/>
  <c r="AS66" i="4"/>
  <c r="AT66" i="4"/>
  <c r="AK67" i="4"/>
  <c r="AL67" i="4"/>
  <c r="AM67" i="4"/>
  <c r="AN67" i="4"/>
  <c r="AO67" i="4"/>
  <c r="AP67" i="4"/>
  <c r="AQ67" i="4"/>
  <c r="AR67" i="4"/>
  <c r="AS67" i="4"/>
  <c r="AT67" i="4"/>
  <c r="AK68" i="4"/>
  <c r="AL68" i="4"/>
  <c r="AM68" i="4"/>
  <c r="AN68" i="4"/>
  <c r="AO68" i="4"/>
  <c r="AP68" i="4"/>
  <c r="AQ68" i="4"/>
  <c r="AR68" i="4"/>
  <c r="AS68" i="4"/>
  <c r="AT68" i="4"/>
  <c r="AK69" i="4"/>
  <c r="AL69" i="4"/>
  <c r="AM69" i="4"/>
  <c r="AN69" i="4"/>
  <c r="AO69" i="4"/>
  <c r="AP69" i="4"/>
  <c r="AQ69" i="4"/>
  <c r="AR69" i="4"/>
  <c r="AS69" i="4"/>
  <c r="AT69" i="4"/>
  <c r="AK70" i="4"/>
  <c r="AL70" i="4"/>
  <c r="AM70" i="4"/>
  <c r="AN70" i="4"/>
  <c r="AO70" i="4"/>
  <c r="AP70" i="4"/>
  <c r="AQ70" i="4"/>
  <c r="AR70" i="4"/>
  <c r="AS70" i="4"/>
  <c r="AT70" i="4"/>
  <c r="AL65" i="4"/>
  <c r="AM65" i="4"/>
  <c r="AN65" i="4"/>
  <c r="AO65" i="4"/>
  <c r="AP65" i="4"/>
  <c r="AQ65" i="4"/>
  <c r="AR65" i="4"/>
  <c r="AS65" i="4"/>
  <c r="AT65" i="4"/>
  <c r="AK65" i="4"/>
  <c r="BB65" i="2"/>
  <c r="BC65" i="2"/>
  <c r="BD65" i="2"/>
  <c r="BE65" i="2"/>
  <c r="BF65" i="2"/>
  <c r="BG65" i="2"/>
  <c r="BH65" i="2"/>
  <c r="BI65" i="2"/>
  <c r="BJ65" i="2"/>
  <c r="BB66" i="2"/>
  <c r="BC66" i="2"/>
  <c r="BD66" i="2"/>
  <c r="BE66" i="2"/>
  <c r="BF66" i="2"/>
  <c r="BG66" i="2"/>
  <c r="BH66" i="2"/>
  <c r="BI66" i="2"/>
  <c r="BJ66" i="2"/>
  <c r="BB67" i="2"/>
  <c r="BE76" i="2" s="1"/>
  <c r="BC67" i="2"/>
  <c r="BD67" i="2"/>
  <c r="BE67" i="2"/>
  <c r="BF67" i="2"/>
  <c r="BG67" i="2"/>
  <c r="BH67" i="2"/>
  <c r="BI67" i="2"/>
  <c r="BJ67" i="2"/>
  <c r="BB68" i="2"/>
  <c r="BC68" i="2"/>
  <c r="BD68" i="2"/>
  <c r="BE68" i="2"/>
  <c r="BF68" i="2"/>
  <c r="BG68" i="2"/>
  <c r="BH68" i="2"/>
  <c r="BI68" i="2"/>
  <c r="BJ68" i="2"/>
  <c r="BB69" i="2"/>
  <c r="BC69" i="2"/>
  <c r="BD69" i="2"/>
  <c r="BE69" i="2"/>
  <c r="BF69" i="2"/>
  <c r="BG69" i="2"/>
  <c r="BH69" i="2"/>
  <c r="BI69" i="2"/>
  <c r="BJ69" i="2"/>
  <c r="BB70" i="2"/>
  <c r="BC70" i="2"/>
  <c r="BD70" i="2"/>
  <c r="BE70" i="2"/>
  <c r="BF70" i="2"/>
  <c r="BG70" i="2"/>
  <c r="BH70" i="2"/>
  <c r="BI70" i="2"/>
  <c r="BJ70" i="2"/>
  <c r="BA66" i="2"/>
  <c r="BA67" i="2"/>
  <c r="BA68" i="2"/>
  <c r="BA69" i="2"/>
  <c r="BA70" i="2"/>
  <c r="BA65" i="2"/>
  <c r="AL65" i="2"/>
  <c r="AM65" i="2"/>
  <c r="AN65" i="2"/>
  <c r="AO65" i="2"/>
  <c r="AP65" i="2"/>
  <c r="AQ65" i="2"/>
  <c r="AR65" i="2"/>
  <c r="AS65" i="2"/>
  <c r="AT65" i="2"/>
  <c r="AL66" i="2"/>
  <c r="AM66" i="2"/>
  <c r="AN66" i="2"/>
  <c r="AO66" i="2"/>
  <c r="AP66" i="2"/>
  <c r="AQ66" i="2"/>
  <c r="AR66" i="2"/>
  <c r="AS66" i="2"/>
  <c r="AT66" i="2"/>
  <c r="AL67" i="2"/>
  <c r="AM67" i="2"/>
  <c r="AN67" i="2"/>
  <c r="AO67" i="2"/>
  <c r="AP67" i="2"/>
  <c r="AQ67" i="2"/>
  <c r="AR67" i="2"/>
  <c r="AS67" i="2"/>
  <c r="AT67" i="2"/>
  <c r="AL68" i="2"/>
  <c r="AM68" i="2"/>
  <c r="AN68" i="2"/>
  <c r="AO68" i="2"/>
  <c r="AP68" i="2"/>
  <c r="AQ68" i="2"/>
  <c r="AR68" i="2"/>
  <c r="AS68" i="2"/>
  <c r="AT68" i="2"/>
  <c r="AL69" i="2"/>
  <c r="AM69" i="2"/>
  <c r="AN69" i="2"/>
  <c r="AO69" i="2"/>
  <c r="AP69" i="2"/>
  <c r="AQ69" i="2"/>
  <c r="AR69" i="2"/>
  <c r="AS69" i="2"/>
  <c r="AT69" i="2"/>
  <c r="AL70" i="2"/>
  <c r="AM70" i="2"/>
  <c r="AN70" i="2"/>
  <c r="AO70" i="2"/>
  <c r="AP70" i="2"/>
  <c r="AQ70" i="2"/>
  <c r="AR70" i="2"/>
  <c r="AS70" i="2"/>
  <c r="AT70" i="2"/>
  <c r="AK66" i="2"/>
  <c r="AK67" i="2"/>
  <c r="AK68" i="2"/>
  <c r="AK69" i="2"/>
  <c r="AK70" i="2"/>
  <c r="AK65" i="2"/>
  <c r="U75" i="9"/>
  <c r="U83" i="9" s="1"/>
  <c r="D299" i="4" l="1"/>
  <c r="D285" i="4"/>
  <c r="D283" i="4"/>
  <c r="D297" i="4"/>
  <c r="D284" i="4"/>
  <c r="D298" i="4"/>
  <c r="F271" i="2"/>
  <c r="F197" i="2"/>
  <c r="E234" i="2"/>
  <c r="F182" i="2"/>
  <c r="CB80" i="2"/>
  <c r="CB84" i="2" s="1"/>
  <c r="BZ83" i="2"/>
  <c r="BZ79" i="2"/>
  <c r="CI79" i="2"/>
  <c r="CI83" i="2" s="1"/>
  <c r="F278" i="2"/>
  <c r="F184" i="2"/>
  <c r="E257" i="2"/>
  <c r="F170" i="2"/>
  <c r="E240" i="2"/>
  <c r="E263" i="2"/>
  <c r="E248" i="2"/>
  <c r="E170" i="2"/>
  <c r="CI80" i="2"/>
  <c r="CI84" i="2" s="1"/>
  <c r="CH79" i="2"/>
  <c r="CH83" i="2" s="1"/>
  <c r="E181" i="2"/>
  <c r="CB83" i="2"/>
  <c r="CB79" i="2"/>
  <c r="AZ75" i="2"/>
  <c r="CD79" i="2"/>
  <c r="CD83" i="2" s="1"/>
  <c r="E255" i="2"/>
  <c r="BD76" i="2"/>
  <c r="BD80" i="2" s="1"/>
  <c r="BD84" i="2" s="1"/>
  <c r="BB75" i="2"/>
  <c r="CA84" i="2"/>
  <c r="CA80" i="2"/>
  <c r="CC80" i="2"/>
  <c r="CC84" i="2" s="1"/>
  <c r="F266" i="2"/>
  <c r="F171" i="2"/>
  <c r="F188" i="2"/>
  <c r="F262" i="2"/>
  <c r="E171" i="2"/>
  <c r="E215" i="2"/>
  <c r="F263" i="2"/>
  <c r="F205" i="2"/>
  <c r="F213" i="2"/>
  <c r="E199" i="2"/>
  <c r="E174" i="2"/>
  <c r="E189" i="2"/>
  <c r="E176" i="2"/>
  <c r="E184" i="2"/>
  <c r="F252" i="2"/>
  <c r="F159" i="2"/>
  <c r="CF79" i="2"/>
  <c r="CF83" i="2" s="1"/>
  <c r="CE80" i="2"/>
  <c r="CE84" i="2" s="1"/>
  <c r="E273" i="2"/>
  <c r="CA83" i="2"/>
  <c r="CA79" i="2"/>
  <c r="F195" i="2"/>
  <c r="CG80" i="2"/>
  <c r="CG84" i="2" s="1"/>
  <c r="CJ79" i="2"/>
  <c r="CJ83" i="2" s="1"/>
  <c r="BY83" i="2"/>
  <c r="BY79" i="2"/>
  <c r="F160" i="2"/>
  <c r="E163" i="2"/>
  <c r="F265" i="2"/>
  <c r="E252" i="2"/>
  <c r="F178" i="2"/>
  <c r="F199" i="2"/>
  <c r="E207" i="2"/>
  <c r="F189" i="2"/>
  <c r="E205" i="2"/>
  <c r="F181" i="2"/>
  <c r="E166" i="2"/>
  <c r="F235" i="2"/>
  <c r="E167" i="2"/>
  <c r="E210" i="2"/>
  <c r="E186" i="2"/>
  <c r="E193" i="2"/>
  <c r="F244" i="2"/>
  <c r="F217" i="2"/>
  <c r="CD80" i="2"/>
  <c r="CD84" i="2" s="1"/>
  <c r="F176" i="2"/>
  <c r="E224" i="2"/>
  <c r="BZ84" i="2"/>
  <c r="BZ80" i="2"/>
  <c r="CC79" i="2"/>
  <c r="CC83" i="2" s="1"/>
  <c r="CE79" i="2"/>
  <c r="CE83" i="2" s="1"/>
  <c r="F215" i="2"/>
  <c r="E227" i="2"/>
  <c r="E278" i="2"/>
  <c r="F273" i="2"/>
  <c r="F257" i="2"/>
  <c r="F225" i="2"/>
  <c r="F207" i="2"/>
  <c r="E183" i="2"/>
  <c r="E264" i="2"/>
  <c r="F173" i="2"/>
  <c r="E197" i="2"/>
  <c r="E271" i="2"/>
  <c r="F183" i="2"/>
  <c r="E201" i="2"/>
  <c r="E213" i="2"/>
  <c r="E161" i="2"/>
  <c r="F177" i="2"/>
  <c r="BY84" i="2"/>
  <c r="BY80" i="2"/>
  <c r="CJ84" i="2"/>
  <c r="CJ80" i="2"/>
  <c r="CH80" i="2"/>
  <c r="CH84" i="2" s="1"/>
  <c r="F240" i="2"/>
  <c r="CF80" i="2"/>
  <c r="CF84" i="2" s="1"/>
  <c r="CG83" i="2"/>
  <c r="CG79" i="2"/>
  <c r="F208" i="2"/>
  <c r="E269" i="2"/>
  <c r="F175" i="2"/>
  <c r="E188" i="2"/>
  <c r="F166" i="2"/>
  <c r="F248" i="2"/>
  <c r="E270" i="2"/>
  <c r="E194" i="2"/>
  <c r="F180" i="2"/>
  <c r="E244" i="2"/>
  <c r="E175" i="2"/>
  <c r="F224" i="2"/>
  <c r="F165" i="2"/>
  <c r="E173" i="2"/>
  <c r="E182" i="2"/>
  <c r="F167" i="2"/>
  <c r="F194" i="2"/>
  <c r="E177" i="2"/>
  <c r="E178" i="2"/>
  <c r="F228" i="2"/>
  <c r="E209" i="2"/>
  <c r="D192" i="9"/>
  <c r="D205" i="9"/>
  <c r="D191" i="9"/>
  <c r="D164" i="9"/>
  <c r="D207" i="9"/>
  <c r="D217" i="9"/>
  <c r="D194" i="9"/>
  <c r="D162" i="9"/>
  <c r="D189" i="9"/>
  <c r="D212" i="9"/>
  <c r="D203" i="9"/>
  <c r="D182" i="9"/>
  <c r="D167" i="9"/>
  <c r="D213" i="9"/>
  <c r="D181" i="9"/>
  <c r="D204" i="9"/>
  <c r="D195" i="9"/>
  <c r="D176" i="9"/>
  <c r="D216" i="9"/>
  <c r="D193" i="9"/>
  <c r="D185" i="9"/>
  <c r="D211" i="9"/>
  <c r="D202" i="9"/>
  <c r="D196" i="9"/>
  <c r="D161" i="9"/>
  <c r="D214" i="9"/>
  <c r="D165" i="9"/>
  <c r="D188" i="9"/>
  <c r="D179" i="9"/>
  <c r="D175" i="9"/>
  <c r="D168" i="9"/>
  <c r="D208" i="9"/>
  <c r="D197" i="9"/>
  <c r="D210" i="9"/>
  <c r="D187" i="9"/>
  <c r="D174" i="9"/>
  <c r="D215" i="9"/>
  <c r="D180" i="9"/>
  <c r="D171" i="9"/>
  <c r="D170" i="9"/>
  <c r="D206" i="9"/>
  <c r="D198" i="9"/>
  <c r="D177" i="9"/>
  <c r="D183" i="9"/>
  <c r="D169" i="9"/>
  <c r="D173" i="9"/>
  <c r="D201" i="9"/>
  <c r="D199" i="9"/>
  <c r="D172" i="9"/>
  <c r="D163" i="9"/>
  <c r="D158" i="9"/>
  <c r="D200" i="9"/>
  <c r="D186" i="9"/>
  <c r="D159" i="9"/>
  <c r="F176" i="7"/>
  <c r="F193" i="7"/>
  <c r="E189" i="7"/>
  <c r="E162" i="7"/>
  <c r="F180" i="7"/>
  <c r="F160" i="7"/>
  <c r="F209" i="7"/>
  <c r="F196" i="7"/>
  <c r="E164" i="7"/>
  <c r="E172" i="7"/>
  <c r="E193" i="7"/>
  <c r="E165" i="7"/>
  <c r="E176" i="7"/>
  <c r="E216" i="7"/>
  <c r="E201" i="7"/>
  <c r="E192" i="7"/>
  <c r="F208" i="7"/>
  <c r="E169" i="7"/>
  <c r="F165" i="7"/>
  <c r="E180" i="7"/>
  <c r="E209" i="7"/>
  <c r="E196" i="7"/>
  <c r="E200" i="7"/>
  <c r="F159" i="7"/>
  <c r="E208" i="7"/>
  <c r="E199" i="7"/>
  <c r="F189" i="7"/>
  <c r="E168" i="7"/>
  <c r="F216" i="7"/>
  <c r="F197" i="7"/>
  <c r="F169" i="7"/>
  <c r="F192" i="7"/>
  <c r="E188" i="7"/>
  <c r="F213" i="7"/>
  <c r="F168" i="7"/>
  <c r="F161" i="7"/>
  <c r="E170" i="7"/>
  <c r="F188" i="7"/>
  <c r="E160" i="7"/>
  <c r="D209" i="5"/>
  <c r="D199" i="5"/>
  <c r="D200" i="5"/>
  <c r="D194" i="5"/>
  <c r="D175" i="5"/>
  <c r="D162" i="5"/>
  <c r="D215" i="5"/>
  <c r="D188" i="5"/>
  <c r="D180" i="5"/>
  <c r="D210" i="5"/>
  <c r="D190" i="5"/>
  <c r="D191" i="5"/>
  <c r="D186" i="5"/>
  <c r="D178" i="5"/>
  <c r="D167" i="5"/>
  <c r="D213" i="5"/>
  <c r="D176" i="5"/>
  <c r="D171" i="5"/>
  <c r="D170" i="5"/>
  <c r="D206" i="5"/>
  <c r="D158" i="5"/>
  <c r="D159" i="5"/>
  <c r="D197" i="5"/>
  <c r="D198" i="5"/>
  <c r="D166" i="5"/>
  <c r="D174" i="5"/>
  <c r="D184" i="5"/>
  <c r="D182" i="5"/>
  <c r="D189" i="5"/>
  <c r="D207" i="5"/>
  <c r="D216" i="5"/>
  <c r="D172" i="5"/>
  <c r="D202" i="5"/>
  <c r="D181" i="5"/>
  <c r="D183" i="5"/>
  <c r="D205" i="5"/>
  <c r="D208" i="5"/>
  <c r="F165" i="6"/>
  <c r="E178" i="6"/>
  <c r="F182" i="6"/>
  <c r="E180" i="6"/>
  <c r="F238" i="6"/>
  <c r="F268" i="6"/>
  <c r="F269" i="6"/>
  <c r="E239" i="6"/>
  <c r="E275" i="6"/>
  <c r="E236" i="6"/>
  <c r="F277" i="6"/>
  <c r="E158" i="6"/>
  <c r="F189" i="6"/>
  <c r="F207" i="6"/>
  <c r="F249" i="6"/>
  <c r="F234" i="6"/>
  <c r="E189" i="6"/>
  <c r="F171" i="6"/>
  <c r="F180" i="6"/>
  <c r="F223" i="6"/>
  <c r="E238" i="6"/>
  <c r="E222" i="6"/>
  <c r="E165" i="6"/>
  <c r="E184" i="6"/>
  <c r="E217" i="6"/>
  <c r="F196" i="6"/>
  <c r="F262" i="6"/>
  <c r="E269" i="6"/>
  <c r="E255" i="6"/>
  <c r="F178" i="6"/>
  <c r="E187" i="6"/>
  <c r="E205" i="6"/>
  <c r="E210" i="6"/>
  <c r="F206" i="6"/>
  <c r="F214" i="6"/>
  <c r="E256" i="6"/>
  <c r="F246" i="6"/>
  <c r="F241" i="6"/>
  <c r="E249" i="6"/>
  <c r="E159" i="6"/>
  <c r="E244" i="6"/>
  <c r="E169" i="6"/>
  <c r="F170" i="6"/>
  <c r="F270" i="6"/>
  <c r="E198" i="6"/>
  <c r="F173" i="6"/>
  <c r="E226" i="6"/>
  <c r="E196" i="6"/>
  <c r="E197" i="6"/>
  <c r="F197" i="6"/>
  <c r="F210" i="6"/>
  <c r="F248" i="6"/>
  <c r="F261" i="6"/>
  <c r="F255" i="6"/>
  <c r="E212" i="6"/>
  <c r="E268" i="6"/>
  <c r="F208" i="6"/>
  <c r="E270" i="6"/>
  <c r="F167" i="6"/>
  <c r="E162" i="6"/>
  <c r="E192" i="6"/>
  <c r="E186" i="6"/>
  <c r="E214" i="6"/>
  <c r="E173" i="6"/>
  <c r="F245" i="6"/>
  <c r="F230" i="6"/>
  <c r="E188" i="6"/>
  <c r="E246" i="6"/>
  <c r="E177" i="6"/>
  <c r="F226" i="6"/>
  <c r="F188" i="6"/>
  <c r="F162" i="6"/>
  <c r="E273" i="6"/>
  <c r="F198" i="6"/>
  <c r="F215" i="6"/>
  <c r="E234" i="6"/>
  <c r="E167" i="6"/>
  <c r="E267" i="6"/>
  <c r="E199" i="6"/>
  <c r="F199" i="6"/>
  <c r="F267" i="6"/>
  <c r="E261" i="6"/>
  <c r="E208" i="6"/>
  <c r="E278" i="6"/>
  <c r="F236" i="6"/>
  <c r="E248" i="6"/>
  <c r="E203" i="6"/>
  <c r="E277" i="6"/>
  <c r="E183" i="6"/>
  <c r="E263" i="6"/>
  <c r="F174" i="6"/>
  <c r="E182" i="6"/>
  <c r="F181" i="6"/>
  <c r="F184" i="6"/>
  <c r="F187" i="6"/>
  <c r="F177" i="6"/>
  <c r="F158" i="6"/>
  <c r="F242" i="6"/>
  <c r="E253" i="6"/>
  <c r="F237" i="6"/>
  <c r="F222" i="6"/>
  <c r="F231" i="6"/>
  <c r="F204" i="6"/>
  <c r="F196" i="4"/>
  <c r="F250" i="4"/>
  <c r="F239" i="4"/>
  <c r="F254" i="4"/>
  <c r="E194" i="4"/>
  <c r="E158" i="4"/>
  <c r="F260" i="4"/>
  <c r="E234" i="4"/>
  <c r="F222" i="4"/>
  <c r="F270" i="4"/>
  <c r="F234" i="4"/>
  <c r="F233" i="4"/>
  <c r="F206" i="4"/>
  <c r="F215" i="4"/>
  <c r="D302" i="4" s="1"/>
  <c r="F192" i="4"/>
  <c r="F201" i="4"/>
  <c r="D301" i="4" s="1"/>
  <c r="E233" i="4"/>
  <c r="E187" i="4"/>
  <c r="E215" i="4"/>
  <c r="F199" i="4"/>
  <c r="E201" i="4"/>
  <c r="F229" i="4"/>
  <c r="F169" i="4"/>
  <c r="E204" i="4"/>
  <c r="F204" i="4"/>
  <c r="E214" i="4"/>
  <c r="E254" i="4"/>
  <c r="E262" i="4"/>
  <c r="E225" i="4"/>
  <c r="E188" i="4"/>
  <c r="F263" i="4"/>
  <c r="F165" i="4"/>
  <c r="F257" i="4"/>
  <c r="E189" i="4"/>
  <c r="E263" i="4"/>
  <c r="F190" i="4"/>
  <c r="F273" i="4"/>
  <c r="E229" i="4"/>
  <c r="F195" i="4"/>
  <c r="F208" i="4"/>
  <c r="F248" i="4"/>
  <c r="F194" i="4"/>
  <c r="E216" i="4"/>
  <c r="E206" i="4"/>
  <c r="E171" i="4"/>
  <c r="F198" i="4"/>
  <c r="F168" i="4"/>
  <c r="F258" i="4"/>
  <c r="F255" i="4"/>
  <c r="E226" i="4"/>
  <c r="F189" i="4"/>
  <c r="F265" i="4"/>
  <c r="E250" i="4"/>
  <c r="E270" i="4"/>
  <c r="E274" i="4"/>
  <c r="E202" i="4"/>
  <c r="E208" i="4"/>
  <c r="F267" i="4"/>
  <c r="E185" i="4"/>
  <c r="E181" i="4"/>
  <c r="E253" i="4"/>
  <c r="E217" i="4"/>
  <c r="E255" i="4"/>
  <c r="E224" i="4"/>
  <c r="E246" i="4"/>
  <c r="E198" i="4"/>
  <c r="E196" i="4"/>
  <c r="F249" i="4"/>
  <c r="E260" i="4"/>
  <c r="E258" i="4"/>
  <c r="E278" i="4"/>
  <c r="F266" i="4"/>
  <c r="F193" i="4"/>
  <c r="F271" i="4"/>
  <c r="F262" i="4"/>
  <c r="F226" i="4"/>
  <c r="F207" i="4"/>
  <c r="F216" i="4"/>
  <c r="E249" i="4"/>
  <c r="E261" i="4"/>
  <c r="E199" i="4"/>
  <c r="F237" i="4"/>
  <c r="E248" i="4"/>
  <c r="F224" i="4"/>
  <c r="F178" i="4"/>
  <c r="W83" i="5"/>
  <c r="S76" i="5"/>
  <c r="S84" i="5" s="1"/>
  <c r="AO75" i="4"/>
  <c r="T76" i="9"/>
  <c r="T84" i="9" s="1"/>
  <c r="S75" i="9"/>
  <c r="S83" i="9" s="1"/>
  <c r="U76" i="9"/>
  <c r="U84" i="9" s="1"/>
  <c r="S76" i="9"/>
  <c r="S84" i="9" s="1"/>
  <c r="V76" i="9"/>
  <c r="T75" i="9"/>
  <c r="T83" i="9" s="1"/>
  <c r="S75" i="7"/>
  <c r="S83" i="7" s="1"/>
  <c r="V75" i="7"/>
  <c r="V83" i="7" s="1"/>
  <c r="X75" i="7"/>
  <c r="X76" i="7"/>
  <c r="U75" i="7"/>
  <c r="U83" i="7" s="1"/>
  <c r="W76" i="7"/>
  <c r="W84" i="7" s="1"/>
  <c r="T76" i="7"/>
  <c r="T84" i="7" s="1"/>
  <c r="V76" i="7"/>
  <c r="V84" i="7" s="1"/>
  <c r="S76" i="7"/>
  <c r="S84" i="7" s="1"/>
  <c r="W75" i="7"/>
  <c r="W83" i="7" s="1"/>
  <c r="U76" i="7"/>
  <c r="U84" i="7" s="1"/>
  <c r="T75" i="7"/>
  <c r="T83" i="7" s="1"/>
  <c r="V75" i="5"/>
  <c r="V83" i="5" s="1"/>
  <c r="W76" i="5"/>
  <c r="W84" i="5" s="1"/>
  <c r="T75" i="5"/>
  <c r="T83" i="5" s="1"/>
  <c r="X75" i="5"/>
  <c r="T76" i="5"/>
  <c r="T84" i="5" s="1"/>
  <c r="V76" i="5"/>
  <c r="V84" i="5" s="1"/>
  <c r="U75" i="5"/>
  <c r="U83" i="5" s="1"/>
  <c r="S75" i="5"/>
  <c r="S83" i="5" s="1"/>
  <c r="U76" i="5"/>
  <c r="U84" i="5" s="1"/>
  <c r="AZ75" i="6"/>
  <c r="AZ83" i="6" s="1"/>
  <c r="BD76" i="6"/>
  <c r="BD84" i="6" s="1"/>
  <c r="BB75" i="6"/>
  <c r="BB83" i="6" s="1"/>
  <c r="BD75" i="6"/>
  <c r="BD83" i="6" s="1"/>
  <c r="BA75" i="6"/>
  <c r="BA83" i="6" s="1"/>
  <c r="BC76" i="6"/>
  <c r="BC84" i="6" s="1"/>
  <c r="BE75" i="6"/>
  <c r="AY76" i="6"/>
  <c r="AY84" i="6" s="1"/>
  <c r="BC75" i="6"/>
  <c r="BC83" i="6" s="1"/>
  <c r="AI76" i="6"/>
  <c r="AS84" i="6" s="1"/>
  <c r="AK75" i="6"/>
  <c r="AU83" i="6" s="1"/>
  <c r="AM76" i="6"/>
  <c r="AW84" i="6" s="1"/>
  <c r="AI75" i="6"/>
  <c r="AS83" i="6" s="1"/>
  <c r="AK76" i="6"/>
  <c r="AU84" i="6" s="1"/>
  <c r="AL75" i="6"/>
  <c r="AV83" i="6" s="1"/>
  <c r="AM75" i="6"/>
  <c r="AW83" i="6" s="1"/>
  <c r="AN76" i="6"/>
  <c r="AX84" i="6" s="1"/>
  <c r="AJ75" i="6"/>
  <c r="AT83" i="6" s="1"/>
  <c r="AL76" i="6"/>
  <c r="AV84" i="6" s="1"/>
  <c r="AO76" i="6"/>
  <c r="AZ76" i="6"/>
  <c r="AZ84" i="6" s="1"/>
  <c r="AY75" i="6"/>
  <c r="AY83" i="6" s="1"/>
  <c r="AJ76" i="6"/>
  <c r="AT84" i="6" s="1"/>
  <c r="BA76" i="6"/>
  <c r="BA84" i="6" s="1"/>
  <c r="BE76" i="6"/>
  <c r="AN75" i="6"/>
  <c r="AX83" i="6" s="1"/>
  <c r="BB76" i="6"/>
  <c r="BB84" i="6" s="1"/>
  <c r="AZ75" i="4"/>
  <c r="AZ83" i="4" s="1"/>
  <c r="BB75" i="4"/>
  <c r="BB83" i="4" s="1"/>
  <c r="BD76" i="4"/>
  <c r="BD84" i="4" s="1"/>
  <c r="BE76" i="4"/>
  <c r="AY75" i="4"/>
  <c r="AY83" i="4" s="1"/>
  <c r="BA75" i="4"/>
  <c r="BA83" i="4" s="1"/>
  <c r="BD75" i="4"/>
  <c r="BD83" i="4" s="1"/>
  <c r="BC75" i="4"/>
  <c r="BC83" i="4" s="1"/>
  <c r="AK75" i="4"/>
  <c r="AU83" i="4" s="1"/>
  <c r="AM76" i="4"/>
  <c r="AW84" i="4" s="1"/>
  <c r="AM75" i="4"/>
  <c r="AW83" i="4" s="1"/>
  <c r="AI75" i="4"/>
  <c r="AS83" i="4" s="1"/>
  <c r="AJ75" i="4"/>
  <c r="AT83" i="4" s="1"/>
  <c r="AL75" i="4"/>
  <c r="AV83" i="4" s="1"/>
  <c r="AN76" i="4"/>
  <c r="AX84" i="4" s="1"/>
  <c r="AO76" i="4"/>
  <c r="AN75" i="4"/>
  <c r="AX83" i="4" s="1"/>
  <c r="BE75" i="4"/>
  <c r="AY76" i="4"/>
  <c r="AY84" i="4" s="1"/>
  <c r="AI76" i="4"/>
  <c r="AS84" i="4" s="1"/>
  <c r="AZ76" i="4"/>
  <c r="AZ84" i="4" s="1"/>
  <c r="AJ76" i="4"/>
  <c r="AT84" i="4" s="1"/>
  <c r="BA76" i="4"/>
  <c r="BA84" i="4" s="1"/>
  <c r="AK76" i="4"/>
  <c r="AU84" i="4" s="1"/>
  <c r="BB76" i="4"/>
  <c r="BB84" i="4" s="1"/>
  <c r="AL76" i="4"/>
  <c r="AV84" i="4" s="1"/>
  <c r="BC76" i="4"/>
  <c r="BC84" i="4" s="1"/>
  <c r="BA75" i="2"/>
  <c r="BC75" i="2"/>
  <c r="AY75" i="2"/>
  <c r="AO75" i="2"/>
  <c r="AK75" i="2"/>
  <c r="AM76" i="2"/>
  <c r="AI75" i="2"/>
  <c r="AJ75" i="2"/>
  <c r="AL75" i="2"/>
  <c r="AN76" i="2"/>
  <c r="AM75" i="2"/>
  <c r="BD75" i="2"/>
  <c r="AO76" i="2"/>
  <c r="AN75" i="2"/>
  <c r="BE75" i="2"/>
  <c r="AY76" i="2"/>
  <c r="AI76" i="2"/>
  <c r="AZ76" i="2"/>
  <c r="AJ76" i="2"/>
  <c r="BA76" i="2"/>
  <c r="AK76" i="2"/>
  <c r="BB76" i="2"/>
  <c r="AL76" i="2"/>
  <c r="BC76" i="2"/>
  <c r="D84" i="9"/>
  <c r="D83" i="9"/>
  <c r="C84" i="9"/>
  <c r="C83" i="9"/>
  <c r="E76" i="9"/>
  <c r="E75" i="9"/>
  <c r="D75" i="9"/>
  <c r="D76" i="9"/>
  <c r="C76" i="9"/>
  <c r="C75" i="9"/>
  <c r="F76" i="9"/>
  <c r="F75" i="9"/>
  <c r="E66" i="9"/>
  <c r="F66" i="9"/>
  <c r="G66" i="9"/>
  <c r="H66" i="9"/>
  <c r="I66" i="9"/>
  <c r="J66" i="9"/>
  <c r="K66" i="9"/>
  <c r="L66" i="9"/>
  <c r="M66" i="9"/>
  <c r="N66" i="9"/>
  <c r="E67" i="9"/>
  <c r="F67" i="9"/>
  <c r="G67" i="9"/>
  <c r="H67" i="9"/>
  <c r="I67" i="9"/>
  <c r="J67" i="9"/>
  <c r="K67" i="9"/>
  <c r="L67" i="9"/>
  <c r="M67" i="9"/>
  <c r="N67" i="9"/>
  <c r="E68" i="9"/>
  <c r="F68" i="9"/>
  <c r="G68" i="9"/>
  <c r="H68" i="9"/>
  <c r="I68" i="9"/>
  <c r="J68" i="9"/>
  <c r="K68" i="9"/>
  <c r="L68" i="9"/>
  <c r="M68" i="9"/>
  <c r="N68" i="9"/>
  <c r="E69" i="9"/>
  <c r="F69" i="9"/>
  <c r="G69" i="9"/>
  <c r="H69" i="9"/>
  <c r="I69" i="9"/>
  <c r="J69" i="9"/>
  <c r="K69" i="9"/>
  <c r="L69" i="9"/>
  <c r="M69" i="9"/>
  <c r="N69" i="9"/>
  <c r="E70" i="9"/>
  <c r="F70" i="9"/>
  <c r="G70" i="9"/>
  <c r="H70" i="9"/>
  <c r="I70" i="9"/>
  <c r="J70" i="9"/>
  <c r="K70" i="9"/>
  <c r="L70" i="9"/>
  <c r="M70" i="9"/>
  <c r="N70" i="9"/>
  <c r="F65" i="9"/>
  <c r="G65" i="9"/>
  <c r="H65" i="9"/>
  <c r="I65" i="9"/>
  <c r="J65" i="9"/>
  <c r="K65" i="9"/>
  <c r="L65" i="9"/>
  <c r="M65" i="9"/>
  <c r="N65" i="9"/>
  <c r="E65" i="9"/>
  <c r="C84" i="7"/>
  <c r="D84" i="7"/>
  <c r="E84" i="7"/>
  <c r="F84" i="7"/>
  <c r="G84" i="7"/>
  <c r="D83" i="7"/>
  <c r="E83" i="7"/>
  <c r="F83" i="7"/>
  <c r="G83" i="7"/>
  <c r="C83" i="7"/>
  <c r="N70" i="7"/>
  <c r="M70" i="7"/>
  <c r="L70" i="7"/>
  <c r="K70" i="7"/>
  <c r="J70" i="7"/>
  <c r="I70" i="7"/>
  <c r="H70" i="7"/>
  <c r="G76" i="7" s="1"/>
  <c r="G70" i="7"/>
  <c r="F70" i="7"/>
  <c r="E70" i="7"/>
  <c r="N69" i="7"/>
  <c r="M69" i="7"/>
  <c r="L69" i="7"/>
  <c r="K69" i="7"/>
  <c r="J69" i="7"/>
  <c r="F76" i="7" s="1"/>
  <c r="I69" i="7"/>
  <c r="H69" i="7"/>
  <c r="G69" i="7"/>
  <c r="F69" i="7"/>
  <c r="E69" i="7"/>
  <c r="N68" i="7"/>
  <c r="M68" i="7"/>
  <c r="L68" i="7"/>
  <c r="K68" i="7"/>
  <c r="J68" i="7"/>
  <c r="I68" i="7"/>
  <c r="H68" i="7"/>
  <c r="G68" i="7"/>
  <c r="F68" i="7"/>
  <c r="E68" i="7"/>
  <c r="N67" i="7"/>
  <c r="M67" i="7"/>
  <c r="L67" i="7"/>
  <c r="K67" i="7"/>
  <c r="J67" i="7"/>
  <c r="I67" i="7"/>
  <c r="H67" i="7"/>
  <c r="G67" i="7"/>
  <c r="F67" i="7"/>
  <c r="E67" i="7"/>
  <c r="N66" i="7"/>
  <c r="M66" i="7"/>
  <c r="L66" i="7"/>
  <c r="K66" i="7"/>
  <c r="J66" i="7"/>
  <c r="I66" i="7"/>
  <c r="H66" i="7"/>
  <c r="G66" i="7"/>
  <c r="F66" i="7"/>
  <c r="E66" i="7"/>
  <c r="N65" i="7"/>
  <c r="M65" i="7"/>
  <c r="L65" i="7"/>
  <c r="K65" i="7"/>
  <c r="J65" i="7"/>
  <c r="H75" i="7" s="1"/>
  <c r="I65" i="7"/>
  <c r="H65" i="7"/>
  <c r="G65" i="7"/>
  <c r="F65" i="7"/>
  <c r="E65" i="7"/>
  <c r="C84" i="5"/>
  <c r="D84" i="5"/>
  <c r="E84" i="5"/>
  <c r="F84" i="5"/>
  <c r="G84" i="5"/>
  <c r="D83" i="5"/>
  <c r="E83" i="5"/>
  <c r="F83" i="5"/>
  <c r="G83" i="5"/>
  <c r="C83" i="5"/>
  <c r="N83" i="6"/>
  <c r="O83" i="6"/>
  <c r="P83" i="6"/>
  <c r="Q83" i="6"/>
  <c r="R83" i="6"/>
  <c r="S83" i="6"/>
  <c r="T83" i="6"/>
  <c r="U83" i="6"/>
  <c r="V83" i="6"/>
  <c r="W83" i="6"/>
  <c r="X83" i="6"/>
  <c r="N84" i="6"/>
  <c r="O84" i="6"/>
  <c r="P84" i="6"/>
  <c r="Q84" i="6"/>
  <c r="R84" i="6"/>
  <c r="S84" i="6"/>
  <c r="T84" i="6"/>
  <c r="U84" i="6"/>
  <c r="V84" i="6"/>
  <c r="W84" i="6"/>
  <c r="X84" i="6"/>
  <c r="M84" i="6"/>
  <c r="M83" i="6"/>
  <c r="N83" i="4"/>
  <c r="O83" i="4"/>
  <c r="P83" i="4"/>
  <c r="Q83" i="4"/>
  <c r="R83" i="4"/>
  <c r="S83" i="4"/>
  <c r="T83" i="4"/>
  <c r="U83" i="4"/>
  <c r="V83" i="4"/>
  <c r="W83" i="4"/>
  <c r="X83" i="4"/>
  <c r="N84" i="4"/>
  <c r="O84" i="4"/>
  <c r="P84" i="4"/>
  <c r="Q84" i="4"/>
  <c r="R84" i="4"/>
  <c r="S84" i="4"/>
  <c r="T84" i="4"/>
  <c r="U84" i="4"/>
  <c r="V84" i="4"/>
  <c r="W84" i="4"/>
  <c r="X84" i="4"/>
  <c r="M84" i="4"/>
  <c r="M83" i="4"/>
  <c r="H76" i="5"/>
  <c r="H75" i="5"/>
  <c r="G76" i="5"/>
  <c r="G75" i="5"/>
  <c r="F76" i="5"/>
  <c r="F75" i="5"/>
  <c r="E76" i="5"/>
  <c r="E75" i="5"/>
  <c r="D76" i="5"/>
  <c r="D75" i="5"/>
  <c r="C76" i="5"/>
  <c r="C75" i="5"/>
  <c r="E66" i="5"/>
  <c r="F66" i="5"/>
  <c r="G66" i="5"/>
  <c r="H66" i="5"/>
  <c r="I66" i="5"/>
  <c r="J66" i="5"/>
  <c r="K66" i="5"/>
  <c r="L66" i="5"/>
  <c r="M66" i="5"/>
  <c r="N66" i="5"/>
  <c r="E67" i="5"/>
  <c r="F67" i="5"/>
  <c r="G67" i="5"/>
  <c r="H67" i="5"/>
  <c r="I67" i="5"/>
  <c r="J67" i="5"/>
  <c r="K67" i="5"/>
  <c r="L67" i="5"/>
  <c r="M67" i="5"/>
  <c r="N67" i="5"/>
  <c r="E68" i="5"/>
  <c r="F68" i="5"/>
  <c r="G68" i="5"/>
  <c r="H68" i="5"/>
  <c r="I68" i="5"/>
  <c r="J68" i="5"/>
  <c r="K68" i="5"/>
  <c r="L68" i="5"/>
  <c r="M68" i="5"/>
  <c r="N68" i="5"/>
  <c r="E69" i="5"/>
  <c r="F69" i="5"/>
  <c r="G69" i="5"/>
  <c r="H69" i="5"/>
  <c r="I69" i="5"/>
  <c r="J69" i="5"/>
  <c r="K69" i="5"/>
  <c r="L69" i="5"/>
  <c r="M69" i="5"/>
  <c r="N69" i="5"/>
  <c r="E70" i="5"/>
  <c r="F70" i="5"/>
  <c r="G70" i="5"/>
  <c r="H70" i="5"/>
  <c r="I70" i="5"/>
  <c r="J70" i="5"/>
  <c r="K70" i="5"/>
  <c r="L70" i="5"/>
  <c r="M70" i="5"/>
  <c r="N70" i="5"/>
  <c r="F65" i="5"/>
  <c r="G65" i="5"/>
  <c r="H65" i="5"/>
  <c r="I65" i="5"/>
  <c r="J65" i="5"/>
  <c r="K65" i="5"/>
  <c r="L65" i="5"/>
  <c r="M65" i="5"/>
  <c r="N65" i="5"/>
  <c r="E65" i="5"/>
  <c r="I76" i="6"/>
  <c r="Y75" i="6"/>
  <c r="AD70" i="6"/>
  <c r="AC70" i="6"/>
  <c r="AB70" i="6"/>
  <c r="AA70" i="6"/>
  <c r="X75" i="6" s="1"/>
  <c r="X79" i="6" s="1"/>
  <c r="Z70" i="6"/>
  <c r="Y70" i="6"/>
  <c r="X70" i="6"/>
  <c r="W70" i="6"/>
  <c r="X76" i="6" s="1"/>
  <c r="X80" i="6" s="1"/>
  <c r="V70" i="6"/>
  <c r="U70" i="6"/>
  <c r="N70" i="6"/>
  <c r="M70" i="6"/>
  <c r="H75" i="6" s="1"/>
  <c r="R79" i="6" s="1"/>
  <c r="L70" i="6"/>
  <c r="K70" i="6"/>
  <c r="J70" i="6"/>
  <c r="I70" i="6"/>
  <c r="H70" i="6"/>
  <c r="G70" i="6"/>
  <c r="H76" i="6" s="1"/>
  <c r="R80" i="6" s="1"/>
  <c r="F70" i="6"/>
  <c r="E70" i="6"/>
  <c r="AD69" i="6"/>
  <c r="AC69" i="6"/>
  <c r="AB69" i="6"/>
  <c r="AA69" i="6"/>
  <c r="Z69" i="6"/>
  <c r="Y69" i="6"/>
  <c r="X69" i="6"/>
  <c r="W69" i="6"/>
  <c r="W75" i="6" s="1"/>
  <c r="W79" i="6" s="1"/>
  <c r="V69" i="6"/>
  <c r="U69" i="6"/>
  <c r="N69" i="6"/>
  <c r="M69" i="6"/>
  <c r="L69" i="6"/>
  <c r="K69" i="6"/>
  <c r="J69" i="6"/>
  <c r="I69" i="6"/>
  <c r="G75" i="6" s="1"/>
  <c r="Q79" i="6" s="1"/>
  <c r="H69" i="6"/>
  <c r="G69" i="6"/>
  <c r="G76" i="6" s="1"/>
  <c r="Q80" i="6" s="1"/>
  <c r="F69" i="6"/>
  <c r="E69" i="6"/>
  <c r="AD68" i="6"/>
  <c r="AC68" i="6"/>
  <c r="AB68" i="6"/>
  <c r="AA68" i="6"/>
  <c r="Z68" i="6"/>
  <c r="Y68" i="6"/>
  <c r="X68" i="6"/>
  <c r="W68" i="6"/>
  <c r="V75" i="6" s="1"/>
  <c r="V79" i="6" s="1"/>
  <c r="V68" i="6"/>
  <c r="U68" i="6"/>
  <c r="N68" i="6"/>
  <c r="M68" i="6"/>
  <c r="L68" i="6"/>
  <c r="K68" i="6"/>
  <c r="J68" i="6"/>
  <c r="I68" i="6"/>
  <c r="H68" i="6"/>
  <c r="G68" i="6"/>
  <c r="F75" i="6" s="1"/>
  <c r="P79" i="6" s="1"/>
  <c r="F68" i="6"/>
  <c r="E68" i="6"/>
  <c r="AD67" i="6"/>
  <c r="AC67" i="6"/>
  <c r="AB67" i="6"/>
  <c r="AA67" i="6"/>
  <c r="Z67" i="6"/>
  <c r="Y67" i="6"/>
  <c r="X67" i="6"/>
  <c r="W67" i="6"/>
  <c r="U75" i="6" s="1"/>
  <c r="U79" i="6" s="1"/>
  <c r="V67" i="6"/>
  <c r="U67" i="6"/>
  <c r="N67" i="6"/>
  <c r="M67" i="6"/>
  <c r="L67" i="6"/>
  <c r="K67" i="6"/>
  <c r="J67" i="6"/>
  <c r="I67" i="6"/>
  <c r="H67" i="6"/>
  <c r="G67" i="6"/>
  <c r="E75" i="6" s="1"/>
  <c r="O79" i="6" s="1"/>
  <c r="F67" i="6"/>
  <c r="E67" i="6"/>
  <c r="AD66" i="6"/>
  <c r="AC66" i="6"/>
  <c r="AB66" i="6"/>
  <c r="AA66" i="6"/>
  <c r="T76" i="6" s="1"/>
  <c r="T80" i="6" s="1"/>
  <c r="Z66" i="6"/>
  <c r="Y66" i="6"/>
  <c r="X66" i="6"/>
  <c r="W66" i="6"/>
  <c r="T75" i="6" s="1"/>
  <c r="T79" i="6" s="1"/>
  <c r="V66" i="6"/>
  <c r="U66" i="6"/>
  <c r="N66" i="6"/>
  <c r="M66" i="6"/>
  <c r="L66" i="6"/>
  <c r="K66" i="6"/>
  <c r="J66" i="6"/>
  <c r="I66" i="6"/>
  <c r="H66" i="6"/>
  <c r="G66" i="6"/>
  <c r="D75" i="6" s="1"/>
  <c r="N79" i="6" s="1"/>
  <c r="F66" i="6"/>
  <c r="E66" i="6"/>
  <c r="AD65" i="6"/>
  <c r="AC65" i="6"/>
  <c r="AB65" i="6"/>
  <c r="AA65" i="6"/>
  <c r="Z65" i="6"/>
  <c r="Y65" i="6"/>
  <c r="X65" i="6"/>
  <c r="W65" i="6"/>
  <c r="S76" i="6" s="1"/>
  <c r="S80" i="6" s="1"/>
  <c r="V65" i="6"/>
  <c r="Y76" i="6" s="1"/>
  <c r="U65" i="6"/>
  <c r="N65" i="6"/>
  <c r="M65" i="6"/>
  <c r="L65" i="6"/>
  <c r="K65" i="6"/>
  <c r="J65" i="6"/>
  <c r="I65" i="6"/>
  <c r="C76" i="6" s="1"/>
  <c r="M80" i="6" s="1"/>
  <c r="H65" i="6"/>
  <c r="G65" i="6"/>
  <c r="C75" i="6" s="1"/>
  <c r="M79" i="6" s="1"/>
  <c r="F65" i="6"/>
  <c r="I75" i="6" s="1"/>
  <c r="E65" i="6"/>
  <c r="AD70" i="4"/>
  <c r="AC70" i="4"/>
  <c r="AB70" i="4"/>
  <c r="AA70" i="4"/>
  <c r="Z70" i="4"/>
  <c r="Y70" i="4"/>
  <c r="X76" i="4" s="1"/>
  <c r="X70" i="4"/>
  <c r="W70" i="4"/>
  <c r="V70" i="4"/>
  <c r="U70" i="4"/>
  <c r="N70" i="4"/>
  <c r="M70" i="4"/>
  <c r="L70" i="4"/>
  <c r="K70" i="4"/>
  <c r="J70" i="4"/>
  <c r="I70" i="4"/>
  <c r="H70" i="4"/>
  <c r="G70" i="4"/>
  <c r="F70" i="4"/>
  <c r="E70" i="4"/>
  <c r="AD69" i="4"/>
  <c r="AC69" i="4"/>
  <c r="AB69" i="4"/>
  <c r="AA69" i="4"/>
  <c r="Z69" i="4"/>
  <c r="Y69" i="4"/>
  <c r="X69" i="4"/>
  <c r="W69" i="4"/>
  <c r="V69" i="4"/>
  <c r="U69" i="4"/>
  <c r="N69" i="4"/>
  <c r="M69" i="4"/>
  <c r="L69" i="4"/>
  <c r="K69" i="4"/>
  <c r="J69" i="4"/>
  <c r="I69" i="4"/>
  <c r="H69" i="4"/>
  <c r="G69" i="4"/>
  <c r="F69" i="4"/>
  <c r="E69" i="4"/>
  <c r="AD68" i="4"/>
  <c r="AC68" i="4"/>
  <c r="AB68" i="4"/>
  <c r="AA68" i="4"/>
  <c r="Z68" i="4"/>
  <c r="Y68" i="4"/>
  <c r="V75" i="4" s="1"/>
  <c r="X68" i="4"/>
  <c r="W68" i="4"/>
  <c r="V68" i="4"/>
  <c r="U68" i="4"/>
  <c r="N68" i="4"/>
  <c r="M68" i="4"/>
  <c r="L68" i="4"/>
  <c r="K68" i="4"/>
  <c r="J68" i="4"/>
  <c r="I68" i="4"/>
  <c r="H68" i="4"/>
  <c r="G68" i="4"/>
  <c r="F68" i="4"/>
  <c r="E68" i="4"/>
  <c r="AD67" i="4"/>
  <c r="AC67" i="4"/>
  <c r="AB67" i="4"/>
  <c r="AA67" i="4"/>
  <c r="Z67" i="4"/>
  <c r="Y67" i="4"/>
  <c r="X67" i="4"/>
  <c r="W67" i="4"/>
  <c r="V67" i="4"/>
  <c r="U67" i="4"/>
  <c r="N67" i="4"/>
  <c r="M67" i="4"/>
  <c r="L67" i="4"/>
  <c r="K67" i="4"/>
  <c r="J67" i="4"/>
  <c r="I67" i="4"/>
  <c r="H67" i="4"/>
  <c r="G67" i="4"/>
  <c r="F67" i="4"/>
  <c r="E67" i="4"/>
  <c r="AD66" i="4"/>
  <c r="AC66" i="4"/>
  <c r="AB66" i="4"/>
  <c r="AA66" i="4"/>
  <c r="Z66" i="4"/>
  <c r="Y66" i="4"/>
  <c r="T76" i="4" s="1"/>
  <c r="X66" i="4"/>
  <c r="W66" i="4"/>
  <c r="V66" i="4"/>
  <c r="U66" i="4"/>
  <c r="N66" i="4"/>
  <c r="M66" i="4"/>
  <c r="L66" i="4"/>
  <c r="K66" i="4"/>
  <c r="J66" i="4"/>
  <c r="I66" i="4"/>
  <c r="H66" i="4"/>
  <c r="G66" i="4"/>
  <c r="F66" i="4"/>
  <c r="E66" i="4"/>
  <c r="AD65" i="4"/>
  <c r="AC65" i="4"/>
  <c r="AB65" i="4"/>
  <c r="AA65" i="4"/>
  <c r="Z65" i="4"/>
  <c r="Y65" i="4"/>
  <c r="X65" i="4"/>
  <c r="W65" i="4"/>
  <c r="V65" i="4"/>
  <c r="Y76" i="4" s="1"/>
  <c r="U65" i="4"/>
  <c r="N65" i="4"/>
  <c r="M65" i="4"/>
  <c r="L65" i="4"/>
  <c r="K65" i="4"/>
  <c r="J65" i="4"/>
  <c r="I65" i="4"/>
  <c r="H65" i="4"/>
  <c r="G65" i="4"/>
  <c r="F65" i="4"/>
  <c r="I76" i="4" s="1"/>
  <c r="E65" i="4"/>
  <c r="AQ103" i="1"/>
  <c r="AA105" i="1"/>
  <c r="D94" i="1"/>
  <c r="E94" i="1"/>
  <c r="F94" i="1"/>
  <c r="G94" i="1"/>
  <c r="H94" i="1"/>
  <c r="I94" i="1"/>
  <c r="J94" i="1"/>
  <c r="K94" i="1"/>
  <c r="L94" i="1"/>
  <c r="E93" i="1"/>
  <c r="F93" i="1"/>
  <c r="G93" i="1"/>
  <c r="H93" i="1"/>
  <c r="I93" i="1"/>
  <c r="J93" i="1"/>
  <c r="K93" i="1"/>
  <c r="L93" i="1"/>
  <c r="D93" i="1"/>
  <c r="AK94" i="1"/>
  <c r="AL94" i="1"/>
  <c r="AM94" i="1"/>
  <c r="AN94" i="1"/>
  <c r="AO94" i="1"/>
  <c r="AP94" i="1"/>
  <c r="AQ94" i="1"/>
  <c r="AR94" i="1"/>
  <c r="AS94" i="1"/>
  <c r="AL93" i="1"/>
  <c r="AM93" i="1"/>
  <c r="AN93" i="1"/>
  <c r="AO93" i="1"/>
  <c r="AP93" i="1"/>
  <c r="AQ93" i="1"/>
  <c r="AR93" i="1"/>
  <c r="AS93" i="1"/>
  <c r="AK93" i="1"/>
  <c r="U93" i="1"/>
  <c r="V93" i="1"/>
  <c r="W93" i="1"/>
  <c r="X93" i="1"/>
  <c r="Y93" i="1"/>
  <c r="Z93" i="1"/>
  <c r="AA93" i="1"/>
  <c r="AB93" i="1"/>
  <c r="U94" i="1"/>
  <c r="V94" i="1"/>
  <c r="W94" i="1"/>
  <c r="X94" i="1"/>
  <c r="Y94" i="1"/>
  <c r="Z94" i="1"/>
  <c r="AA94" i="1"/>
  <c r="AB94" i="1"/>
  <c r="T94" i="1"/>
  <c r="T93" i="1"/>
  <c r="W66" i="2"/>
  <c r="X66" i="2"/>
  <c r="Y66" i="2"/>
  <c r="Z66" i="2"/>
  <c r="AA66" i="2"/>
  <c r="AB66" i="2"/>
  <c r="AC66" i="2"/>
  <c r="AD66" i="2"/>
  <c r="W67" i="2"/>
  <c r="X67" i="2"/>
  <c r="Y67" i="2"/>
  <c r="Z67" i="2"/>
  <c r="AA67" i="2"/>
  <c r="AB67" i="2"/>
  <c r="AC67" i="2"/>
  <c r="AD67" i="2"/>
  <c r="W68" i="2"/>
  <c r="X68" i="2"/>
  <c r="Y68" i="2"/>
  <c r="Z68" i="2"/>
  <c r="AA68" i="2"/>
  <c r="AB68" i="2"/>
  <c r="AC68" i="2"/>
  <c r="AD68" i="2"/>
  <c r="W69" i="2"/>
  <c r="X69" i="2"/>
  <c r="Y69" i="2"/>
  <c r="Z69" i="2"/>
  <c r="AA69" i="2"/>
  <c r="AB69" i="2"/>
  <c r="AC69" i="2"/>
  <c r="AD69" i="2"/>
  <c r="W70" i="2"/>
  <c r="X70" i="2"/>
  <c r="Y70" i="2"/>
  <c r="Z70" i="2"/>
  <c r="AA70" i="2"/>
  <c r="AB70" i="2"/>
  <c r="AC70" i="2"/>
  <c r="AD70" i="2"/>
  <c r="X65" i="2"/>
  <c r="Y65" i="2"/>
  <c r="Z65" i="2"/>
  <c r="AA65" i="2"/>
  <c r="AB65" i="2"/>
  <c r="AC65" i="2"/>
  <c r="AD65" i="2"/>
  <c r="W65" i="2"/>
  <c r="V66" i="2"/>
  <c r="V67" i="2"/>
  <c r="V68" i="2"/>
  <c r="V69" i="2"/>
  <c r="V70" i="2"/>
  <c r="V65" i="2"/>
  <c r="U66" i="2"/>
  <c r="U67" i="2"/>
  <c r="U68" i="2"/>
  <c r="U69" i="2"/>
  <c r="U70" i="2"/>
  <c r="U65" i="2"/>
  <c r="F65" i="2"/>
  <c r="G65" i="2"/>
  <c r="C75" i="2" s="1"/>
  <c r="H65" i="2"/>
  <c r="I65" i="2"/>
  <c r="J65" i="2"/>
  <c r="K65" i="2"/>
  <c r="L65" i="2"/>
  <c r="M65" i="2"/>
  <c r="N65" i="2"/>
  <c r="F66" i="2"/>
  <c r="G66" i="2"/>
  <c r="D76" i="2" s="1"/>
  <c r="H66" i="2"/>
  <c r="I66" i="2"/>
  <c r="J66" i="2"/>
  <c r="K66" i="2"/>
  <c r="L66" i="2"/>
  <c r="M66" i="2"/>
  <c r="N66" i="2"/>
  <c r="F67" i="2"/>
  <c r="G67" i="2"/>
  <c r="H67" i="2"/>
  <c r="I67" i="2"/>
  <c r="J67" i="2"/>
  <c r="K67" i="2"/>
  <c r="L67" i="2"/>
  <c r="M67" i="2"/>
  <c r="N67" i="2"/>
  <c r="F68" i="2"/>
  <c r="G68" i="2"/>
  <c r="H68" i="2"/>
  <c r="I68" i="2"/>
  <c r="J68" i="2"/>
  <c r="K68" i="2"/>
  <c r="L68" i="2"/>
  <c r="M68" i="2"/>
  <c r="N68" i="2"/>
  <c r="F69" i="2"/>
  <c r="G69" i="2"/>
  <c r="H69" i="2"/>
  <c r="I69" i="2"/>
  <c r="J69" i="2"/>
  <c r="K69" i="2"/>
  <c r="L69" i="2"/>
  <c r="M69" i="2"/>
  <c r="N69" i="2"/>
  <c r="F70" i="2"/>
  <c r="G70" i="2"/>
  <c r="H70" i="2"/>
  <c r="I70" i="2"/>
  <c r="J70" i="2"/>
  <c r="K70" i="2"/>
  <c r="L70" i="2"/>
  <c r="M70" i="2"/>
  <c r="N70" i="2"/>
  <c r="E70" i="2"/>
  <c r="E66" i="2"/>
  <c r="E67" i="2"/>
  <c r="E68" i="2"/>
  <c r="E69" i="2"/>
  <c r="E65" i="2"/>
  <c r="D288" i="4" l="1"/>
  <c r="D286" i="4"/>
  <c r="D300" i="4"/>
  <c r="D287" i="4"/>
  <c r="AU83" i="2"/>
  <c r="AU79" i="2"/>
  <c r="BB79" i="2"/>
  <c r="BB83" i="2" s="1"/>
  <c r="E75" i="2"/>
  <c r="BB80" i="2"/>
  <c r="BB84" i="2" s="1"/>
  <c r="AX83" i="2"/>
  <c r="AX79" i="2"/>
  <c r="AW80" i="2"/>
  <c r="AW84" i="2" s="1"/>
  <c r="AT80" i="2"/>
  <c r="AT84" i="2" s="1"/>
  <c r="AW79" i="2"/>
  <c r="AW83" i="2" s="1"/>
  <c r="AY83" i="2"/>
  <c r="AY79" i="2"/>
  <c r="BA80" i="2"/>
  <c r="BA84" i="2" s="1"/>
  <c r="I76" i="2"/>
  <c r="AZ80" i="2"/>
  <c r="AZ84" i="2" s="1"/>
  <c r="AX80" i="2"/>
  <c r="AX84" i="2" s="1"/>
  <c r="BC83" i="2"/>
  <c r="BC79" i="2"/>
  <c r="AU80" i="2"/>
  <c r="AU84" i="2" s="1"/>
  <c r="E76" i="2"/>
  <c r="O80" i="2" s="1"/>
  <c r="O84" i="2" s="1"/>
  <c r="BD79" i="2"/>
  <c r="BD83" i="2" s="1"/>
  <c r="H76" i="2"/>
  <c r="R80" i="2" s="1"/>
  <c r="R84" i="2" s="1"/>
  <c r="G75" i="2"/>
  <c r="F75" i="2"/>
  <c r="AS80" i="2"/>
  <c r="AS84" i="2" s="1"/>
  <c r="AV79" i="2"/>
  <c r="AV83" i="2" s="1"/>
  <c r="BA79" i="2"/>
  <c r="BA83" i="2" s="1"/>
  <c r="G76" i="2"/>
  <c r="X75" i="2"/>
  <c r="U76" i="2"/>
  <c r="BC80" i="2"/>
  <c r="BC84" i="2" s="1"/>
  <c r="AY80" i="2"/>
  <c r="AY84" i="2" s="1"/>
  <c r="AT83" i="2"/>
  <c r="AT79" i="2"/>
  <c r="AZ79" i="2"/>
  <c r="AZ83" i="2" s="1"/>
  <c r="F76" i="2"/>
  <c r="AV80" i="2"/>
  <c r="AV84" i="2" s="1"/>
  <c r="AS79" i="2"/>
  <c r="AS83" i="2" s="1"/>
  <c r="C79" i="9"/>
  <c r="G75" i="7"/>
  <c r="D76" i="7"/>
  <c r="D80" i="7" s="1"/>
  <c r="D75" i="7"/>
  <c r="D79" i="7" s="1"/>
  <c r="F80" i="7"/>
  <c r="E75" i="7"/>
  <c r="E79" i="7" s="1"/>
  <c r="F75" i="7"/>
  <c r="C76" i="7"/>
  <c r="F79" i="7"/>
  <c r="G80" i="7"/>
  <c r="C80" i="7"/>
  <c r="G79" i="7"/>
  <c r="C75" i="7"/>
  <c r="C79" i="7" s="1"/>
  <c r="E76" i="7"/>
  <c r="E80" i="7" s="1"/>
  <c r="H76" i="7"/>
  <c r="E79" i="5"/>
  <c r="S75" i="6"/>
  <c r="S79" i="6" s="1"/>
  <c r="D76" i="6"/>
  <c r="N80" i="6" s="1"/>
  <c r="U76" i="6"/>
  <c r="U80" i="6" s="1"/>
  <c r="E76" i="6"/>
  <c r="O80" i="6" s="1"/>
  <c r="V76" i="6"/>
  <c r="V80" i="6" s="1"/>
  <c r="F76" i="6"/>
  <c r="P80" i="6" s="1"/>
  <c r="W76" i="6"/>
  <c r="W80" i="6" s="1"/>
  <c r="C79" i="5"/>
  <c r="U75" i="4"/>
  <c r="W76" i="4"/>
  <c r="S75" i="4"/>
  <c r="U76" i="4"/>
  <c r="W75" i="4"/>
  <c r="T75" i="4"/>
  <c r="V76" i="4"/>
  <c r="X75" i="4"/>
  <c r="Y75" i="4"/>
  <c r="X80" i="4" s="1"/>
  <c r="W75" i="2"/>
  <c r="T75" i="2"/>
  <c r="V75" i="2"/>
  <c r="V76" i="2"/>
  <c r="C75" i="4"/>
  <c r="M79" i="4" s="1"/>
  <c r="E75" i="4"/>
  <c r="O79" i="4" s="1"/>
  <c r="G76" i="4"/>
  <c r="Q80" i="4" s="1"/>
  <c r="I75" i="4"/>
  <c r="H75" i="4"/>
  <c r="R79" i="4" s="1"/>
  <c r="D75" i="4"/>
  <c r="N79" i="4" s="1"/>
  <c r="F76" i="4"/>
  <c r="P80" i="4" s="1"/>
  <c r="H76" i="4"/>
  <c r="F75" i="4"/>
  <c r="P79" i="4" s="1"/>
  <c r="G75" i="4"/>
  <c r="Q79" i="4" s="1"/>
  <c r="C76" i="4"/>
  <c r="M80" i="4" s="1"/>
  <c r="E76" i="4"/>
  <c r="O80" i="4" s="1"/>
  <c r="S76" i="4"/>
  <c r="D76" i="4"/>
  <c r="N80" i="4" s="1"/>
  <c r="S75" i="2"/>
  <c r="Y75" i="2"/>
  <c r="X79" i="2" s="1"/>
  <c r="X83" i="2" s="1"/>
  <c r="W76" i="2"/>
  <c r="X76" i="2"/>
  <c r="U75" i="2"/>
  <c r="Y76" i="2"/>
  <c r="S76" i="2"/>
  <c r="T76" i="2"/>
  <c r="I75" i="2"/>
  <c r="Q79" i="2" s="1"/>
  <c r="Q83" i="2" s="1"/>
  <c r="C76" i="2"/>
  <c r="D75" i="2"/>
  <c r="N79" i="2" s="1"/>
  <c r="N83" i="2" s="1"/>
  <c r="H75" i="2"/>
  <c r="J86" i="3"/>
  <c r="I87" i="3"/>
  <c r="J87" i="3"/>
  <c r="I86" i="3"/>
  <c r="J89" i="3"/>
  <c r="J84" i="3"/>
  <c r="J85" i="3"/>
  <c r="J88" i="3"/>
  <c r="E85" i="3"/>
  <c r="E86" i="3"/>
  <c r="E87" i="3"/>
  <c r="E88" i="3"/>
  <c r="E84" i="3"/>
  <c r="I85" i="3"/>
  <c r="I88" i="3"/>
  <c r="I89" i="3"/>
  <c r="I84" i="3"/>
  <c r="D85" i="3"/>
  <c r="D86" i="3"/>
  <c r="D87" i="3"/>
  <c r="D88" i="3"/>
  <c r="D84" i="3"/>
  <c r="N80" i="2" l="1"/>
  <c r="N84" i="2" s="1"/>
  <c r="R79" i="2"/>
  <c r="R83" i="2" s="1"/>
  <c r="D79" i="9"/>
  <c r="E79" i="9"/>
  <c r="E83" i="9" s="1"/>
  <c r="C80" i="9"/>
  <c r="E80" i="9"/>
  <c r="E84" i="9" s="1"/>
  <c r="D80" i="9"/>
  <c r="F79" i="5"/>
  <c r="F80" i="5"/>
  <c r="D79" i="5"/>
  <c r="E80" i="5"/>
  <c r="G79" i="5"/>
  <c r="D80" i="5"/>
  <c r="G80" i="5"/>
  <c r="C80" i="5"/>
  <c r="U80" i="4"/>
  <c r="W79" i="4"/>
  <c r="S79" i="4"/>
  <c r="S80" i="4"/>
  <c r="V79" i="4"/>
  <c r="W80" i="4"/>
  <c r="X79" i="4"/>
  <c r="U79" i="4"/>
  <c r="V80" i="4"/>
  <c r="T80" i="4"/>
  <c r="T79" i="4"/>
  <c r="R80" i="4"/>
  <c r="T80" i="2"/>
  <c r="T84" i="2" s="1"/>
  <c r="V80" i="2"/>
  <c r="V84" i="2" s="1"/>
  <c r="T79" i="2"/>
  <c r="T83" i="2" s="1"/>
  <c r="W79" i="2"/>
  <c r="W83" i="2" s="1"/>
  <c r="S79" i="2"/>
  <c r="S83" i="2" s="1"/>
  <c r="V79" i="2"/>
  <c r="V83" i="2" s="1"/>
  <c r="U79" i="2"/>
  <c r="U83" i="2" s="1"/>
  <c r="X80" i="2"/>
  <c r="X84" i="2" s="1"/>
  <c r="U80" i="2"/>
  <c r="U84" i="2" s="1"/>
  <c r="S80" i="2"/>
  <c r="S84" i="2" s="1"/>
  <c r="W80" i="2"/>
  <c r="W84" i="2" s="1"/>
  <c r="O79" i="2"/>
  <c r="O83" i="2" s="1"/>
  <c r="P79" i="2"/>
  <c r="P83" i="2" s="1"/>
  <c r="M80" i="2"/>
  <c r="M84" i="2" s="1"/>
  <c r="P80" i="2"/>
  <c r="P84" i="2" s="1"/>
  <c r="Q80" i="2"/>
  <c r="Q84" i="2" s="1"/>
  <c r="M79" i="2"/>
  <c r="M83" i="2" s="1"/>
  <c r="AX84" i="1"/>
  <c r="AX83" i="1"/>
  <c r="AX82" i="1"/>
  <c r="AX81" i="1"/>
  <c r="AX80" i="1"/>
  <c r="AX79" i="1"/>
  <c r="AG80" i="1"/>
  <c r="AG81" i="1"/>
  <c r="AG82" i="1"/>
  <c r="AG83" i="1"/>
  <c r="AG84" i="1"/>
  <c r="AG79" i="1"/>
  <c r="Q80" i="1"/>
  <c r="Q81" i="1"/>
  <c r="Q82" i="1"/>
  <c r="Q83" i="1"/>
  <c r="Q84" i="1"/>
  <c r="Q79" i="1"/>
  <c r="AT90" i="1"/>
  <c r="AS90" i="1"/>
  <c r="AR90" i="1"/>
  <c r="AQ90" i="1"/>
  <c r="AP90" i="1"/>
  <c r="AO90" i="1"/>
  <c r="AN90" i="1"/>
  <c r="AM90" i="1"/>
  <c r="AL90" i="1"/>
  <c r="AK90" i="1"/>
  <c r="AT89" i="1"/>
  <c r="AS89" i="1"/>
  <c r="AR89" i="1"/>
  <c r="AQ89" i="1"/>
  <c r="AP89" i="1"/>
  <c r="AO89" i="1"/>
  <c r="AN89" i="1"/>
  <c r="AM89" i="1"/>
  <c r="AL89" i="1"/>
  <c r="AK89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E90" i="1"/>
  <c r="F90" i="1"/>
  <c r="G90" i="1"/>
  <c r="H90" i="1"/>
  <c r="I90" i="1"/>
  <c r="J90" i="1"/>
  <c r="K90" i="1"/>
  <c r="L90" i="1"/>
  <c r="M90" i="1"/>
  <c r="D90" i="1"/>
  <c r="E89" i="1"/>
  <c r="F89" i="1"/>
  <c r="G89" i="1"/>
  <c r="H89" i="1"/>
  <c r="I89" i="1"/>
  <c r="J89" i="1"/>
  <c r="K89" i="1"/>
  <c r="L89" i="1"/>
  <c r="M89" i="1"/>
  <c r="D89" i="1"/>
</calcChain>
</file>

<file path=xl/sharedStrings.xml><?xml version="1.0" encoding="utf-8"?>
<sst xmlns="http://schemas.openxmlformats.org/spreadsheetml/2006/main" count="8622" uniqueCount="200">
  <si>
    <t>Software Version</t>
  </si>
  <si>
    <t>3.11.19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</si>
  <si>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</si>
  <si>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</si>
  <si>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</si>
  <si>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</si>
  <si>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</si>
  <si>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</si>
  <si>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</si>
  <si>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</si>
  <si>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</si>
  <si>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191202E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</si>
  <si>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</si>
  <si>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</si>
  <si>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</si>
  <si>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</si>
  <si>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</si>
  <si>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</si>
  <si>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</si>
  <si>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Resazurin</t>
  </si>
  <si>
    <t>Fluorescence Endpoint</t>
  </si>
  <si>
    <t>Full Plate</t>
  </si>
  <si>
    <t>Filter Set 1</t>
  </si>
  <si>
    <t xml:space="preserve">    Excitation: 554,  Emission: 593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</si>
  <si>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</si>
  <si>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</si>
  <si>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</si>
  <si>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</si>
  <si>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Layout</t>
  </si>
  <si>
    <t>A</t>
  </si>
  <si>
    <t>SPL1</t>
  </si>
  <si>
    <t>SPL2</t>
  </si>
  <si>
    <t>Well ID</t>
  </si>
  <si>
    <t>B</t>
  </si>
  <si>
    <t>SPL3</t>
  </si>
  <si>
    <t>SPL4</t>
  </si>
  <si>
    <t>C</t>
  </si>
  <si>
    <t>SPL5</t>
  </si>
  <si>
    <t>SPL6</t>
  </si>
  <si>
    <t>D</t>
  </si>
  <si>
    <t>SPL7</t>
  </si>
  <si>
    <t>SPL8</t>
  </si>
  <si>
    <t>E</t>
  </si>
  <si>
    <t>F</t>
  </si>
  <si>
    <t>G</t>
  </si>
  <si>
    <t>H</t>
  </si>
  <si>
    <t>BLK</t>
  </si>
  <si>
    <t>Resazurin:554,593</t>
  </si>
  <si>
    <t>Actual Temperature:</t>
  </si>
  <si>
    <t>Blank Resazurin:554,593</t>
  </si>
  <si>
    <t>a2</t>
  </si>
  <si>
    <t>a4</t>
  </si>
  <si>
    <t>For a2</t>
  </si>
  <si>
    <t>For a4</t>
  </si>
  <si>
    <t>Protokoll Calibration curve</t>
  </si>
  <si>
    <t>Mittelwerte</t>
  </si>
  <si>
    <t>Standardabweichung</t>
  </si>
  <si>
    <t>Mittelwert</t>
  </si>
  <si>
    <t>For a3</t>
  </si>
  <si>
    <t>2. Add AlamarBlue on Tuesday morning</t>
  </si>
  <si>
    <t>3. Wait 2h</t>
  </si>
  <si>
    <t>4. Analyze in the plate reader</t>
  </si>
  <si>
    <t>1. Seed 50, 100, 200, 400, 800, 1600, 3200, 6400 cells in a 96 well plate on Monday (20.04.24)</t>
  </si>
  <si>
    <t>a3</t>
  </si>
  <si>
    <t>Rho</t>
  </si>
  <si>
    <t>C:\Users\labadmin\Documents\Biotek Reader\Experiments\MaxE\2025_01_STEM_Preparation_experiments\2025_01_21_Calibration_plate_alpha2.xpt</t>
  </si>
  <si>
    <t>C:\Users\labadmin\Documents\Biotek Reader\Protocols\Max\2025_01_21_calibration_plates\2025_01_21_calibration_plates.prt</t>
  </si>
  <si>
    <t>Set Temperature</t>
  </si>
  <si>
    <t>Setpoint 37Â°C</t>
  </si>
  <si>
    <t>Preheat before moving to next step</t>
  </si>
  <si>
    <t>CTR1</t>
  </si>
  <si>
    <t>Plate 2</t>
  </si>
  <si>
    <t>Plate 3</t>
  </si>
  <si>
    <t>Normalized</t>
  </si>
  <si>
    <t>Protokoll G418 Dose Response Curve</t>
  </si>
  <si>
    <t>1. Seed 1000 cells in a 96 well plate on Monday (20.04.24)</t>
  </si>
  <si>
    <t>a2 d2</t>
  </si>
  <si>
    <t>BLANK</t>
  </si>
  <si>
    <t>0.025</t>
  </si>
  <si>
    <t>0.05</t>
  </si>
  <si>
    <t>0.1</t>
  </si>
  <si>
    <t>0.2</t>
  </si>
  <si>
    <t>0.3</t>
  </si>
  <si>
    <t>0.4</t>
  </si>
  <si>
    <t>0.6</t>
  </si>
  <si>
    <t>0.8</t>
  </si>
  <si>
    <t>Protokoll Drug Background</t>
  </si>
  <si>
    <t>1. No cells, but different drug concentrations</t>
  </si>
  <si>
    <t>0.04</t>
  </si>
  <si>
    <t>0.008</t>
  </si>
  <si>
    <t>C:\Users\labadmin\Documents\Biotek Reader\Experiments\MaxE\2025_01_STEM_Preparation_experiments\2025_01_23_test_0001.xpt</t>
  </si>
  <si>
    <t>C:\Users\labadmin\Documents\Biotek Reader\Protocols\Max\2025_01_22_G418_plates\2025_01_23_test.prt</t>
  </si>
  <si>
    <t>SPL9</t>
  </si>
  <si>
    <t>HygB</t>
  </si>
  <si>
    <t>G418</t>
  </si>
  <si>
    <t>a3 d2</t>
  </si>
  <si>
    <t>a4 d2</t>
  </si>
  <si>
    <t>C:\Users\labadmin\Documents\Biotek Reader\Experiments\MaxE\2025_01_STEM_Preparation_experiments\2025_01_22_d2_G418_plates_1.xpt</t>
  </si>
  <si>
    <t>C:\Users\labadmin\Documents\Biotek Reader\Protocols\Max\2025_01_22_G418_plates\2025_01_22_d2_G418_plates.prt</t>
  </si>
  <si>
    <t>Normalized and times 10000</t>
  </si>
  <si>
    <t>Cells</t>
  </si>
  <si>
    <t>1 normalized value = 0.00001399  * cells</t>
  </si>
  <si>
    <t>1 normalized value = 0.00001115  * cells</t>
  </si>
  <si>
    <t>1 normalized value = 0.00001751  * cells</t>
  </si>
  <si>
    <t>1 cell = 57110 * value</t>
  </si>
  <si>
    <t>1 cell = 89686 * value</t>
  </si>
  <si>
    <t>1 cell = 71479 * value</t>
  </si>
  <si>
    <t>Plate 4</t>
  </si>
  <si>
    <t>Plate 5</t>
  </si>
  <si>
    <t>Plate 6</t>
  </si>
  <si>
    <t>Plate 7</t>
  </si>
  <si>
    <t>Plate 8</t>
  </si>
  <si>
    <t>alpha-2</t>
  </si>
  <si>
    <t>alpha-3</t>
  </si>
  <si>
    <t>alpha-4</t>
  </si>
  <si>
    <t>Plate 9</t>
  </si>
  <si>
    <t>2025_01_22</t>
  </si>
  <si>
    <t>2025_01_24</t>
  </si>
  <si>
    <t>C:\Users\labadmin\Documents\Biotek Reader\Experiments\MaxE\2025_01_STEM_Preparation_experiments\2025_01_24_d4_G418_plates_1.xpt</t>
  </si>
  <si>
    <t>2025_01_27</t>
  </si>
  <si>
    <t>a2 d5</t>
  </si>
  <si>
    <t>a3 d5</t>
  </si>
  <si>
    <t>a4 d5</t>
  </si>
  <si>
    <t>C:\Users\labadmin\Documents\Biotek Reader\Experiments\MaxE\2025_01_STEM_Preparation_experiments\2025_01_27_d7_G418_plates_1.xpt</t>
  </si>
  <si>
    <t>Wells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</si>
  <si>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</si>
  <si>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</si>
  <si>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</si>
  <si>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</si>
  <si>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</si>
  <si>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</si>
  <si>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</si>
  <si>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</si>
  <si>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</si>
  <si>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</si>
  <si>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</si>
  <si>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</si>
  <si>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</si>
  <si>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</si>
  <si>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</si>
  <si>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</si>
  <si>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</si>
  <si>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</si>
  <si>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</si>
  <si>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</si>
  <si>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</si>
  <si>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</si>
  <si>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</si>
  <si>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</si>
  <si>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</si>
  <si>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</si>
  <si>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</si>
  <si>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</si>
  <si>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</si>
  <si>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</si>
  <si>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</si>
  <si>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</si>
  <si>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</si>
  <si>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</si>
  <si>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</si>
  <si>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</si>
  <si>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</si>
  <si>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</si>
  <si>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</si>
  <si>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</si>
  <si>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</si>
  <si>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</si>
  <si>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</si>
  <si>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</si>
  <si>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</si>
  <si>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</si>
  <si>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</si>
  <si>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</si>
  <si>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</si>
  <si>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</si>
  <si>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</si>
  <si>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</si>
  <si>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</si>
  <si>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</si>
  <si>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</si>
  <si>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</si>
  <si>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</si>
  <si>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</si>
  <si>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</si>
  <si>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</si>
  <si>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Raw</t>
  </si>
  <si>
    <t>Background Corrected</t>
  </si>
  <si>
    <t>Rho calibrated</t>
  </si>
  <si>
    <t>Condition</t>
  </si>
  <si>
    <t>Plate</t>
  </si>
  <si>
    <t>Blank</t>
  </si>
  <si>
    <t>d0</t>
  </si>
  <si>
    <t>d2</t>
  </si>
  <si>
    <t>d5</t>
  </si>
  <si>
    <t>d7</t>
  </si>
  <si>
    <t>C:\Users\labadmin\Documents\Biotek Reader\Experiments\MaxE\2025_01_STEM_Preparation_experiments\2025_01_29_d9_G418_plates_1.xpt</t>
  </si>
  <si>
    <t>2025_01_29</t>
  </si>
  <si>
    <t>a2 d7</t>
  </si>
  <si>
    <t>a3 d7</t>
  </si>
  <si>
    <t>a4 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</si>
</sst>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color rgb="FF000000"/>
      <name val="Arial"/>
    </font>
  </fonts>
  <fills count="2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readingOrder="1"/>
    </xf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'Calibration Plates'!$Q$77</c:f>
              <c:strCache>
                <c:ptCount val="1"/>
                <c:pt idx="0">
                  <c:v>Mittelwerte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'Calibration Plates'!$T$78:$T$85</c:f>
                <c:numCache>
                  <c:formatCode>General</c:formatCode>
                  <c:ptCount val="8"/>
                </c:numCache>
              </c:numRef>
            </c:plus>
            <c:minus>
              <c:numRef>
                <c:f>'Calibration Plates'!$T$78:$T$85</c:f>
                <c:numCache>
                  <c:formatCode>General</c:formatCode>
                  <c:ptCount val="8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'Calibration Plates'!$Q$78:$Q$85</c:f>
              <c:numCache>
                <c:formatCode>General</c:formatCode>
                <c:ptCount val="8"/>
                <c:pt idx="1">
                  <c:v>14905.888888888889</c:v>
                </c:pt>
                <c:pt idx="2">
                  <c:v>15387.222222222223</c:v>
                </c:pt>
                <c:pt idx="3">
                  <c:v>13726.111111111111</c:v>
                </c:pt>
                <c:pt idx="4">
                  <c:v>13736.111111111111</c:v>
                </c:pt>
                <c:pt idx="5">
                  <c:v>13833.666666666666</c:v>
                </c:pt>
                <c:pt idx="6">
                  <c:v>13903.888888888889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0-4005-A667-949314BC7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234512"/>
        <c:axId val="460234840"/>
      </c:barChart>
      <c:catAx>
        <c:axId val="46023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34840"/>
        <c:crosses val="autoZero"/>
        <c:auto val="1"/>
        <c:lblAlgn val="ctr"/>
        <c:lblOffset val="100"/>
        <c:noMultiLvlLbl val="0"/>
      </c:catAx>
      <c:valAx>
        <c:axId val="46023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3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'Calibration Plates'!$Q$77</c:f>
              <c:strCache>
                <c:ptCount val="1"/>
                <c:pt idx="0">
                  <c:v>Mittelwerte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'Calibration Plates'!$T$78:$T$85</c:f>
                <c:numCache>
                  <c:formatCode>General</c:formatCode>
                  <c:ptCount val="8"/>
                </c:numCache>
              </c:numRef>
            </c:plus>
            <c:minus>
              <c:numRef>
                <c:f>'Calibration Plates'!$T$78:$T$85</c:f>
                <c:numCache>
                  <c:formatCode>General</c:formatCode>
                  <c:ptCount val="8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'Calibration Plates'!$Q$78:$Q$85</c:f>
              <c:numCache>
                <c:formatCode>General</c:formatCode>
                <c:ptCount val="8"/>
                <c:pt idx="1">
                  <c:v>14905.888888888889</c:v>
                </c:pt>
                <c:pt idx="2">
                  <c:v>15387.222222222223</c:v>
                </c:pt>
                <c:pt idx="3">
                  <c:v>13726.111111111111</c:v>
                </c:pt>
                <c:pt idx="4">
                  <c:v>13736.111111111111</c:v>
                </c:pt>
                <c:pt idx="5">
                  <c:v>13833.666666666666</c:v>
                </c:pt>
                <c:pt idx="6">
                  <c:v>13903.888888888889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E-456A-B114-C4EAA4F1C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234512"/>
        <c:axId val="460234840"/>
      </c:barChart>
      <c:catAx>
        <c:axId val="46023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34840"/>
        <c:crosses val="autoZero"/>
        <c:auto val="1"/>
        <c:lblAlgn val="ctr"/>
        <c:lblOffset val="100"/>
        <c:noMultiLvlLbl val="0"/>
      </c:catAx>
      <c:valAx>
        <c:axId val="46023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23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'Calibration Plates'!$C$93</c:f>
              <c:strCache>
                <c:ptCount val="1"/>
                <c:pt idx="0">
                  <c:v>Mittelwert</c:v>
                </c:pt>
              </c:strCache>
            </c:strRef>
          </c:tx>
          <c:spPr>
            <a:ln w="19050">
              <a:noFill/>
            </a:ln>
          </c:spPr>
          <c:errBars>
            <c:errDir val="x"/>
            <c:errBarType val="both"/>
            <c:errValType val="fixedVal"/>
            <c:noEndCap val="0"/>
            <c:val val="0"/>
          </c:errBars>
          <c:errBars>
            <c:errDir val="y"/>
            <c:errBarType val="both"/>
            <c:errValType val="cust"/>
            <c:noEndCap val="0"/>
            <c:plus>
              <c:numRef>
                <c:f>'Calibration Plates'!$D$94:$L$94</c:f>
                <c:numCache>
                  <c:formatCode>General</c:formatCode>
                  <c:ptCount val="9"/>
                  <c:pt idx="0">
                    <c:v>4.0312251419018214E-4</c:v>
                  </c:pt>
                  <c:pt idx="1">
                    <c:v>1.6044006417602566E-4</c:v>
                  </c:pt>
                  <c:pt idx="2">
                    <c:v>3.1683542085181538E-4</c:v>
                  </c:pt>
                  <c:pt idx="3">
                    <c:v>1.7392242251014549E-4</c:v>
                  </c:pt>
                  <c:pt idx="4">
                    <c:v>3.2627307168569929E-4</c:v>
                  </c:pt>
                  <c:pt idx="5">
                    <c:v>5.2581197503067236E-4</c:v>
                  </c:pt>
                  <c:pt idx="6">
                    <c:v>1.6084453492604927E-3</c:v>
                  </c:pt>
                  <c:pt idx="7">
                    <c:v>2.1800973426271725E-3</c:v>
                  </c:pt>
                  <c:pt idx="8">
                    <c:v>5.9659435628480134E-3</c:v>
                  </c:pt>
                </c:numCache>
              </c:numRef>
            </c:plus>
            <c:minus>
              <c:numRef>
                <c:f>'Calibration Plates'!$D$94:$L$94</c:f>
                <c:numCache>
                  <c:formatCode>General</c:formatCode>
                  <c:ptCount val="9"/>
                  <c:pt idx="0">
                    <c:v>4.0312251419018214E-4</c:v>
                  </c:pt>
                  <c:pt idx="1">
                    <c:v>1.6044006417602566E-4</c:v>
                  </c:pt>
                  <c:pt idx="2">
                    <c:v>3.1683542085181538E-4</c:v>
                  </c:pt>
                  <c:pt idx="3">
                    <c:v>1.7392242251014549E-4</c:v>
                  </c:pt>
                  <c:pt idx="4">
                    <c:v>3.2627307168569929E-4</c:v>
                  </c:pt>
                  <c:pt idx="5">
                    <c:v>5.2581197503067236E-4</c:v>
                  </c:pt>
                  <c:pt idx="6">
                    <c:v>1.6084453492604927E-3</c:v>
                  </c:pt>
                  <c:pt idx="7">
                    <c:v>2.1800973426271725E-3</c:v>
                  </c:pt>
                  <c:pt idx="8">
                    <c:v>5.9659435628480134E-3</c:v>
                  </c:pt>
                </c:numCache>
              </c:numRef>
            </c:minus>
          </c:errBars>
          <c:xVal>
            <c:numRef>
              <c:f>'Calibration Plates'!$D$92:$L$92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800</c:v>
                </c:pt>
                <c:pt idx="6">
                  <c:v>1600</c:v>
                </c:pt>
                <c:pt idx="7">
                  <c:v>3200</c:v>
                </c:pt>
                <c:pt idx="8">
                  <c:v>6400</c:v>
                </c:pt>
              </c:numCache>
            </c:numRef>
          </c:xVal>
          <c:yVal>
            <c:numRef>
              <c:f>'Calibration Plates'!$D$93:$L$93</c:f>
              <c:numCache>
                <c:formatCode>General</c:formatCode>
                <c:ptCount val="9"/>
                <c:pt idx="0">
                  <c:v>0</c:v>
                </c:pt>
                <c:pt idx="1">
                  <c:v>6.1749201170268708E-4</c:v>
                </c:pt>
                <c:pt idx="2">
                  <c:v>1.2848687492416173E-3</c:v>
                </c:pt>
                <c:pt idx="3">
                  <c:v>2.2272855967965916E-3</c:v>
                </c:pt>
                <c:pt idx="4">
                  <c:v>4.7875854444459423E-3</c:v>
                </c:pt>
                <c:pt idx="5">
                  <c:v>1.0287039408933411E-2</c:v>
                </c:pt>
                <c:pt idx="6">
                  <c:v>2.0899003653719109E-2</c:v>
                </c:pt>
                <c:pt idx="7">
                  <c:v>4.066818567903898E-2</c:v>
                </c:pt>
                <c:pt idx="8">
                  <c:v>9.2127650968707453E-2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7FC-4D24-BC0E-1B05F6EDB5C5}"/>
            </c:ext>
          </c:extLst>
        </c:ser>
        <c:ser>
          <c:idx val="0"/>
          <c:order val="1"/>
          <c:tx>
            <c:strRef>
              <c:f>'Calibration Plates'!$C$93</c:f>
              <c:strCache>
                <c:ptCount val="1"/>
                <c:pt idx="0">
                  <c:v>Mittelwert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'Calibration Plates'!$D$94:$L$94</c:f>
                <c:numCache>
                  <c:formatCode>General</c:formatCode>
                  <c:ptCount val="9"/>
                  <c:pt idx="0">
                    <c:v>4.0312251419018214E-4</c:v>
                  </c:pt>
                  <c:pt idx="1">
                    <c:v>1.6044006417602566E-4</c:v>
                  </c:pt>
                  <c:pt idx="2">
                    <c:v>3.1683542085181538E-4</c:v>
                  </c:pt>
                  <c:pt idx="3">
                    <c:v>1.7392242251014549E-4</c:v>
                  </c:pt>
                  <c:pt idx="4">
                    <c:v>3.2627307168569929E-4</c:v>
                  </c:pt>
                  <c:pt idx="5">
                    <c:v>5.2581197503067236E-4</c:v>
                  </c:pt>
                  <c:pt idx="6">
                    <c:v>1.6084453492604927E-3</c:v>
                  </c:pt>
                  <c:pt idx="7">
                    <c:v>2.1800973426271725E-3</c:v>
                  </c:pt>
                  <c:pt idx="8">
                    <c:v>5.9659435628480134E-3</c:v>
                  </c:pt>
                </c:numCache>
              </c:numRef>
            </c:plus>
            <c:minus>
              <c:numRef>
                <c:f>'Calibration Plates'!$D$94:$L$94</c:f>
                <c:numCache>
                  <c:formatCode>General</c:formatCode>
                  <c:ptCount val="9"/>
                  <c:pt idx="0">
                    <c:v>4.0312251419018214E-4</c:v>
                  </c:pt>
                  <c:pt idx="1">
                    <c:v>1.6044006417602566E-4</c:v>
                  </c:pt>
                  <c:pt idx="2">
                    <c:v>3.1683542085181538E-4</c:v>
                  </c:pt>
                  <c:pt idx="3">
                    <c:v>1.7392242251014549E-4</c:v>
                  </c:pt>
                  <c:pt idx="4">
                    <c:v>3.2627307168569929E-4</c:v>
                  </c:pt>
                  <c:pt idx="5">
                    <c:v>5.2581197503067236E-4</c:v>
                  </c:pt>
                  <c:pt idx="6">
                    <c:v>1.6084453492604927E-3</c:v>
                  </c:pt>
                  <c:pt idx="7">
                    <c:v>2.1800973426271725E-3</c:v>
                  </c:pt>
                  <c:pt idx="8">
                    <c:v>5.9659435628480134E-3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'Calibration Plates'!$D$92:$L$92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800</c:v>
                </c:pt>
                <c:pt idx="6">
                  <c:v>1600</c:v>
                </c:pt>
                <c:pt idx="7">
                  <c:v>3200</c:v>
                </c:pt>
                <c:pt idx="8">
                  <c:v>6400</c:v>
                </c:pt>
              </c:numCache>
            </c:numRef>
          </c:xVal>
          <c:yVal>
            <c:numRef>
              <c:f>'Calibration Plates'!$D$93:$L$93</c:f>
              <c:numCache>
                <c:formatCode>General</c:formatCode>
                <c:ptCount val="9"/>
                <c:pt idx="0">
                  <c:v>0</c:v>
                </c:pt>
                <c:pt idx="1">
                  <c:v>6.1749201170268708E-4</c:v>
                </c:pt>
                <c:pt idx="2">
                  <c:v>1.2848687492416173E-3</c:v>
                </c:pt>
                <c:pt idx="3">
                  <c:v>2.2272855967965916E-3</c:v>
                </c:pt>
                <c:pt idx="4">
                  <c:v>4.7875854444459423E-3</c:v>
                </c:pt>
                <c:pt idx="5">
                  <c:v>1.0287039408933411E-2</c:v>
                </c:pt>
                <c:pt idx="6">
                  <c:v>2.0899003653719109E-2</c:v>
                </c:pt>
                <c:pt idx="7">
                  <c:v>4.066818567903898E-2</c:v>
                </c:pt>
                <c:pt idx="8">
                  <c:v>9.2127650968707453E-2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FC-4D24-BC0E-1B05F6EDB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753936"/>
        <c:axId val="670754592"/>
      </c:scatterChart>
      <c:valAx>
        <c:axId val="67075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54592"/>
        <c:crosses val="autoZero"/>
        <c:crossBetween val="midCat"/>
      </c:valAx>
      <c:valAx>
        <c:axId val="670754592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5393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 Plates'!$S$93</c:f>
              <c:strCache>
                <c:ptCount val="1"/>
                <c:pt idx="0">
                  <c:v>Mittelwert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'Calibration Plates'!$D$94:$L$94</c:f>
                <c:numCache>
                  <c:formatCode>General</c:formatCode>
                  <c:ptCount val="9"/>
                  <c:pt idx="0">
                    <c:v>4.0312251419018214E-4</c:v>
                  </c:pt>
                  <c:pt idx="1">
                    <c:v>1.6044006417602566E-4</c:v>
                  </c:pt>
                  <c:pt idx="2">
                    <c:v>3.1683542085181538E-4</c:v>
                  </c:pt>
                  <c:pt idx="3">
                    <c:v>1.7392242251014549E-4</c:v>
                  </c:pt>
                  <c:pt idx="4">
                    <c:v>3.2627307168569929E-4</c:v>
                  </c:pt>
                  <c:pt idx="5">
                    <c:v>5.2581197503067236E-4</c:v>
                  </c:pt>
                  <c:pt idx="6">
                    <c:v>1.6084453492604927E-3</c:v>
                  </c:pt>
                  <c:pt idx="7">
                    <c:v>2.1800973426271725E-3</c:v>
                  </c:pt>
                  <c:pt idx="8">
                    <c:v>5.9659435628480134E-3</c:v>
                  </c:pt>
                </c:numCache>
              </c:numRef>
            </c:plus>
            <c:minus>
              <c:numRef>
                <c:f>'Calibration Plates'!$D$94:$L$94</c:f>
                <c:numCache>
                  <c:formatCode>General</c:formatCode>
                  <c:ptCount val="9"/>
                  <c:pt idx="0">
                    <c:v>4.0312251419018214E-4</c:v>
                  </c:pt>
                  <c:pt idx="1">
                    <c:v>1.6044006417602566E-4</c:v>
                  </c:pt>
                  <c:pt idx="2">
                    <c:v>3.1683542085181538E-4</c:v>
                  </c:pt>
                  <c:pt idx="3">
                    <c:v>1.7392242251014549E-4</c:v>
                  </c:pt>
                  <c:pt idx="4">
                    <c:v>3.2627307168569929E-4</c:v>
                  </c:pt>
                  <c:pt idx="5">
                    <c:v>5.2581197503067236E-4</c:v>
                  </c:pt>
                  <c:pt idx="6">
                    <c:v>1.6084453492604927E-3</c:v>
                  </c:pt>
                  <c:pt idx="7">
                    <c:v>2.1800973426271725E-3</c:v>
                  </c:pt>
                  <c:pt idx="8">
                    <c:v>5.9659435628480134E-3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'Calibration Plates'!$T$92:$AB$92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800</c:v>
                </c:pt>
                <c:pt idx="6">
                  <c:v>1600</c:v>
                </c:pt>
                <c:pt idx="7">
                  <c:v>3200</c:v>
                </c:pt>
                <c:pt idx="8">
                  <c:v>6400</c:v>
                </c:pt>
              </c:numCache>
            </c:numRef>
          </c:xVal>
          <c:yVal>
            <c:numRef>
              <c:f>'Calibration Plates'!$T$93:$AB$93</c:f>
              <c:numCache>
                <c:formatCode>General</c:formatCode>
                <c:ptCount val="9"/>
                <c:pt idx="0">
                  <c:v>0</c:v>
                </c:pt>
                <c:pt idx="1">
                  <c:v>5.8513435170079955</c:v>
                </c:pt>
                <c:pt idx="2">
                  <c:v>8.6691564088390347</c:v>
                </c:pt>
                <c:pt idx="3">
                  <c:v>23.809844818055574</c:v>
                </c:pt>
                <c:pt idx="4">
                  <c:v>44.788394385945992</c:v>
                </c:pt>
                <c:pt idx="5">
                  <c:v>85.950034380013747</c:v>
                </c:pt>
                <c:pt idx="6">
                  <c:v>177.31997681034366</c:v>
                </c:pt>
                <c:pt idx="7">
                  <c:v>344.66300845343869</c:v>
                </c:pt>
                <c:pt idx="8">
                  <c:v>720.44329994202587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CF-42C4-A9D8-AF4DF67A8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753936"/>
        <c:axId val="670754592"/>
      </c:scatterChart>
      <c:valAx>
        <c:axId val="67075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54592"/>
        <c:crosses val="autoZero"/>
        <c:crossBetween val="midCat"/>
      </c:valAx>
      <c:valAx>
        <c:axId val="670754592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5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 Plates'!$S$93</c:f>
              <c:strCache>
                <c:ptCount val="1"/>
                <c:pt idx="0">
                  <c:v>Mittelwert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'Calibration Plates'!$D$94:$L$94</c:f>
                <c:numCache>
                  <c:formatCode>General</c:formatCode>
                  <c:ptCount val="9"/>
                  <c:pt idx="0">
                    <c:v>4.0312251419018214E-4</c:v>
                  </c:pt>
                  <c:pt idx="1">
                    <c:v>1.6044006417602566E-4</c:v>
                  </c:pt>
                  <c:pt idx="2">
                    <c:v>3.1683542085181538E-4</c:v>
                  </c:pt>
                  <c:pt idx="3">
                    <c:v>1.7392242251014549E-4</c:v>
                  </c:pt>
                  <c:pt idx="4">
                    <c:v>3.2627307168569929E-4</c:v>
                  </c:pt>
                  <c:pt idx="5">
                    <c:v>5.2581197503067236E-4</c:v>
                  </c:pt>
                  <c:pt idx="6">
                    <c:v>1.6084453492604927E-3</c:v>
                  </c:pt>
                  <c:pt idx="7">
                    <c:v>2.1800973426271725E-3</c:v>
                  </c:pt>
                  <c:pt idx="8">
                    <c:v>5.9659435628480134E-3</c:v>
                  </c:pt>
                </c:numCache>
              </c:numRef>
            </c:plus>
            <c:minus>
              <c:numRef>
                <c:f>'Calibration Plates'!$D$94:$L$94</c:f>
                <c:numCache>
                  <c:formatCode>General</c:formatCode>
                  <c:ptCount val="9"/>
                  <c:pt idx="0">
                    <c:v>4.0312251419018214E-4</c:v>
                  </c:pt>
                  <c:pt idx="1">
                    <c:v>1.6044006417602566E-4</c:v>
                  </c:pt>
                  <c:pt idx="2">
                    <c:v>3.1683542085181538E-4</c:v>
                  </c:pt>
                  <c:pt idx="3">
                    <c:v>1.7392242251014549E-4</c:v>
                  </c:pt>
                  <c:pt idx="4">
                    <c:v>3.2627307168569929E-4</c:v>
                  </c:pt>
                  <c:pt idx="5">
                    <c:v>5.2581197503067236E-4</c:v>
                  </c:pt>
                  <c:pt idx="6">
                    <c:v>1.6084453492604927E-3</c:v>
                  </c:pt>
                  <c:pt idx="7">
                    <c:v>2.1800973426271725E-3</c:v>
                  </c:pt>
                  <c:pt idx="8">
                    <c:v>5.9659435628480134E-3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'Calibration Plates'!$AK$92:$AS$92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800</c:v>
                </c:pt>
                <c:pt idx="6">
                  <c:v>1600</c:v>
                </c:pt>
                <c:pt idx="7">
                  <c:v>3200</c:v>
                </c:pt>
                <c:pt idx="8">
                  <c:v>6400</c:v>
                </c:pt>
              </c:numCache>
            </c:numRef>
          </c:xVal>
          <c:yVal>
            <c:numRef>
              <c:f>'Calibration Plates'!$AK$93:$AS$93</c:f>
              <c:numCache>
                <c:formatCode>General</c:formatCode>
                <c:ptCount val="9"/>
                <c:pt idx="0">
                  <c:v>0</c:v>
                </c:pt>
                <c:pt idx="1">
                  <c:v>12.794758059079694</c:v>
                </c:pt>
                <c:pt idx="2">
                  <c:v>23.418856426366098</c:v>
                </c:pt>
                <c:pt idx="3">
                  <c:v>38.006768143883733</c:v>
                </c:pt>
                <c:pt idx="4">
                  <c:v>64.634425853770338</c:v>
                </c:pt>
                <c:pt idx="5">
                  <c:v>131.80353507435521</c:v>
                </c:pt>
                <c:pt idx="6">
                  <c:v>253.2526189481064</c:v>
                </c:pt>
                <c:pt idx="7">
                  <c:v>489.73318412856776</c:v>
                </c:pt>
                <c:pt idx="8">
                  <c:v>1164.0398538512356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4E-480D-8C8E-BAB9DB82D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753936"/>
        <c:axId val="670754592"/>
      </c:scatterChart>
      <c:valAx>
        <c:axId val="67075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54592"/>
        <c:crosses val="autoZero"/>
        <c:crossBetween val="midCat"/>
      </c:valAx>
      <c:valAx>
        <c:axId val="670754592"/>
        <c:scaling>
          <c:orientation val="minMax"/>
          <c:max val="1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53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'Drug Background Test'!$D$83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'Drug Background Test'!$E$84:$E$88</c:f>
                <c:numCache>
                  <c:formatCode>General</c:formatCode>
                  <c:ptCount val="5"/>
                  <c:pt idx="0">
                    <c:v>132</c:v>
                  </c:pt>
                  <c:pt idx="1">
                    <c:v>123</c:v>
                  </c:pt>
                  <c:pt idx="2">
                    <c:v>152</c:v>
                  </c:pt>
                  <c:pt idx="3">
                    <c:v>64</c:v>
                  </c:pt>
                  <c:pt idx="4">
                    <c:v>206</c:v>
                  </c:pt>
                </c:numCache>
              </c:numRef>
            </c:plus>
            <c:minus>
              <c:numRef>
                <c:f>'Drug Background Test'!$E$84:$E$88</c:f>
                <c:numCache>
                  <c:formatCode>General</c:formatCode>
                  <c:ptCount val="5"/>
                  <c:pt idx="0">
                    <c:v>132</c:v>
                  </c:pt>
                  <c:pt idx="1">
                    <c:v>123</c:v>
                  </c:pt>
                  <c:pt idx="2">
                    <c:v>152</c:v>
                  </c:pt>
                  <c:pt idx="3">
                    <c:v>64</c:v>
                  </c:pt>
                  <c:pt idx="4">
                    <c:v>206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'Drug Background Test'!$C$84:$C$88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xVal>
          <c:yVal>
            <c:numRef>
              <c:f>'Drug Background Test'!$D$84:$D$88</c:f>
              <c:numCache>
                <c:formatCode>General</c:formatCode>
                <c:ptCount val="5"/>
                <c:pt idx="0">
                  <c:v>0</c:v>
                </c:pt>
                <c:pt idx="1">
                  <c:v>-227</c:v>
                </c:pt>
                <c:pt idx="2">
                  <c:v>-235</c:v>
                </c:pt>
                <c:pt idx="3">
                  <c:v>-46</c:v>
                </c:pt>
                <c:pt idx="4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8-48E6-AF92-2BBB8AA7F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220832"/>
        <c:axId val="427225424"/>
      </c:scatterChart>
      <c:valAx>
        <c:axId val="42722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25424"/>
        <c:crosses val="autoZero"/>
        <c:crossBetween val="midCat"/>
      </c:valAx>
      <c:valAx>
        <c:axId val="42722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22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'Drug Background Test'!$I$83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'Drug Background Test'!$J$84:$J$89</c:f>
                <c:numCache>
                  <c:formatCode>General</c:formatCode>
                  <c:ptCount val="6"/>
                  <c:pt idx="0">
                    <c:v>132</c:v>
                  </c:pt>
                  <c:pt idx="1">
                    <c:v>105</c:v>
                  </c:pt>
                  <c:pt idx="2">
                    <c:v>85</c:v>
                  </c:pt>
                  <c:pt idx="3">
                    <c:v>129</c:v>
                  </c:pt>
                  <c:pt idx="4">
                    <c:v>117</c:v>
                  </c:pt>
                  <c:pt idx="5">
                    <c:v>118</c:v>
                  </c:pt>
                </c:numCache>
              </c:numRef>
            </c:plus>
            <c:minus>
              <c:numRef>
                <c:f>'Drug Background Test'!$J$84:$J$89</c:f>
                <c:numCache>
                  <c:formatCode>General</c:formatCode>
                  <c:ptCount val="6"/>
                  <c:pt idx="0">
                    <c:v>132</c:v>
                  </c:pt>
                  <c:pt idx="1">
                    <c:v>105</c:v>
                  </c:pt>
                  <c:pt idx="2">
                    <c:v>85</c:v>
                  </c:pt>
                  <c:pt idx="3">
                    <c:v>129</c:v>
                  </c:pt>
                  <c:pt idx="4">
                    <c:v>117</c:v>
                  </c:pt>
                  <c:pt idx="5">
                    <c:v>118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'Drug Background Test'!$H$84:$H$89</c:f>
              <c:numCache>
                <c:formatCode>General</c:formatCode>
                <c:ptCount val="6"/>
                <c:pt idx="0">
                  <c:v>0</c:v>
                </c:pt>
                <c:pt idx="1">
                  <c:v>8.0000000000000002E-3</c:v>
                </c:pt>
                <c:pt idx="2">
                  <c:v>0.04</c:v>
                </c:pt>
                <c:pt idx="3">
                  <c:v>0.2</c:v>
                </c:pt>
                <c:pt idx="4">
                  <c:v>1</c:v>
                </c:pt>
                <c:pt idx="5">
                  <c:v>5</c:v>
                </c:pt>
              </c:numCache>
            </c:numRef>
          </c:xVal>
          <c:yVal>
            <c:numRef>
              <c:f>'Drug Background Test'!$I$84:$I$89</c:f>
              <c:numCache>
                <c:formatCode>General</c:formatCode>
                <c:ptCount val="6"/>
                <c:pt idx="0">
                  <c:v>0</c:v>
                </c:pt>
                <c:pt idx="1">
                  <c:v>-188</c:v>
                </c:pt>
                <c:pt idx="2">
                  <c:v>-239</c:v>
                </c:pt>
                <c:pt idx="3">
                  <c:v>-190</c:v>
                </c:pt>
                <c:pt idx="4">
                  <c:v>-106</c:v>
                </c:pt>
                <c:pt idx="5">
                  <c:v>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6D-411C-A5E8-6DCF4531B7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26398440"/>
        <c:axId val="626393192"/>
      </c:scatterChart>
      <c:valAx>
        <c:axId val="6263984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93192"/>
        <c:crosses val="autoZero"/>
        <c:crossBetween val="midCat"/>
      </c:valAx>
      <c:valAx>
        <c:axId val="62639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98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'G418 alpha-2'!$AR$83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'G418 alpha-2'!$AS$82:$BD$82</c:f>
              <c:numCache>
                <c:formatCode>General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cat>
          <c:val>
            <c:numRef>
              <c:f>'G418 alpha-2'!$AS$83:$BD$83</c:f>
              <c:numCache>
                <c:formatCode>General</c:formatCode>
                <c:ptCount val="12"/>
                <c:pt idx="0">
                  <c:v>4729.5381350670123</c:v>
                </c:pt>
                <c:pt idx="1">
                  <c:v>4731.9554585374026</c:v>
                </c:pt>
                <c:pt idx="2">
                  <c:v>5056.9511695564697</c:v>
                </c:pt>
                <c:pt idx="3">
                  <c:v>4344.2883982860076</c:v>
                </c:pt>
                <c:pt idx="4">
                  <c:v>2707.4022868365287</c:v>
                </c:pt>
                <c:pt idx="5">
                  <c:v>2474.5334591889823</c:v>
                </c:pt>
                <c:pt idx="6">
                  <c:v>2806.4327719858229</c:v>
                </c:pt>
                <c:pt idx="7">
                  <c:v>2692.3882226716405</c:v>
                </c:pt>
                <c:pt idx="8">
                  <c:v>2149.7307463141069</c:v>
                </c:pt>
                <c:pt idx="9">
                  <c:v>2095.5010317113124</c:v>
                </c:pt>
                <c:pt idx="10">
                  <c:v>1755.0789528343003</c:v>
                </c:pt>
                <c:pt idx="11">
                  <c:v>1563.8336304061722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2-4314-87A8-6FC699F11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997752"/>
        <c:axId val="420998408"/>
      </c:barChart>
      <c:catAx>
        <c:axId val="4209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98408"/>
        <c:crosses val="autoZero"/>
        <c:auto val="1"/>
        <c:lblAlgn val="ctr"/>
        <c:lblOffset val="100"/>
        <c:noMultiLvlLbl val="0"/>
      </c:catAx>
      <c:valAx>
        <c:axId val="42099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'G418 alpha-2'!$AR$83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'G418 alpha-2'!$BY$82:$CJ$82</c:f>
              <c:numCache>
                <c:formatCode>General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cat>
          <c:val>
            <c:numRef>
              <c:f>'G418 alpha-2'!$BY$83:$CJ$83</c:f>
              <c:numCache>
                <c:formatCode>General</c:formatCode>
                <c:ptCount val="12"/>
                <c:pt idx="0">
                  <c:v>22240.188413929816</c:v>
                </c:pt>
                <c:pt idx="1">
                  <c:v>16068.44813770401</c:v>
                </c:pt>
                <c:pt idx="2">
                  <c:v>9533.5355605350414</c:v>
                </c:pt>
                <c:pt idx="3">
                  <c:v>4758.0999746278449</c:v>
                </c:pt>
                <c:pt idx="4">
                  <c:v>2987.5912307337558</c:v>
                </c:pt>
                <c:pt idx="5">
                  <c:v>2293.5539044134885</c:v>
                </c:pt>
                <c:pt idx="6">
                  <c:v>1043.5040740342317</c:v>
                </c:pt>
                <c:pt idx="7">
                  <c:v>1124.1915103297865</c:v>
                </c:pt>
                <c:pt idx="8">
                  <c:v>778.28643022831375</c:v>
                </c:pt>
                <c:pt idx="9">
                  <c:v>567.3947645021841</c:v>
                </c:pt>
                <c:pt idx="10">
                  <c:v>573.98512905612563</c:v>
                </c:pt>
                <c:pt idx="11">
                  <c:v>924.43221716099049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C-463D-89E5-04095EE44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997752"/>
        <c:axId val="420998408"/>
      </c:barChart>
      <c:catAx>
        <c:axId val="4209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98408"/>
        <c:crosses val="autoZero"/>
        <c:auto val="1"/>
        <c:lblAlgn val="ctr"/>
        <c:lblOffset val="100"/>
        <c:noMultiLvlLbl val="0"/>
      </c:catAx>
      <c:valAx>
        <c:axId val="42099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'G418 alpha-2'!$AR$83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'G418 alpha-2'!$DE$82:$DP$82</c:f>
              <c:numCache>
                <c:formatCode>General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cat>
          <c:val>
            <c:numRef>
              <c:f>'G418 alpha-2'!$DE$83:$DP$83</c:f>
              <c:numCache>
                <c:formatCode>General</c:formatCode>
                <c:ptCount val="12"/>
                <c:pt idx="0">
                  <c:v>47543.561943464061</c:v>
                </c:pt>
                <c:pt idx="1">
                  <c:v>39538.22741588785</c:v>
                </c:pt>
                <c:pt idx="2">
                  <c:v>22867.626196630819</c:v>
                </c:pt>
                <c:pt idx="3">
                  <c:v>8293.1265243900762</c:v>
                </c:pt>
                <c:pt idx="4">
                  <c:v>1779.5033447033738</c:v>
                </c:pt>
                <c:pt idx="5">
                  <c:v>855.99440028249603</c:v>
                </c:pt>
                <c:pt idx="6">
                  <c:v>481.43053669840282</c:v>
                </c:pt>
                <c:pt idx="7">
                  <c:v>168.9545284661186</c:v>
                </c:pt>
                <c:pt idx="8">
                  <c:v>172.81891395763091</c:v>
                </c:pt>
                <c:pt idx="9">
                  <c:v>127.79432951001098</c:v>
                </c:pt>
                <c:pt idx="10">
                  <c:v>170.66204763678681</c:v>
                </c:pt>
                <c:pt idx="11">
                  <c:v>267.09194606452371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D-4C1F-9B53-DA2401E89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997752"/>
        <c:axId val="420998408"/>
      </c:barChart>
      <c:catAx>
        <c:axId val="42099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98408"/>
        <c:crosses val="autoZero"/>
        <c:auto val="1"/>
        <c:lblAlgn val="ctr"/>
        <c:lblOffset val="100"/>
        <c:noMultiLvlLbl val="0"/>
      </c:catAx>
      <c:valAx>
        <c:axId val="42099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97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'G418 alpha-2'!$A$283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alpha-2'!$B$283:$E$283</c:f>
              <c:numCache>
                <c:formatCode>General</c:formatCode>
                <c:ptCount val="4"/>
                <c:pt idx="0">
                  <c:v>1</c:v>
                </c:pt>
                <c:pt idx="1">
                  <c:v>3.3822500000000004</c:v>
                </c:pt>
                <c:pt idx="2">
                  <c:v>15.983499999999999</c:v>
                </c:pt>
                <c:pt idx="3">
                  <c:v>34.15475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91-4626-9747-9069696B6FBF}"/>
            </c:ext>
          </c:extLst>
        </c:ser>
        <c:ser>
          <c:idx val="1"/>
          <c:order val="1"/>
          <c:tx>
            <c:strRef>
              <c:f>'G418 alpha-2'!$A$284</c:f>
              <c:strCache>
                <c:ptCount val="1"/>
                <c:pt idx="0">
                  <c:v>0.025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alpha-2'!$B$284:$E$284</c:f>
              <c:numCache>
                <c:formatCode>General</c:formatCode>
                <c:ptCount val="4"/>
                <c:pt idx="0">
                  <c:v>1</c:v>
                </c:pt>
                <c:pt idx="1">
                  <c:v>3.0612500000000002</c:v>
                </c:pt>
                <c:pt idx="2">
                  <c:v>10.439375</c:v>
                </c:pt>
                <c:pt idx="3">
                  <c:v>25.590499999999999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91-4626-9747-9069696B6FBF}"/>
            </c:ext>
          </c:extLst>
        </c:ser>
        <c:ser>
          <c:idx val="2"/>
          <c:order val="2"/>
          <c:tx>
            <c:strRef>
              <c:f>'G418 alpha-2'!$A$285</c:f>
              <c:strCache>
                <c:ptCount val="1"/>
                <c:pt idx="0">
                  <c:v>0.05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alpha-2'!$B$285:$E$285</c:f>
              <c:numCache>
                <c:formatCode>General</c:formatCode>
                <c:ptCount val="4"/>
                <c:pt idx="0">
                  <c:v>1</c:v>
                </c:pt>
                <c:pt idx="1">
                  <c:v>3.1568749999999999</c:v>
                </c:pt>
                <c:pt idx="2">
                  <c:v>5.9292500000000006</c:v>
                </c:pt>
                <c:pt idx="3">
                  <c:v>14.205625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91-4626-9747-9069696B6FBF}"/>
            </c:ext>
          </c:extLst>
        </c:ser>
        <c:ser>
          <c:idx val="3"/>
          <c:order val="3"/>
          <c:tx>
            <c:strRef>
              <c:f>'G418 alpha-2'!$A$286</c:f>
              <c:strCache>
                <c:ptCount val="1"/>
                <c:pt idx="0">
                  <c:v>0.1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alpha-2'!$B$286:$E$286</c:f>
              <c:numCache>
                <c:formatCode>General</c:formatCode>
                <c:ptCount val="4"/>
                <c:pt idx="0">
                  <c:v>1</c:v>
                </c:pt>
                <c:pt idx="1">
                  <c:v>2.7926250000000001</c:v>
                </c:pt>
                <c:pt idx="2">
                  <c:v>3.0778750000000006</c:v>
                </c:pt>
                <c:pt idx="3">
                  <c:v>5.2609999999999992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91-4626-9747-9069696B6FBF}"/>
            </c:ext>
          </c:extLst>
        </c:ser>
        <c:ser>
          <c:idx val="4"/>
          <c:order val="4"/>
          <c:tx>
            <c:strRef>
              <c:f>'G418 alpha-2'!$A$287</c:f>
              <c:strCache>
                <c:ptCount val="1"/>
                <c:pt idx="0">
                  <c:v>0.2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alpha-2'!$B$287:$E$287</c:f>
              <c:numCache>
                <c:formatCode>General</c:formatCode>
                <c:ptCount val="4"/>
                <c:pt idx="0">
                  <c:v>1</c:v>
                </c:pt>
                <c:pt idx="1">
                  <c:v>1.86375</c:v>
                </c:pt>
                <c:pt idx="2">
                  <c:v>2.0531250000000001</c:v>
                </c:pt>
                <c:pt idx="3">
                  <c:v>1.2220000000000002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91-4626-9747-9069696B6FBF}"/>
            </c:ext>
          </c:extLst>
        </c:ser>
        <c:ser>
          <c:idx val="5"/>
          <c:order val="5"/>
          <c:tx>
            <c:strRef>
              <c:f>'G418 alpha-2'!$A$288</c:f>
              <c:strCache>
                <c:ptCount val="1"/>
                <c:pt idx="0">
                  <c:v>0.3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alpha-2'!$B$288:$E$288</c:f>
              <c:numCache>
                <c:formatCode>General</c:formatCode>
                <c:ptCount val="4"/>
                <c:pt idx="0">
                  <c:v>1</c:v>
                </c:pt>
                <c:pt idx="1">
                  <c:v>1.7661250000000002</c:v>
                </c:pt>
                <c:pt idx="2">
                  <c:v>1.6451250000000002</c:v>
                </c:pt>
                <c:pt idx="3">
                  <c:v>0.60324999999999995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91-4626-9747-9069696B6FBF}"/>
            </c:ext>
          </c:extLst>
        </c:ser>
        <c:ser>
          <c:idx val="6"/>
          <c:order val="6"/>
          <c:tx>
            <c:strRef>
              <c:f>'G418 alpha-2'!$A$289</c:f>
              <c:strCache>
                <c:ptCount val="1"/>
                <c:pt idx="0">
                  <c:v>0.4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alpha-2'!$B$289:$E$289</c:f>
              <c:numCache>
                <c:formatCode>General</c:formatCode>
                <c:ptCount val="4"/>
                <c:pt idx="0">
                  <c:v>1</c:v>
                </c:pt>
                <c:pt idx="1">
                  <c:v>1.5371249999999999</c:v>
                </c:pt>
                <c:pt idx="2">
                  <c:v>0.57024999999999992</c:v>
                </c:pt>
                <c:pt idx="3">
                  <c:v>0.26600000000000001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91-4626-9747-9069696B6FBF}"/>
            </c:ext>
          </c:extLst>
        </c:ser>
        <c:ser>
          <c:idx val="7"/>
          <c:order val="7"/>
          <c:tx>
            <c:strRef>
              <c:f>'G418 alpha-2'!$A$290</c:f>
              <c:strCache>
                <c:ptCount val="1"/>
                <c:pt idx="0">
                  <c:v>0.6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alpha-2'!$B$290:$E$290</c:f>
              <c:numCache>
                <c:formatCode>General</c:formatCode>
                <c:ptCount val="4"/>
                <c:pt idx="0">
                  <c:v>1</c:v>
                </c:pt>
                <c:pt idx="1">
                  <c:v>1.380125</c:v>
                </c:pt>
                <c:pt idx="2">
                  <c:v>0.57250000000000012</c:v>
                </c:pt>
                <c:pt idx="3">
                  <c:v>8.7624999999999981E-2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91-4626-9747-9069696B6FBF}"/>
            </c:ext>
          </c:extLst>
        </c:ser>
        <c:ser>
          <c:idx val="8"/>
          <c:order val="8"/>
          <c:tx>
            <c:strRef>
              <c:f>'G418 alpha-2'!$A$291</c:f>
              <c:strCache>
                <c:ptCount val="1"/>
                <c:pt idx="0">
                  <c:v>0.8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alpha-2'!$B$291:$E$291</c:f>
              <c:numCache>
                <c:formatCode>General</c:formatCode>
                <c:ptCount val="4"/>
                <c:pt idx="0">
                  <c:v>1</c:v>
                </c:pt>
                <c:pt idx="1">
                  <c:v>1.095375</c:v>
                </c:pt>
                <c:pt idx="2">
                  <c:v>0.394625</c:v>
                </c:pt>
                <c:pt idx="3">
                  <c:v>8.9374999999999996E-2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891-4626-9747-9069696B6FBF}"/>
            </c:ext>
          </c:extLst>
        </c:ser>
        <c:ser>
          <c:idx val="9"/>
          <c:order val="9"/>
          <c:tx>
            <c:strRef>
              <c:f>'G418 alpha-2'!$A$292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alpha-2'!$B$292:$E$292</c:f>
              <c:numCache>
                <c:formatCode>General</c:formatCode>
                <c:ptCount val="4"/>
                <c:pt idx="0">
                  <c:v>1</c:v>
                </c:pt>
                <c:pt idx="1">
                  <c:v>1.020375</c:v>
                </c:pt>
                <c:pt idx="2">
                  <c:v>0.27312500000000001</c:v>
                </c:pt>
                <c:pt idx="3">
                  <c:v>6.2625E-2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91-4626-9747-9069696B6FBF}"/>
            </c:ext>
          </c:extLst>
        </c:ser>
        <c:ser>
          <c:idx val="10"/>
          <c:order val="10"/>
          <c:tx>
            <c:strRef>
              <c:f>'G418 alpha-2'!$A$293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alpha-2'!$B$293:$E$293</c:f>
              <c:numCache>
                <c:formatCode>General</c:formatCode>
                <c:ptCount val="4"/>
                <c:pt idx="0">
                  <c:v>1</c:v>
                </c:pt>
                <c:pt idx="1">
                  <c:v>0.863375</c:v>
                </c:pt>
                <c:pt idx="2">
                  <c:v>0.28162500000000001</c:v>
                </c:pt>
                <c:pt idx="3">
                  <c:v>8.4500000000000006E-2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891-4626-9747-9069696B6FBF}"/>
            </c:ext>
          </c:extLst>
        </c:ser>
        <c:ser>
          <c:idx val="11"/>
          <c:order val="11"/>
          <c:tx>
            <c:strRef>
              <c:f>'G418 alpha-2'!$A$294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'G418 alpha-2'!$B$282:$E$282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alpha-2'!$B$294:$E$294</c:f>
              <c:numCache>
                <c:formatCode>General</c:formatCode>
                <c:ptCount val="4"/>
                <c:pt idx="0">
                  <c:v>1</c:v>
                </c:pt>
                <c:pt idx="1">
                  <c:v>0.81437499999999996</c:v>
                </c:pt>
                <c:pt idx="2">
                  <c:v>0.484875</c:v>
                </c:pt>
                <c:pt idx="3">
                  <c:v>0.13950000000000001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891-4626-9747-9069696B6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560320"/>
        <c:axId val="531558352"/>
      </c:scatterChart>
      <c:valAx>
        <c:axId val="53156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58352"/>
        <c:crosses val="autoZero"/>
        <c:crossBetween val="midCat"/>
      </c:valAx>
      <c:valAx>
        <c:axId val="53155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560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'G418 alpha-3'!$AR$83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'G418 alpha-3'!$AS$82:$BD$82</c:f>
              <c:numCache>
                <c:formatCode>General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cat>
          <c:val>
            <c:numRef>
              <c:f>'G418 alpha-3'!$AS$83:$BD$83</c:f>
              <c:numCache>
                <c:formatCode>General</c:formatCode>
                <c:ptCount val="12"/>
                <c:pt idx="0">
                  <c:v>6123.4977081669667</c:v>
                </c:pt>
                <c:pt idx="1">
                  <c:v>5317.6313769923781</c:v>
                </c:pt>
                <c:pt idx="2">
                  <c:v>5510.6952670336432</c:v>
                </c:pt>
                <c:pt idx="3">
                  <c:v>4289.7302555124197</c:v>
                </c:pt>
                <c:pt idx="4">
                  <c:v>3920.351277145076</c:v>
                </c:pt>
                <c:pt idx="5">
                  <c:v>3438.936395412637</c:v>
                </c:pt>
                <c:pt idx="6">
                  <c:v>3360.0815633415132</c:v>
                </c:pt>
                <c:pt idx="7">
                  <c:v>3416.7611889165869</c:v>
                </c:pt>
                <c:pt idx="8">
                  <c:v>3513.2299116453623</c:v>
                </c:pt>
                <c:pt idx="9">
                  <c:v>2528.1380191505832</c:v>
                </c:pt>
                <c:pt idx="10">
                  <c:v>2199.9629870709068</c:v>
                </c:pt>
                <c:pt idx="11">
                  <c:v>2570.194301327288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07-4A83-A950-C0DAEDD60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031240"/>
        <c:axId val="359794336"/>
      </c:barChart>
      <c:catAx>
        <c:axId val="63203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94336"/>
        <c:crosses val="autoZero"/>
        <c:auto val="1"/>
        <c:lblAlgn val="ctr"/>
        <c:lblOffset val="100"/>
        <c:noMultiLvlLbl val="0"/>
      </c:catAx>
      <c:valAx>
        <c:axId val="3597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31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'G418 alpha-3'!$AR$83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'G418 alpha-3'!$BY$82:$CJ$82</c:f>
              <c:numCache>
                <c:formatCode>General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cat>
          <c:val>
            <c:numRef>
              <c:f>'G418 alpha-3'!$BY$83:$CJ$83</c:f>
              <c:numCache>
                <c:formatCode>General</c:formatCode>
                <c:ptCount val="12"/>
                <c:pt idx="0">
                  <c:v>33068.316855988516</c:v>
                </c:pt>
                <c:pt idx="1">
                  <c:v>21570.382975734716</c:v>
                </c:pt>
                <c:pt idx="2">
                  <c:v>15429.927765633123</c:v>
                </c:pt>
                <c:pt idx="3">
                  <c:v>7591.7745300449214</c:v>
                </c:pt>
                <c:pt idx="4">
                  <c:v>3230.4352744519538</c:v>
                </c:pt>
                <c:pt idx="5">
                  <c:v>2222.1055381023325</c:v>
                </c:pt>
                <c:pt idx="6">
                  <c:v>1655.3583109983003</c:v>
                </c:pt>
                <c:pt idx="7">
                  <c:v>1675.082203360919</c:v>
                </c:pt>
                <c:pt idx="8">
                  <c:v>1456.670739910453</c:v>
                </c:pt>
                <c:pt idx="9">
                  <c:v>1134.7367001612718</c:v>
                </c:pt>
                <c:pt idx="10">
                  <c:v>997.11519130345278</c:v>
                </c:pt>
                <c:pt idx="11">
                  <c:v>1103.7579313657466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9-4BDF-961A-4BA7BA13B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031240"/>
        <c:axId val="359794336"/>
      </c:barChart>
      <c:catAx>
        <c:axId val="63203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94336"/>
        <c:crosses val="autoZero"/>
        <c:auto val="1"/>
        <c:lblAlgn val="ctr"/>
        <c:lblOffset val="100"/>
        <c:noMultiLvlLbl val="0"/>
      </c:catAx>
      <c:valAx>
        <c:axId val="3597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31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'G418 alpha-3'!$AR$83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'G418 alpha-3'!$DE$82:$DP$82</c:f>
              <c:numCache>
                <c:formatCode>General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cat>
          <c:val>
            <c:numRef>
              <c:f>'G418 alpha-3'!$DE$83:$DP$83</c:f>
              <c:numCache>
                <c:formatCode>General</c:formatCode>
                <c:ptCount val="12"/>
                <c:pt idx="0">
                  <c:v>56068.132786023969</c:v>
                </c:pt>
                <c:pt idx="1">
                  <c:v>40423.544003976458</c:v>
                </c:pt>
                <c:pt idx="2">
                  <c:v>27758.196265633018</c:v>
                </c:pt>
                <c:pt idx="3">
                  <c:v>8100.6769967941555</c:v>
                </c:pt>
                <c:pt idx="4">
                  <c:v>1454.6691557845922</c:v>
                </c:pt>
                <c:pt idx="5">
                  <c:v>523.48883106764174</c:v>
                </c:pt>
                <c:pt idx="6">
                  <c:v>165.45400579189294</c:v>
                </c:pt>
                <c:pt idx="7">
                  <c:v>-21.308470442895306</c:v>
                </c:pt>
                <c:pt idx="8">
                  <c:v>-43.528533204203242</c:v>
                </c:pt>
                <c:pt idx="9">
                  <c:v>-30.766240746426373</c:v>
                </c:pt>
                <c:pt idx="10">
                  <c:v>-0.91159231841263344</c:v>
                </c:pt>
                <c:pt idx="11">
                  <c:v>146.88031230423556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7-4328-B279-BD3E64371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031240"/>
        <c:axId val="359794336"/>
      </c:barChart>
      <c:catAx>
        <c:axId val="63203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94336"/>
        <c:crosses val="autoZero"/>
        <c:auto val="1"/>
        <c:lblAlgn val="ctr"/>
        <c:lblOffset val="100"/>
        <c:noMultiLvlLbl val="0"/>
      </c:catAx>
      <c:valAx>
        <c:axId val="3597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31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'G418 alpha-3'!$A$283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alpha-3'!$B$283:$E$283</c:f>
              <c:numCache>
                <c:formatCode>General</c:formatCode>
                <c:ptCount val="4"/>
                <c:pt idx="0">
                  <c:v>1</c:v>
                </c:pt>
                <c:pt idx="1">
                  <c:v>4.0772499999999994</c:v>
                </c:pt>
                <c:pt idx="2">
                  <c:v>22.053750000000001</c:v>
                </c:pt>
                <c:pt idx="3">
                  <c:v>37.334875000000004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A6-48C6-AD39-7685A50A81BB}"/>
            </c:ext>
          </c:extLst>
        </c:ser>
        <c:ser>
          <c:idx val="1"/>
          <c:order val="1"/>
          <c:tx>
            <c:strRef>
              <c:f>'G418 alpha-3'!$A$284</c:f>
              <c:strCache>
                <c:ptCount val="1"/>
                <c:pt idx="0">
                  <c:v>0.025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alpha-3'!$B$284:$E$284</c:f>
              <c:numCache>
                <c:formatCode>General</c:formatCode>
                <c:ptCount val="4"/>
                <c:pt idx="0">
                  <c:v>1</c:v>
                </c:pt>
                <c:pt idx="1">
                  <c:v>3.2462499999999999</c:v>
                </c:pt>
                <c:pt idx="2">
                  <c:v>13.146750000000001</c:v>
                </c:pt>
                <c:pt idx="3">
                  <c:v>24.730625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A6-48C6-AD39-7685A50A81BB}"/>
            </c:ext>
          </c:extLst>
        </c:ser>
        <c:ser>
          <c:idx val="2"/>
          <c:order val="2"/>
          <c:tx>
            <c:strRef>
              <c:f>'G418 alpha-3'!$A$285</c:f>
              <c:strCache>
                <c:ptCount val="1"/>
                <c:pt idx="0">
                  <c:v>0.05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alpha-3'!$B$285:$E$285</c:f>
              <c:numCache>
                <c:formatCode>General</c:formatCode>
                <c:ptCount val="4"/>
                <c:pt idx="0">
                  <c:v>1</c:v>
                </c:pt>
                <c:pt idx="1">
                  <c:v>3.1408750000000003</c:v>
                </c:pt>
                <c:pt idx="2">
                  <c:v>8.6947499999999991</c:v>
                </c:pt>
                <c:pt idx="3">
                  <c:v>15.646124999999998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A6-48C6-AD39-7685A50A81BB}"/>
            </c:ext>
          </c:extLst>
        </c:ser>
        <c:ser>
          <c:idx val="3"/>
          <c:order val="3"/>
          <c:tx>
            <c:strRef>
              <c:f>'G418 alpha-3'!$A$286</c:f>
              <c:strCache>
                <c:ptCount val="1"/>
                <c:pt idx="0">
                  <c:v>0.1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alpha-3'!$B$286:$E$286</c:f>
              <c:numCache>
                <c:formatCode>General</c:formatCode>
                <c:ptCount val="4"/>
                <c:pt idx="0">
                  <c:v>1</c:v>
                </c:pt>
                <c:pt idx="1">
                  <c:v>2.5831249999999999</c:v>
                </c:pt>
                <c:pt idx="2">
                  <c:v>4.6165000000000003</c:v>
                </c:pt>
                <c:pt idx="3">
                  <c:v>4.8766250000000007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A6-48C6-AD39-7685A50A81BB}"/>
            </c:ext>
          </c:extLst>
        </c:ser>
        <c:ser>
          <c:idx val="4"/>
          <c:order val="4"/>
          <c:tx>
            <c:strRef>
              <c:f>'G418 alpha-3'!$A$287</c:f>
              <c:strCache>
                <c:ptCount val="1"/>
                <c:pt idx="0">
                  <c:v>0.2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alpha-3'!$B$287:$E$287</c:f>
              <c:numCache>
                <c:formatCode>General</c:formatCode>
                <c:ptCount val="4"/>
                <c:pt idx="0">
                  <c:v>1</c:v>
                </c:pt>
                <c:pt idx="1">
                  <c:v>2.4535</c:v>
                </c:pt>
                <c:pt idx="2">
                  <c:v>2.0350000000000001</c:v>
                </c:pt>
                <c:pt idx="3">
                  <c:v>0.91175000000000006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AA6-48C6-AD39-7685A50A81BB}"/>
            </c:ext>
          </c:extLst>
        </c:ser>
        <c:ser>
          <c:idx val="5"/>
          <c:order val="5"/>
          <c:tx>
            <c:strRef>
              <c:f>'G418 alpha-3'!$A$288</c:f>
              <c:strCache>
                <c:ptCount val="1"/>
                <c:pt idx="0">
                  <c:v>0.3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alpha-3'!$B$288:$E$288</c:f>
              <c:numCache>
                <c:formatCode>General</c:formatCode>
                <c:ptCount val="4"/>
                <c:pt idx="0">
                  <c:v>1</c:v>
                </c:pt>
                <c:pt idx="1">
                  <c:v>2.2127499999999998</c:v>
                </c:pt>
                <c:pt idx="2">
                  <c:v>1.4168749999999999</c:v>
                </c:pt>
                <c:pt idx="3">
                  <c:v>0.33074999999999999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AA6-48C6-AD39-7685A50A81BB}"/>
            </c:ext>
          </c:extLst>
        </c:ser>
        <c:ser>
          <c:idx val="6"/>
          <c:order val="6"/>
          <c:tx>
            <c:strRef>
              <c:f>'G418 alpha-3'!$A$289</c:f>
              <c:strCache>
                <c:ptCount val="1"/>
                <c:pt idx="0">
                  <c:v>0.4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alpha-3'!$B$289:$E$289</c:f>
              <c:numCache>
                <c:formatCode>General</c:formatCode>
                <c:ptCount val="4"/>
                <c:pt idx="0">
                  <c:v>1</c:v>
                </c:pt>
                <c:pt idx="1">
                  <c:v>2.175875</c:v>
                </c:pt>
                <c:pt idx="2">
                  <c:v>1.068125</c:v>
                </c:pt>
                <c:pt idx="3">
                  <c:v>0.10675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AA6-48C6-AD39-7685A50A81BB}"/>
            </c:ext>
          </c:extLst>
        </c:ser>
        <c:ser>
          <c:idx val="7"/>
          <c:order val="7"/>
          <c:tx>
            <c:strRef>
              <c:f>'G418 alpha-3'!$A$290</c:f>
              <c:strCache>
                <c:ptCount val="1"/>
                <c:pt idx="0">
                  <c:v>0.6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alpha-3'!$B$290:$E$290</c:f>
              <c:numCache>
                <c:formatCode>General</c:formatCode>
                <c:ptCount val="4"/>
                <c:pt idx="0">
                  <c:v>1</c:v>
                </c:pt>
                <c:pt idx="1">
                  <c:v>1.7533749999999999</c:v>
                </c:pt>
                <c:pt idx="2">
                  <c:v>0.83687500000000004</c:v>
                </c:pt>
                <c:pt idx="3">
                  <c:v>-1.6500000000000001E-2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AA6-48C6-AD39-7685A50A81BB}"/>
            </c:ext>
          </c:extLst>
        </c:ser>
        <c:ser>
          <c:idx val="8"/>
          <c:order val="8"/>
          <c:tx>
            <c:strRef>
              <c:f>'G418 alpha-3'!$A$291</c:f>
              <c:strCache>
                <c:ptCount val="1"/>
                <c:pt idx="0">
                  <c:v>0.8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alpha-3'!$B$291:$E$291</c:f>
              <c:numCache>
                <c:formatCode>General</c:formatCode>
                <c:ptCount val="4"/>
                <c:pt idx="0">
                  <c:v>1</c:v>
                </c:pt>
                <c:pt idx="1">
                  <c:v>1.6756250000000001</c:v>
                </c:pt>
                <c:pt idx="2">
                  <c:v>0.71825000000000006</c:v>
                </c:pt>
                <c:pt idx="3">
                  <c:v>-1.6E-2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AA6-48C6-AD39-7685A50A81BB}"/>
            </c:ext>
          </c:extLst>
        </c:ser>
        <c:ser>
          <c:idx val="9"/>
          <c:order val="9"/>
          <c:tx>
            <c:strRef>
              <c:f>'G418 alpha-3'!$A$292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alpha-3'!$B$292:$E$292</c:f>
              <c:numCache>
                <c:formatCode>General</c:formatCode>
                <c:ptCount val="4"/>
                <c:pt idx="0">
                  <c:v>1</c:v>
                </c:pt>
                <c:pt idx="1">
                  <c:v>1.1956249999999999</c:v>
                </c:pt>
                <c:pt idx="2">
                  <c:v>0.54474999999999996</c:v>
                </c:pt>
                <c:pt idx="3">
                  <c:v>-1.4500000000000002E-2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AA6-48C6-AD39-7685A50A81BB}"/>
            </c:ext>
          </c:extLst>
        </c:ser>
        <c:ser>
          <c:idx val="10"/>
          <c:order val="10"/>
          <c:tx>
            <c:strRef>
              <c:f>'G418 alpha-3'!$A$293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alpha-3'!$B$293:$E$293</c:f>
              <c:numCache>
                <c:formatCode>General</c:formatCode>
                <c:ptCount val="4"/>
                <c:pt idx="0">
                  <c:v>1</c:v>
                </c:pt>
                <c:pt idx="1">
                  <c:v>1.1504999999999999</c:v>
                </c:pt>
                <c:pt idx="2">
                  <c:v>0.52400000000000002</c:v>
                </c:pt>
                <c:pt idx="3">
                  <c:v>-8.7500000000000078E-4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AA6-48C6-AD39-7685A50A81BB}"/>
            </c:ext>
          </c:extLst>
        </c:ser>
        <c:ser>
          <c:idx val="11"/>
          <c:order val="11"/>
          <c:tx>
            <c:strRef>
              <c:f>'G418 alpha-3'!$A$294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'G418 alpha-3'!$B$282:$E$282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alpha-3'!$B$294:$E$294</c:f>
              <c:numCache>
                <c:formatCode>General</c:formatCode>
                <c:ptCount val="4"/>
                <c:pt idx="0">
                  <c:v>1</c:v>
                </c:pt>
                <c:pt idx="1">
                  <c:v>1.5947499999999999</c:v>
                </c:pt>
                <c:pt idx="2">
                  <c:v>0.68262499999999993</c:v>
                </c:pt>
                <c:pt idx="3">
                  <c:v>8.4500000000000006E-2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AA6-48C6-AD39-7685A50A8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287992"/>
        <c:axId val="642291600"/>
      </c:scatterChart>
      <c:valAx>
        <c:axId val="642287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291600"/>
        <c:crosses val="autoZero"/>
        <c:crossBetween val="midCat"/>
      </c:valAx>
      <c:valAx>
        <c:axId val="6422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287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'G418 alpha-4'!$AR$83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'G418 alpha-4'!$AS$82:$BD$82</c:f>
              <c:numCache>
                <c:formatCode>General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cat>
          <c:val>
            <c:numRef>
              <c:f>'G418 alpha-4'!$AS$83:$BD$83</c:f>
              <c:numCache>
                <c:formatCode>General</c:formatCode>
                <c:ptCount val="12"/>
                <c:pt idx="0">
                  <c:v>4778.835355523096</c:v>
                </c:pt>
                <c:pt idx="1">
                  <c:v>5018.0470979417187</c:v>
                </c:pt>
                <c:pt idx="2">
                  <c:v>5795.2898844162464</c:v>
                </c:pt>
                <c:pt idx="3">
                  <c:v>5409.6524214378423</c:v>
                </c:pt>
                <c:pt idx="4">
                  <c:v>5266.7789988052764</c:v>
                </c:pt>
                <c:pt idx="5">
                  <c:v>4830.4857673847946</c:v>
                </c:pt>
                <c:pt idx="6">
                  <c:v>4612.6936341692544</c:v>
                </c:pt>
                <c:pt idx="7">
                  <c:v>5227.4199681699829</c:v>
                </c:pt>
                <c:pt idx="8">
                  <c:v>5845.9968093086345</c:v>
                </c:pt>
                <c:pt idx="9">
                  <c:v>5638.4259522994571</c:v>
                </c:pt>
                <c:pt idx="10">
                  <c:v>4500.6010930430339</c:v>
                </c:pt>
                <c:pt idx="11">
                  <c:v>4662.3223928358248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7-4199-8A62-E480C2593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671504"/>
        <c:axId val="602672160"/>
      </c:barChart>
      <c:catAx>
        <c:axId val="60267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2160"/>
        <c:crosses val="autoZero"/>
        <c:auto val="1"/>
        <c:lblAlgn val="ctr"/>
        <c:lblOffset val="100"/>
        <c:noMultiLvlLbl val="0"/>
      </c:catAx>
      <c:valAx>
        <c:axId val="6026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'G418 alpha-4'!$AR$83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'G418 alpha-4'!$BY$82:$CJ$82</c:f>
              <c:numCache>
                <c:formatCode>General</c:formatCode>
                <c:ptCount val="12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cat>
          <c:val>
            <c:numRef>
              <c:f>'G418 alpha-4'!$BY$83:$CJ$83</c:f>
              <c:numCache>
                <c:formatCode>General</c:formatCode>
                <c:ptCount val="12"/>
                <c:pt idx="0">
                  <c:v>28337.503995005936</c:v>
                </c:pt>
                <c:pt idx="1">
                  <c:v>31242.190858771966</c:v>
                </c:pt>
                <c:pt idx="2">
                  <c:v>29772.50960391905</c:v>
                </c:pt>
                <c:pt idx="3">
                  <c:v>28474.862012902198</c:v>
                </c:pt>
                <c:pt idx="4">
                  <c:v>25303.668041770215</c:v>
                </c:pt>
                <c:pt idx="5">
                  <c:v>23490.344058991366</c:v>
                </c:pt>
                <c:pt idx="6">
                  <c:v>17884.369786651681</c:v>
                </c:pt>
                <c:pt idx="7">
                  <c:v>18625.989653807785</c:v>
                </c:pt>
                <c:pt idx="8">
                  <c:v>18821.482650790531</c:v>
                </c:pt>
                <c:pt idx="9">
                  <c:v>19235.848931138695</c:v>
                </c:pt>
                <c:pt idx="10">
                  <c:v>9909.3681860351644</c:v>
                </c:pt>
                <c:pt idx="11">
                  <c:v>4398.0290517170988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2-448F-BDDC-A0ACD3993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671504"/>
        <c:axId val="602672160"/>
      </c:barChart>
      <c:catAx>
        <c:axId val="60267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2160"/>
        <c:crosses val="autoZero"/>
        <c:auto val="1"/>
        <c:lblAlgn val="ctr"/>
        <c:lblOffset val="100"/>
        <c:noMultiLvlLbl val="0"/>
      </c:catAx>
      <c:valAx>
        <c:axId val="6026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7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'G418 alpha-4'!$A$283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alpha-4'!$B$283:$E$283</c:f>
              <c:numCache>
                <c:formatCode>General</c:formatCode>
                <c:ptCount val="4"/>
                <c:pt idx="0">
                  <c:v>1</c:v>
                </c:pt>
                <c:pt idx="1">
                  <c:v>3.8903749999999997</c:v>
                </c:pt>
                <c:pt idx="2">
                  <c:v>23.0595</c:v>
                </c:pt>
                <c:pt idx="3">
                  <c:v>32.272750000000002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CC-4B3B-A026-E0326E38380B}"/>
            </c:ext>
          </c:extLst>
        </c:ser>
        <c:ser>
          <c:idx val="1"/>
          <c:order val="1"/>
          <c:tx>
            <c:strRef>
              <c:f>'G418 alpha-4'!$A$284</c:f>
              <c:strCache>
                <c:ptCount val="1"/>
                <c:pt idx="0">
                  <c:v>0.025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alpha-4'!$B$284:$E$284</c:f>
              <c:numCache>
                <c:formatCode>General</c:formatCode>
                <c:ptCount val="4"/>
                <c:pt idx="0">
                  <c:v>1</c:v>
                </c:pt>
                <c:pt idx="1">
                  <c:v>3.4272499999999999</c:v>
                </c:pt>
                <c:pt idx="2">
                  <c:v>21.333750000000002</c:v>
                </c:pt>
                <c:pt idx="3">
                  <c:v>27.221374999999998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CC-4B3B-A026-E0326E38380B}"/>
            </c:ext>
          </c:extLst>
        </c:ser>
        <c:ser>
          <c:idx val="2"/>
          <c:order val="2"/>
          <c:tx>
            <c:strRef>
              <c:f>'G418 alpha-4'!$A$285</c:f>
              <c:strCache>
                <c:ptCount val="1"/>
                <c:pt idx="0">
                  <c:v>0.05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alpha-4'!$B$285:$E$285</c:f>
              <c:numCache>
                <c:formatCode>General</c:formatCode>
                <c:ptCount val="4"/>
                <c:pt idx="0">
                  <c:v>1</c:v>
                </c:pt>
                <c:pt idx="1">
                  <c:v>3.7512499999999998</c:v>
                </c:pt>
                <c:pt idx="2">
                  <c:v>19.299374999999998</c:v>
                </c:pt>
                <c:pt idx="3">
                  <c:v>25.758625000000002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CC-4B3B-A026-E0326E38380B}"/>
            </c:ext>
          </c:extLst>
        </c:ser>
        <c:ser>
          <c:idx val="3"/>
          <c:order val="3"/>
          <c:tx>
            <c:strRef>
              <c:f>'G418 alpha-4'!$A$286</c:f>
              <c:strCache>
                <c:ptCount val="1"/>
                <c:pt idx="0">
                  <c:v>0.1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alpha-4'!$B$286:$E$286</c:f>
              <c:numCache>
                <c:formatCode>General</c:formatCode>
                <c:ptCount val="4"/>
                <c:pt idx="0">
                  <c:v>1</c:v>
                </c:pt>
                <c:pt idx="1">
                  <c:v>3.4126249999999998</c:v>
                </c:pt>
                <c:pt idx="2">
                  <c:v>17.927749999999996</c:v>
                </c:pt>
                <c:pt idx="3">
                  <c:v>24.131000000000004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CC-4B3B-A026-E0326E38380B}"/>
            </c:ext>
          </c:extLst>
        </c:ser>
        <c:ser>
          <c:idx val="4"/>
          <c:order val="4"/>
          <c:tx>
            <c:strRef>
              <c:f>'G418 alpha-4'!$A$287</c:f>
              <c:strCache>
                <c:ptCount val="1"/>
                <c:pt idx="0">
                  <c:v>0.2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alpha-4'!$B$287:$E$287</c:f>
              <c:numCache>
                <c:formatCode>General</c:formatCode>
                <c:ptCount val="4"/>
                <c:pt idx="0">
                  <c:v>1</c:v>
                </c:pt>
                <c:pt idx="1">
                  <c:v>3.5638750000000003</c:v>
                </c:pt>
                <c:pt idx="2">
                  <c:v>17.097625000000001</c:v>
                </c:pt>
                <c:pt idx="3">
                  <c:v>25.147125000000003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CC-4B3B-A026-E0326E38380B}"/>
            </c:ext>
          </c:extLst>
        </c:ser>
        <c:ser>
          <c:idx val="5"/>
          <c:order val="5"/>
          <c:tx>
            <c:strRef>
              <c:f>'G418 alpha-4'!$A$288</c:f>
              <c:strCache>
                <c:ptCount val="1"/>
                <c:pt idx="0">
                  <c:v>0.3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alpha-4'!$B$288:$E$288</c:f>
              <c:numCache>
                <c:formatCode>General</c:formatCode>
                <c:ptCount val="4"/>
                <c:pt idx="0">
                  <c:v>1</c:v>
                </c:pt>
                <c:pt idx="1">
                  <c:v>3.4657500000000003</c:v>
                </c:pt>
                <c:pt idx="2">
                  <c:v>16.875875000000001</c:v>
                </c:pt>
                <c:pt idx="3">
                  <c:v>26.700624999999999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CC-4B3B-A026-E0326E38380B}"/>
            </c:ext>
          </c:extLst>
        </c:ser>
        <c:ser>
          <c:idx val="6"/>
          <c:order val="6"/>
          <c:tx>
            <c:strRef>
              <c:f>'G418 alpha-4'!$A$289</c:f>
              <c:strCache>
                <c:ptCount val="1"/>
                <c:pt idx="0">
                  <c:v>0.4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alpha-4'!$B$289:$E$289</c:f>
              <c:numCache>
                <c:formatCode>General</c:formatCode>
                <c:ptCount val="4"/>
                <c:pt idx="0">
                  <c:v>1</c:v>
                </c:pt>
                <c:pt idx="1">
                  <c:v>2.9970000000000003</c:v>
                </c:pt>
                <c:pt idx="2">
                  <c:v>11.585000000000001</c:v>
                </c:pt>
                <c:pt idx="3">
                  <c:v>21.25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BCC-4B3B-A026-E0326E38380B}"/>
            </c:ext>
          </c:extLst>
        </c:ser>
        <c:ser>
          <c:idx val="7"/>
          <c:order val="7"/>
          <c:tx>
            <c:strRef>
              <c:f>'G418 alpha-4'!$A$290</c:f>
              <c:strCache>
                <c:ptCount val="1"/>
                <c:pt idx="0">
                  <c:v>0.6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alpha-4'!$B$290:$E$290</c:f>
              <c:numCache>
                <c:formatCode>General</c:formatCode>
                <c:ptCount val="4"/>
                <c:pt idx="0">
                  <c:v>1</c:v>
                </c:pt>
                <c:pt idx="1">
                  <c:v>3.1703749999999999</c:v>
                </c:pt>
                <c:pt idx="2">
                  <c:v>11.291874999999999</c:v>
                </c:pt>
                <c:pt idx="3">
                  <c:v>21.376125000000002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BCC-4B3B-A026-E0326E38380B}"/>
            </c:ext>
          </c:extLst>
        </c:ser>
        <c:ser>
          <c:idx val="8"/>
          <c:order val="8"/>
          <c:tx>
            <c:strRef>
              <c:f>'G418 alpha-4'!$A$291</c:f>
              <c:strCache>
                <c:ptCount val="1"/>
                <c:pt idx="0">
                  <c:v>0.8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alpha-4'!$B$291:$E$291</c:f>
              <c:numCache>
                <c:formatCode>General</c:formatCode>
                <c:ptCount val="4"/>
                <c:pt idx="0">
                  <c:v>1</c:v>
                </c:pt>
                <c:pt idx="1">
                  <c:v>3.4962500000000003</c:v>
                </c:pt>
                <c:pt idx="2">
                  <c:v>11.206625000000001</c:v>
                </c:pt>
                <c:pt idx="3">
                  <c:v>20.1465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BCC-4B3B-A026-E0326E38380B}"/>
            </c:ext>
          </c:extLst>
        </c:ser>
        <c:ser>
          <c:idx val="9"/>
          <c:order val="9"/>
          <c:tx>
            <c:strRef>
              <c:f>'G418 alpha-4'!$A$292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alpha-4'!$B$292:$E$292</c:f>
              <c:numCache>
                <c:formatCode>General</c:formatCode>
                <c:ptCount val="4"/>
                <c:pt idx="0">
                  <c:v>1</c:v>
                </c:pt>
                <c:pt idx="1">
                  <c:v>3.3274999999999997</c:v>
                </c:pt>
                <c:pt idx="2">
                  <c:v>11.349125000000001</c:v>
                </c:pt>
                <c:pt idx="3">
                  <c:v>17.69725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BCC-4B3B-A026-E0326E38380B}"/>
            </c:ext>
          </c:extLst>
        </c:ser>
        <c:ser>
          <c:idx val="10"/>
          <c:order val="10"/>
          <c:tx>
            <c:strRef>
              <c:f>'G418 alpha-4'!$A$293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alpha-4'!$B$293:$E$293</c:f>
              <c:numCache>
                <c:formatCode>General</c:formatCode>
                <c:ptCount val="4"/>
                <c:pt idx="0">
                  <c:v>1</c:v>
                </c:pt>
                <c:pt idx="1">
                  <c:v>2.7053750000000001</c:v>
                </c:pt>
                <c:pt idx="2">
                  <c:v>5.9391250000000007</c:v>
                </c:pt>
                <c:pt idx="3">
                  <c:v>10.054124999999999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BCC-4B3B-A026-E0326E38380B}"/>
            </c:ext>
          </c:extLst>
        </c:ser>
        <c:ser>
          <c:idx val="11"/>
          <c:order val="11"/>
          <c:tx>
            <c:strRef>
              <c:f>'G418 alpha-4'!$A$294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'G418 alpha-4'!$B$282:$E$282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'G418 alpha-4'!$B$294:$E$294</c:f>
              <c:numCache>
                <c:formatCode>General</c:formatCode>
                <c:ptCount val="4"/>
                <c:pt idx="0">
                  <c:v>1</c:v>
                </c:pt>
                <c:pt idx="1">
                  <c:v>2.9951249999999998</c:v>
                </c:pt>
                <c:pt idx="2">
                  <c:v>2.8126250000000002</c:v>
                </c:pt>
                <c:pt idx="3">
                  <c:v>2.4088749999999997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BCC-4B3B-A026-E0326E383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738960"/>
        <c:axId val="721740600"/>
      </c:scatterChart>
      <c:valAx>
        <c:axId val="7217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40600"/>
        <c:crosses val="autoZero"/>
        <c:crossBetween val="midCat"/>
      </c:valAx>
      <c:valAx>
        <c:axId val="721740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'HygB alpha-3'!$R$83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'HygB alpha-3'!$S$82:$W$82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cat>
          <c:val>
            <c:numRef>
              <c:f>'HygB alpha-3'!$S$83:$W$83</c:f>
              <c:numCache>
                <c:formatCode>General</c:formatCode>
                <c:ptCount val="5"/>
                <c:pt idx="0">
                  <c:v>6903.7851605859951</c:v>
                </c:pt>
                <c:pt idx="1">
                  <c:v>7301.5069877679207</c:v>
                </c:pt>
                <c:pt idx="2">
                  <c:v>7118.7699320356851</c:v>
                </c:pt>
                <c:pt idx="3">
                  <c:v>7363.2284221518648</c:v>
                </c:pt>
                <c:pt idx="4">
                  <c:v>6815.8263374283542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D4-42E8-8E38-66518EA72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015968"/>
        <c:axId val="364017608"/>
      </c:barChart>
      <c:catAx>
        <c:axId val="3640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17608"/>
        <c:crosses val="autoZero"/>
        <c:auto val="1"/>
        <c:lblAlgn val="ctr"/>
        <c:lblOffset val="100"/>
        <c:noMultiLvlLbl val="0"/>
      </c:catAx>
      <c:valAx>
        <c:axId val="364017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1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'HygB alpha-3'!$R$83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'HygB alpha-3'!$AI$82:$AM$82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cat>
          <c:val>
            <c:numRef>
              <c:f>'HygB alpha-3'!$AI$83:$AM$83</c:f>
              <c:numCache>
                <c:formatCode>General</c:formatCode>
                <c:ptCount val="5"/>
                <c:pt idx="0">
                  <c:v>36499.031389681353</c:v>
                </c:pt>
                <c:pt idx="1">
                  <c:v>37407.199155548995</c:v>
                </c:pt>
                <c:pt idx="2">
                  <c:v>35291.653161032213</c:v>
                </c:pt>
                <c:pt idx="3">
                  <c:v>35438.142796918801</c:v>
                </c:pt>
                <c:pt idx="4">
                  <c:v>31460.263751587114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A-4A8A-8DB3-22B3CA3FE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015968"/>
        <c:axId val="364017608"/>
      </c:barChart>
      <c:catAx>
        <c:axId val="3640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17608"/>
        <c:crosses val="autoZero"/>
        <c:auto val="1"/>
        <c:lblAlgn val="ctr"/>
        <c:lblOffset val="100"/>
        <c:noMultiLvlLbl val="0"/>
      </c:catAx>
      <c:valAx>
        <c:axId val="364017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1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'HygB alpha-3'!$R$83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'HygB alpha-3'!$AY$82:$BC$82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cat>
          <c:val>
            <c:numRef>
              <c:f>'HygB alpha-3'!$AY$83:$BC$83</c:f>
              <c:numCache>
                <c:formatCode>General</c:formatCode>
                <c:ptCount val="5"/>
                <c:pt idx="0">
                  <c:v>58460.525563227464</c:v>
                </c:pt>
                <c:pt idx="1">
                  <c:v>58177.199903441324</c:v>
                </c:pt>
                <c:pt idx="2">
                  <c:v>55854.988654539971</c:v>
                </c:pt>
                <c:pt idx="3">
                  <c:v>55512.60323714705</c:v>
                </c:pt>
                <c:pt idx="4">
                  <c:v>55776.357437297418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8-4880-BED7-1CBD62082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4015968"/>
        <c:axId val="364017608"/>
      </c:barChart>
      <c:catAx>
        <c:axId val="36401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17608"/>
        <c:crosses val="autoZero"/>
        <c:auto val="1"/>
        <c:lblAlgn val="ctr"/>
        <c:lblOffset val="100"/>
        <c:noMultiLvlLbl val="0"/>
      </c:catAx>
      <c:valAx>
        <c:axId val="364017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01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'HygB alpha-3'!$A$221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'HygB alpha-3'!$B$220:$E$220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'HygB alpha-3'!$B$221:$E$221</c:f>
              <c:numCache>
                <c:formatCode>General</c:formatCode>
                <c:ptCount val="4"/>
                <c:pt idx="0">
                  <c:v>1</c:v>
                </c:pt>
                <c:pt idx="1">
                  <c:v>3.8078000000000003</c:v>
                </c:pt>
                <c:pt idx="2">
                  <c:v>20.0565</c:v>
                </c:pt>
                <c:pt idx="3">
                  <c:v>32.14050000000001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20-4210-9F6C-32EECF96B089}"/>
            </c:ext>
          </c:extLst>
        </c:ser>
        <c:ser>
          <c:idx val="1"/>
          <c:order val="1"/>
          <c:tx>
            <c:strRef>
              <c:f>'HygB alpha-3'!$A$222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'HygB alpha-3'!$B$220:$E$220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'HygB alpha-3'!$B$222:$E$222</c:f>
              <c:numCache>
                <c:formatCode>General</c:formatCode>
                <c:ptCount val="4"/>
                <c:pt idx="0">
                  <c:v>1</c:v>
                </c:pt>
                <c:pt idx="1">
                  <c:v>3.3916000000000004</c:v>
                </c:pt>
                <c:pt idx="2">
                  <c:v>17.258600000000005</c:v>
                </c:pt>
                <c:pt idx="3">
                  <c:v>27.0428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20-4210-9F6C-32EECF96B089}"/>
            </c:ext>
          </c:extLst>
        </c:ser>
        <c:ser>
          <c:idx val="2"/>
          <c:order val="2"/>
          <c:tx>
            <c:strRef>
              <c:f>'HygB alpha-3'!$A$223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'HygB alpha-3'!$B$220:$E$220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'HygB alpha-3'!$B$223:$E$223</c:f>
              <c:numCache>
                <c:formatCode>General</c:formatCode>
                <c:ptCount val="4"/>
                <c:pt idx="0">
                  <c:v>1</c:v>
                </c:pt>
                <c:pt idx="1">
                  <c:v>3.3962000000000003</c:v>
                </c:pt>
                <c:pt idx="2">
                  <c:v>16.8461</c:v>
                </c:pt>
                <c:pt idx="3">
                  <c:v>26.779499999999995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20-4210-9F6C-32EECF96B089}"/>
            </c:ext>
          </c:extLst>
        </c:ser>
        <c:ser>
          <c:idx val="3"/>
          <c:order val="3"/>
          <c:tx>
            <c:strRef>
              <c:f>'HygB alpha-3'!$A$224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'HygB alpha-3'!$B$220:$E$220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'HygB alpha-3'!$B$224:$E$224</c:f>
              <c:numCache>
                <c:formatCode>General</c:formatCode>
                <c:ptCount val="4"/>
                <c:pt idx="0">
                  <c:v>1</c:v>
                </c:pt>
                <c:pt idx="1">
                  <c:v>3.4527000000000001</c:v>
                </c:pt>
                <c:pt idx="2">
                  <c:v>16.552199999999999</c:v>
                </c:pt>
                <c:pt idx="3">
                  <c:v>26.061200000000003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20-4210-9F6C-32EECF96B089}"/>
            </c:ext>
          </c:extLst>
        </c:ser>
        <c:ser>
          <c:idx val="4"/>
          <c:order val="4"/>
          <c:tx>
            <c:strRef>
              <c:f>'HygB alpha-3'!$A$225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'HygB alpha-3'!$B$220:$E$220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'HygB alpha-3'!$B$225:$E$225</c:f>
              <c:numCache>
                <c:formatCode>General</c:formatCode>
                <c:ptCount val="4"/>
                <c:pt idx="0">
                  <c:v>1</c:v>
                </c:pt>
                <c:pt idx="1">
                  <c:v>4.0208999999999993</c:v>
                </c:pt>
                <c:pt idx="2">
                  <c:v>18.581099999999999</c:v>
                </c:pt>
                <c:pt idx="3">
                  <c:v>32.935999999999993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20-4210-9F6C-32EECF96B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598592"/>
        <c:axId val="704599576"/>
      </c:scatterChart>
      <c:valAx>
        <c:axId val="70459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99576"/>
        <c:crosses val="autoZero"/>
        <c:crossBetween val="midCat"/>
      </c:valAx>
      <c:valAx>
        <c:axId val="70459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9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'HygB alpha-4'!$B$83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'HygB alpha-4'!$C$82:$G$82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cat>
          <c:val>
            <c:numRef>
              <c:f>'HygB alpha-4'!$C$83:$G$83</c:f>
              <c:numCache>
                <c:formatCode>General</c:formatCode>
                <c:ptCount val="5"/>
                <c:pt idx="0">
                  <c:v>1357.4549152654163</c:v>
                </c:pt>
                <c:pt idx="1">
                  <c:v>1610.3619171434607</c:v>
                </c:pt>
                <c:pt idx="2">
                  <c:v>1603.2430533868937</c:v>
                </c:pt>
                <c:pt idx="3">
                  <c:v>1601.8942160435442</c:v>
                </c:pt>
                <c:pt idx="4">
                  <c:v>1503.4290899790253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8-4376-A7D2-31734B35F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242184"/>
        <c:axId val="423246448"/>
      </c:barChart>
      <c:catAx>
        <c:axId val="423242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46448"/>
        <c:crosses val="autoZero"/>
        <c:auto val="1"/>
        <c:lblAlgn val="ctr"/>
        <c:lblOffset val="100"/>
        <c:noMultiLvlLbl val="0"/>
      </c:catAx>
      <c:valAx>
        <c:axId val="4232464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24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'HygB alpha-4'!$R$83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'HygB alpha-4'!$S$82:$W$82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cat>
          <c:val>
            <c:numRef>
              <c:f>'HygB alpha-4'!$S$83:$W$83</c:f>
              <c:numCache>
                <c:formatCode>General</c:formatCode>
                <c:ptCount val="5"/>
                <c:pt idx="0">
                  <c:v>5323.8436348004407</c:v>
                </c:pt>
                <c:pt idx="1">
                  <c:v>5843.7593970772286</c:v>
                </c:pt>
                <c:pt idx="2">
                  <c:v>4934.4745666729041</c:v>
                </c:pt>
                <c:pt idx="3">
                  <c:v>4154.8573281003273</c:v>
                </c:pt>
                <c:pt idx="4">
                  <c:v>3573.0381109660107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4-4D1D-B603-304DD00AB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101752"/>
        <c:axId val="601102080"/>
      </c:barChart>
      <c:catAx>
        <c:axId val="60110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02080"/>
        <c:crosses val="autoZero"/>
        <c:auto val="1"/>
        <c:lblAlgn val="ctr"/>
        <c:lblOffset val="100"/>
        <c:noMultiLvlLbl val="0"/>
      </c:catAx>
      <c:valAx>
        <c:axId val="6011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01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'HygB alpha-4'!$R$83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'HygB alpha-4'!$AI$82:$AM$82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cat>
          <c:val>
            <c:numRef>
              <c:f>'HygB alpha-4'!$AI$83:$AM$83</c:f>
              <c:numCache>
                <c:formatCode>General</c:formatCode>
                <c:ptCount val="5"/>
                <c:pt idx="0">
                  <c:v>30538.305625526955</c:v>
                </c:pt>
                <c:pt idx="1">
                  <c:v>24543.263114267789</c:v>
                </c:pt>
                <c:pt idx="2">
                  <c:v>22546.289890324031</c:v>
                </c:pt>
                <c:pt idx="3">
                  <c:v>15050.678488343101</c:v>
                </c:pt>
                <c:pt idx="4">
                  <c:v>7824.4259289847432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8-4380-881D-EB61BBF0A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101752"/>
        <c:axId val="601102080"/>
      </c:barChart>
      <c:catAx>
        <c:axId val="60110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02080"/>
        <c:crosses val="autoZero"/>
        <c:auto val="1"/>
        <c:lblAlgn val="ctr"/>
        <c:lblOffset val="100"/>
        <c:noMultiLvlLbl val="0"/>
      </c:catAx>
      <c:valAx>
        <c:axId val="6011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01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'HygB alpha-4'!$R$83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'HygB alpha-4'!$AY$82:$BC$82</c:f>
              <c:numCache>
                <c:formatCode>General</c:formatCode>
                <c:ptCount val="5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</c:numCache>
            </c:numRef>
          </c:cat>
          <c:val>
            <c:numRef>
              <c:f>'HygB alpha-4'!$AY$83:$BC$83</c:f>
              <c:numCache>
                <c:formatCode>General</c:formatCode>
                <c:ptCount val="5"/>
                <c:pt idx="0">
                  <c:v>46068.006154444571</c:v>
                </c:pt>
                <c:pt idx="1">
                  <c:v>41091.406750320188</c:v>
                </c:pt>
                <c:pt idx="2">
                  <c:v>34823.604766000848</c:v>
                </c:pt>
                <c:pt idx="3">
                  <c:v>28684.333515948143</c:v>
                </c:pt>
                <c:pt idx="4">
                  <c:v>12445.719791504314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9-4DFC-8979-FF1BB8885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101752"/>
        <c:axId val="601102080"/>
      </c:barChart>
      <c:catAx>
        <c:axId val="60110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02080"/>
        <c:crosses val="autoZero"/>
        <c:auto val="1"/>
        <c:lblAlgn val="ctr"/>
        <c:lblOffset val="100"/>
        <c:noMultiLvlLbl val="0"/>
      </c:catAx>
      <c:valAx>
        <c:axId val="60110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01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'HygB alpha-4'!$A$221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'HygB alpha-4'!$B$220:$E$220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'HygB alpha-4'!$B$221:$E$221</c:f>
              <c:numCache>
                <c:formatCode>General</c:formatCode>
                <c:ptCount val="4"/>
                <c:pt idx="0">
                  <c:v>1</c:v>
                </c:pt>
                <c:pt idx="1">
                  <c:v>3.9021999999999997</c:v>
                </c:pt>
                <c:pt idx="2">
                  <c:v>22.4879</c:v>
                </c:pt>
                <c:pt idx="3">
                  <c:v>33.872200000000007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27-4354-A706-0BF92A622007}"/>
            </c:ext>
          </c:extLst>
        </c:ser>
        <c:ser>
          <c:idx val="1"/>
          <c:order val="1"/>
          <c:tx>
            <c:strRef>
              <c:f>'HygB alpha-4'!$A$222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'HygB alpha-4'!$B$220:$E$220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'HygB alpha-4'!$B$222:$E$222</c:f>
              <c:numCache>
                <c:formatCode>General</c:formatCode>
                <c:ptCount val="4"/>
                <c:pt idx="0">
                  <c:v>1</c:v>
                </c:pt>
                <c:pt idx="1">
                  <c:v>3.6634000000000002</c:v>
                </c:pt>
                <c:pt idx="2">
                  <c:v>15.255000000000001</c:v>
                </c:pt>
                <c:pt idx="3">
                  <c:v>25.714500000000005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27-4354-A706-0BF92A622007}"/>
            </c:ext>
          </c:extLst>
        </c:ser>
        <c:ser>
          <c:idx val="2"/>
          <c:order val="2"/>
          <c:tx>
            <c:strRef>
              <c:f>'HygB alpha-4'!$A$223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'HygB alpha-4'!$B$220:$E$220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'HygB alpha-4'!$B$223:$E$223</c:f>
              <c:numCache>
                <c:formatCode>General</c:formatCode>
                <c:ptCount val="4"/>
                <c:pt idx="0">
                  <c:v>1</c:v>
                </c:pt>
                <c:pt idx="1">
                  <c:v>3.0731000000000006</c:v>
                </c:pt>
                <c:pt idx="2">
                  <c:v>14.001300000000001</c:v>
                </c:pt>
                <c:pt idx="3">
                  <c:v>21.641600000000004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27-4354-A706-0BF92A622007}"/>
            </c:ext>
          </c:extLst>
        </c:ser>
        <c:ser>
          <c:idx val="3"/>
          <c:order val="3"/>
          <c:tx>
            <c:strRef>
              <c:f>'HygB alpha-4'!$A$224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'HygB alpha-4'!$B$220:$E$220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'HygB alpha-4'!$B$224:$E$224</c:f>
              <c:numCache>
                <c:formatCode>General</c:formatCode>
                <c:ptCount val="4"/>
                <c:pt idx="0">
                  <c:v>1</c:v>
                </c:pt>
                <c:pt idx="1">
                  <c:v>2.5836999999999999</c:v>
                </c:pt>
                <c:pt idx="2">
                  <c:v>9.367300000000002</c:v>
                </c:pt>
                <c:pt idx="3">
                  <c:v>17.837399999999999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27-4354-A706-0BF92A622007}"/>
            </c:ext>
          </c:extLst>
        </c:ser>
        <c:ser>
          <c:idx val="4"/>
          <c:order val="4"/>
          <c:tx>
            <c:strRef>
              <c:f>'HygB alpha-4'!$A$225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'HygB alpha-4'!$B$220:$E$220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'HygB alpha-4'!$B$225:$E$225</c:f>
              <c:numCache>
                <c:formatCode>General</c:formatCode>
                <c:ptCount val="4"/>
                <c:pt idx="0">
                  <c:v>1</c:v>
                </c:pt>
                <c:pt idx="1">
                  <c:v>2.3723000000000001</c:v>
                </c:pt>
                <c:pt idx="2">
                  <c:v>5.1923000000000004</c:v>
                </c:pt>
                <c:pt idx="3">
                  <c:v>8.2829000000000015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27-4354-A706-0BF92A622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348120"/>
        <c:axId val="706348448"/>
      </c:scatterChart>
      <c:valAx>
        <c:axId val="706348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348448"/>
        <c:crosses val="autoZero"/>
        <c:crossBetween val="midCat"/>
      </c:valAx>
      <c:valAx>
        <c:axId val="7063484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348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'Max Growth Rate'!$R$83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'Max Growth Rate'!$S$82:$U$82</c:f>
              <c:strCache>
                <c:ptCount val="3"/>
                <c:pt idx="0">
                  <c:v>alpha-2</c:v>
                </c:pt>
                <c:pt idx="1">
                  <c:v>alpha-3</c:v>
                </c:pt>
                <c:pt idx="2">
                  <c:v>alpha-4</c:v>
                </c:pt>
              </c:strCache>
            </c:strRef>
          </c:cat>
          <c:val>
            <c:numRef>
              <c:f>'Max Growth Rate'!$S$83:$U$83</c:f>
              <c:numCache>
                <c:formatCode>General</c:formatCode>
                <c:ptCount val="3"/>
                <c:pt idx="0">
                  <c:v>5426.1528181779613</c:v>
                </c:pt>
                <c:pt idx="1">
                  <c:v>6920.710212346431</c:v>
                </c:pt>
                <c:pt idx="2">
                  <c:v>5484.5432609122663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E-4221-B7EB-87DF52E8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471408"/>
        <c:axId val="240473376"/>
      </c:barChart>
      <c:catAx>
        <c:axId val="24047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73376"/>
        <c:crosses val="autoZero"/>
        <c:auto val="1"/>
        <c:lblAlgn val="ctr"/>
        <c:lblOffset val="100"/>
        <c:noMultiLvlLbl val="0"/>
      </c:catAx>
      <c:valAx>
        <c:axId val="2404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7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'Max Growth Rate'!$B$83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'Max Growth Rate'!$C$82:$E$82</c:f>
              <c:strCache>
                <c:ptCount val="3"/>
                <c:pt idx="0">
                  <c:v>alpha-2</c:v>
                </c:pt>
                <c:pt idx="1">
                  <c:v>alpha-3</c:v>
                </c:pt>
                <c:pt idx="2">
                  <c:v>alpha-4</c:v>
                </c:pt>
              </c:strCache>
            </c:strRef>
          </c:cat>
          <c:val>
            <c:numRef>
              <c:f>'Max Growth Rate'!$C$83:$E$83</c:f>
              <c:numCache>
                <c:formatCode>General</c:formatCode>
                <c:ptCount val="3"/>
                <c:pt idx="0">
                  <c:v>1627.183954542315</c:v>
                </c:pt>
                <c:pt idx="1">
                  <c:v>1620.3504537011165</c:v>
                </c:pt>
                <c:pt idx="2">
                  <c:v>1424.2717982099271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0-4D87-918A-2F55AF5C1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780664"/>
        <c:axId val="637781648"/>
      </c:barChart>
      <c:catAx>
        <c:axId val="63778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81648"/>
        <c:crosses val="autoZero"/>
        <c:auto val="1"/>
        <c:lblAlgn val="ctr"/>
        <c:lblOffset val="100"/>
        <c:noMultiLvlLbl val="0"/>
      </c:catAx>
      <c:valAx>
        <c:axId val="6377816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80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'Max Growth Rate'!$R$83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'Max Growth Rate'!$AI$82:$AK$82</c:f>
              <c:strCache>
                <c:ptCount val="3"/>
                <c:pt idx="0">
                  <c:v>alpha-2</c:v>
                </c:pt>
                <c:pt idx="1">
                  <c:v>alpha-3</c:v>
                </c:pt>
                <c:pt idx="2">
                  <c:v>alpha-4</c:v>
                </c:pt>
              </c:strCache>
            </c:strRef>
          </c:cat>
          <c:val>
            <c:numRef>
              <c:f>'Max Growth Rate'!$AI$83:$AK$83</c:f>
              <c:numCache>
                <c:formatCode>General</c:formatCode>
                <c:ptCount val="3"/>
                <c:pt idx="0">
                  <c:v>33811.852871040493</c:v>
                </c:pt>
                <c:pt idx="1">
                  <c:v>38792.466825517593</c:v>
                </c:pt>
                <c:pt idx="2">
                  <c:v>31858.357832610131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D-478F-A0BD-D9A4CD3A4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471408"/>
        <c:axId val="240473376"/>
      </c:barChart>
      <c:catAx>
        <c:axId val="24047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73376"/>
        <c:crosses val="autoZero"/>
        <c:auto val="1"/>
        <c:lblAlgn val="ctr"/>
        <c:lblOffset val="100"/>
        <c:noMultiLvlLbl val="0"/>
      </c:catAx>
      <c:valAx>
        <c:axId val="2404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7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'Max Growth Rate'!$R$83</c:f>
              <c:strCache>
                <c:ptCount val="1"/>
                <c:pt idx="0">
                  <c:v>Mittelwert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'Max Growth Rate'!$AY$82:$BA$82</c:f>
              <c:strCache>
                <c:ptCount val="3"/>
                <c:pt idx="0">
                  <c:v>alpha-2</c:v>
                </c:pt>
                <c:pt idx="1">
                  <c:v>alpha-3</c:v>
                </c:pt>
                <c:pt idx="2">
                  <c:v>alpha-4</c:v>
                </c:pt>
              </c:strCache>
            </c:strRef>
          </c:cat>
          <c:val>
            <c:numRef>
              <c:f>'Max Growth Rate'!$AY$83:$BA$83</c:f>
              <c:numCache>
                <c:formatCode>General</c:formatCode>
                <c:ptCount val="3"/>
                <c:pt idx="0">
                  <c:v>53471.444995484308</c:v>
                </c:pt>
                <c:pt idx="1">
                  <c:v>64586.398895561455</c:v>
                </c:pt>
                <c:pt idx="2">
                  <c:v>48346.070683630751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0-4319-8DB7-68BC71339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0471408"/>
        <c:axId val="240473376"/>
      </c:barChart>
      <c:catAx>
        <c:axId val="24047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73376"/>
        <c:crosses val="autoZero"/>
        <c:auto val="1"/>
        <c:lblAlgn val="ctr"/>
        <c:lblOffset val="100"/>
        <c:noMultiLvlLbl val="0"/>
      </c:catAx>
      <c:valAx>
        <c:axId val="24047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47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'Max Growth Rate'!$A$221</c:f>
              <c:strCache>
                <c:ptCount val="1"/>
                <c:pt idx="0">
                  <c:v>alpha-2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'Max Growth Rate'!$B$226:$E$226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0.32060665152176743</c:v>
                  </c:pt>
                  <c:pt idx="2">
                    <c:v>3.1498104481659204</c:v>
                  </c:pt>
                  <c:pt idx="3">
                    <c:v>3.1759718191592556</c:v>
                  </c:pt>
                </c:numCache>
              </c:numRef>
            </c:plus>
            <c:minus>
              <c:numRef>
                <c:f>'Max Growth Rate'!$B$226:$E$226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0.32060665152176743</c:v>
                  </c:pt>
                  <c:pt idx="2">
                    <c:v>3.1498104481659204</c:v>
                  </c:pt>
                  <c:pt idx="3">
                    <c:v>3.1759718191592556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'Max Growth Rate'!$B$220:$E$220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'Max Growth Rate'!$B$221:$E$221</c:f>
              <c:numCache>
                <c:formatCode>General</c:formatCode>
                <c:ptCount val="4"/>
                <c:pt idx="0">
                  <c:v>1</c:v>
                </c:pt>
                <c:pt idx="1">
                  <c:v>3.3330000000000006</c:v>
                </c:pt>
                <c:pt idx="2">
                  <c:v>20.752624999999998</c:v>
                </c:pt>
                <c:pt idx="3">
                  <c:v>32.839562499999992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C4-4C7A-A511-AEC31960EA20}"/>
            </c:ext>
          </c:extLst>
        </c:ser>
        <c:ser>
          <c:idx val="1"/>
          <c:order val="1"/>
          <c:tx>
            <c:strRef>
              <c:f>'Max Growth Rate'!$A$222</c:f>
              <c:strCache>
                <c:ptCount val="1"/>
                <c:pt idx="0">
                  <c:v>alpha-3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'Max Growth Rate'!$B$227:$E$227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1.1203016038521718</c:v>
                  </c:pt>
                  <c:pt idx="2">
                    <c:v>4.5613231765676954</c:v>
                  </c:pt>
                  <c:pt idx="3">
                    <c:v>7.404710611116105</c:v>
                  </c:pt>
                </c:numCache>
              </c:numRef>
            </c:plus>
            <c:minus>
              <c:numRef>
                <c:f>'Max Growth Rate'!$B$227:$E$227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1.1203016038521718</c:v>
                  </c:pt>
                  <c:pt idx="2">
                    <c:v>4.5613231765676954</c:v>
                  </c:pt>
                  <c:pt idx="3">
                    <c:v>7.404710611116105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'Max Growth Rate'!$B$220:$E$220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'Max Growth Rate'!$B$222:$E$222</c:f>
              <c:numCache>
                <c:formatCode>General</c:formatCode>
                <c:ptCount val="4"/>
                <c:pt idx="0">
                  <c:v>1</c:v>
                </c:pt>
                <c:pt idx="1">
                  <c:v>4.3759375</c:v>
                </c:pt>
                <c:pt idx="2">
                  <c:v>24.330437500000002</c:v>
                </c:pt>
                <c:pt idx="3">
                  <c:v>40.473374999999997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C4-4C7A-A511-AEC31960EA20}"/>
            </c:ext>
          </c:extLst>
        </c:ser>
        <c:ser>
          <c:idx val="2"/>
          <c:order val="2"/>
          <c:tx>
            <c:strRef>
              <c:f>'Max Growth Rate'!$A$223</c:f>
              <c:strCache>
                <c:ptCount val="1"/>
                <c:pt idx="0">
                  <c:v>alpha-4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'Max Growth Rate'!$B$228:$E$228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0.57237027733364776</c:v>
                  </c:pt>
                  <c:pt idx="2">
                    <c:v>2.4055532164854996</c:v>
                  </c:pt>
                  <c:pt idx="3">
                    <c:v>3.4344098110155548</c:v>
                  </c:pt>
                </c:numCache>
              </c:numRef>
            </c:plus>
            <c:minus>
              <c:numRef>
                <c:f>'Max Growth Rate'!$B$228:$E$228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0.57237027733364776</c:v>
                  </c:pt>
                  <c:pt idx="2">
                    <c:v>2.4055532164854996</c:v>
                  </c:pt>
                  <c:pt idx="3">
                    <c:v>3.4344098110155548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'Max Growth Rate'!$B$220:$E$220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7</c:v>
                </c:pt>
              </c:numCache>
            </c:numRef>
          </c:xVal>
          <c:yVal>
            <c:numRef>
              <c:f>'Max Growth Rate'!$B$223:$E$223</c:f>
              <c:numCache>
                <c:formatCode>General</c:formatCode>
                <c:ptCount val="4"/>
                <c:pt idx="0">
                  <c:v>1</c:v>
                </c:pt>
                <c:pt idx="1">
                  <c:v>3.8618749999999999</c:v>
                </c:pt>
                <c:pt idx="2">
                  <c:v>22.339187500000001</c:v>
                </c:pt>
                <c:pt idx="3">
                  <c:v>33.912000000000006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C4-4C7A-A511-AEC31960E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420080"/>
        <c:axId val="708421392"/>
      </c:scatterChart>
      <c:valAx>
        <c:axId val="70842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21392"/>
        <c:crosses val="autoZero"/>
        <c:crossBetween val="midCat"/>
      </c:valAx>
      <c:valAx>
        <c:axId val="708421392"/>
        <c:scaling>
          <c:logBase val="10"/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42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138793</xdr:colOff>
      <xdr:row>77</xdr:row>
      <xdr:rowOff>298677</xdr:rowOff>
    </xdr:from>
    <xdr:to>
      <xdr:col>18</xdr:col>
      <xdr:colOff>421822</xdr:colOff>
      <xdr:row>80</xdr:row>
      <xdr:rowOff>13607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5484391-7576-4942-BF4D-1DD9FC36F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138793</xdr:colOff>
      <xdr:row>77</xdr:row>
      <xdr:rowOff>298677</xdr:rowOff>
    </xdr:from>
    <xdr:to>
      <xdr:col>35</xdr:col>
      <xdr:colOff>421822</xdr:colOff>
      <xdr:row>80</xdr:row>
      <xdr:rowOff>13607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414059FD-2430-4C94-8DF6-00639400D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97</xdr:row>
      <xdr:rowOff>161924</xdr:rowOff>
    </xdr:from>
    <xdr:to>
      <xdr:col>8</xdr:col>
      <xdr:colOff>228600</xdr:colOff>
      <xdr:row>129</xdr:row>
      <xdr:rowOff>28575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9D5F64E4-421E-49C0-B17B-3605489D6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66675</xdr:colOff>
      <xdr:row>94</xdr:row>
      <xdr:rowOff>95250</xdr:rowOff>
    </xdr:from>
    <xdr:to>
      <xdr:col>24</xdr:col>
      <xdr:colOff>295275</xdr:colOff>
      <xdr:row>125</xdr:row>
      <xdr:rowOff>123826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D13BB215-8811-4F70-B2A3-46B29B725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28575</xdr:colOff>
      <xdr:row>94</xdr:row>
      <xdr:rowOff>76200</xdr:rowOff>
    </xdr:from>
    <xdr:to>
      <xdr:col>41</xdr:col>
      <xdr:colOff>257175</xdr:colOff>
      <xdr:row>125</xdr:row>
      <xdr:rowOff>104776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3A2F3390-BD5A-4024-84B0-4FBD55AB8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89</xdr:row>
      <xdr:rowOff>114300</xdr:rowOff>
    </xdr:from>
    <xdr:to>
      <xdr:col>6</xdr:col>
      <xdr:colOff>638175</xdr:colOff>
      <xdr:row>106</xdr:row>
      <xdr:rowOff>104775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2B31D94-DE93-4C60-BA90-125447700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285750</xdr:colOff>
      <xdr:row>83</xdr:row>
      <xdr:rowOff>19050</xdr:rowOff>
    </xdr:from>
    <xdr:to>
      <xdr:col>16</xdr:col>
      <xdr:colOff>285750</xdr:colOff>
      <xdr:row>100</xdr:row>
      <xdr:rowOff>9525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418E665-DA3A-4C42-8455-2288ADE05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666750</xdr:colOff>
      <xdr:row>72</xdr:row>
      <xdr:rowOff>50345</xdr:rowOff>
    </xdr:from>
    <xdr:to>
      <xdr:col>63</xdr:col>
      <xdr:colOff>666750</xdr:colOff>
      <xdr:row>89</xdr:row>
      <xdr:rowOff>17688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30A56B4-091D-4514-93CC-5112EEC4B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89</xdr:col>
      <xdr:colOff>666750</xdr:colOff>
      <xdr:row>72</xdr:row>
      <xdr:rowOff>50345</xdr:rowOff>
    </xdr:from>
    <xdr:to>
      <xdr:col>95</xdr:col>
      <xdr:colOff>666750</xdr:colOff>
      <xdr:row>89</xdr:row>
      <xdr:rowOff>17688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4213917-B3FC-466A-94AF-5B659FCCB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121</xdr:col>
      <xdr:colOff>666750</xdr:colOff>
      <xdr:row>72</xdr:row>
      <xdr:rowOff>50345</xdr:rowOff>
    </xdr:from>
    <xdr:to>
      <xdr:col>127</xdr:col>
      <xdr:colOff>666750</xdr:colOff>
      <xdr:row>89</xdr:row>
      <xdr:rowOff>17688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D1D1315D-D0E8-4FE6-8AF9-511B5EE98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355021</xdr:colOff>
      <xdr:row>245</xdr:row>
      <xdr:rowOff>117763</xdr:rowOff>
    </xdr:from>
    <xdr:to>
      <xdr:col>26</xdr:col>
      <xdr:colOff>225136</xdr:colOff>
      <xdr:row>320</xdr:row>
      <xdr:rowOff>34636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FE95B35-3D4B-445D-9EF8-8BC5F4E1E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614794</xdr:colOff>
      <xdr:row>74</xdr:row>
      <xdr:rowOff>48491</xdr:rowOff>
    </xdr:from>
    <xdr:to>
      <xdr:col>63</xdr:col>
      <xdr:colOff>614794</xdr:colOff>
      <xdr:row>91</xdr:row>
      <xdr:rowOff>142009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E85A327-3D00-4934-BDD7-CED943D76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89</xdr:col>
      <xdr:colOff>614794</xdr:colOff>
      <xdr:row>74</xdr:row>
      <xdr:rowOff>48491</xdr:rowOff>
    </xdr:from>
    <xdr:to>
      <xdr:col>95</xdr:col>
      <xdr:colOff>614794</xdr:colOff>
      <xdr:row>91</xdr:row>
      <xdr:rowOff>142009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021E5F8-B686-4CCD-A98B-7E5E66DCC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121</xdr:col>
      <xdr:colOff>623455</xdr:colOff>
      <xdr:row>73</xdr:row>
      <xdr:rowOff>0</xdr:rowOff>
    </xdr:from>
    <xdr:to>
      <xdr:col>127</xdr:col>
      <xdr:colOff>623455</xdr:colOff>
      <xdr:row>90</xdr:row>
      <xdr:rowOff>93518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94FC6A8-52F2-4726-A8D6-E86F6D679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95250</xdr:colOff>
      <xdr:row>213</xdr:row>
      <xdr:rowOff>80962</xdr:rowOff>
    </xdr:from>
    <xdr:to>
      <xdr:col>32</xdr:col>
      <xdr:colOff>23812</xdr:colOff>
      <xdr:row>310</xdr:row>
      <xdr:rowOff>23811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27B8459-0C1D-4860-ABAF-82078050D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493567</xdr:colOff>
      <xdr:row>72</xdr:row>
      <xdr:rowOff>152400</xdr:rowOff>
    </xdr:from>
    <xdr:to>
      <xdr:col>63</xdr:col>
      <xdr:colOff>493567</xdr:colOff>
      <xdr:row>90</xdr:row>
      <xdr:rowOff>90055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D3D57E4-D65B-47C3-ADA7-EDCA4830F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89</xdr:col>
      <xdr:colOff>493567</xdr:colOff>
      <xdr:row>72</xdr:row>
      <xdr:rowOff>152400</xdr:rowOff>
    </xdr:from>
    <xdr:to>
      <xdr:col>95</xdr:col>
      <xdr:colOff>493567</xdr:colOff>
      <xdr:row>90</xdr:row>
      <xdr:rowOff>90055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501E7CE-580E-4A64-9889-82A146715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753338</xdr:colOff>
      <xdr:row>240</xdr:row>
      <xdr:rowOff>117763</xdr:rowOff>
    </xdr:from>
    <xdr:to>
      <xdr:col>26</xdr:col>
      <xdr:colOff>173181</xdr:colOff>
      <xdr:row>315</xdr:row>
      <xdr:rowOff>103908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97A055B-8D0C-4119-AB46-7642FD674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441613</xdr:colOff>
      <xdr:row>71</xdr:row>
      <xdr:rowOff>152400</xdr:rowOff>
    </xdr:from>
    <xdr:to>
      <xdr:col>30</xdr:col>
      <xdr:colOff>441613</xdr:colOff>
      <xdr:row>89</xdr:row>
      <xdr:rowOff>90054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257AC60-7DA3-4219-88FA-0E159CFDA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441613</xdr:colOff>
      <xdr:row>71</xdr:row>
      <xdr:rowOff>152400</xdr:rowOff>
    </xdr:from>
    <xdr:to>
      <xdr:col>46</xdr:col>
      <xdr:colOff>441613</xdr:colOff>
      <xdr:row>89</xdr:row>
      <xdr:rowOff>90054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E025838-EFAE-4490-A39A-FE95C5A9B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56</xdr:col>
      <xdr:colOff>441613</xdr:colOff>
      <xdr:row>71</xdr:row>
      <xdr:rowOff>152400</xdr:rowOff>
    </xdr:from>
    <xdr:to>
      <xdr:col>62</xdr:col>
      <xdr:colOff>441613</xdr:colOff>
      <xdr:row>89</xdr:row>
      <xdr:rowOff>90054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B47E266-874B-461A-99A0-820F7769C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17317</xdr:colOff>
      <xdr:row>158</xdr:row>
      <xdr:rowOff>83126</xdr:rowOff>
    </xdr:from>
    <xdr:to>
      <xdr:col>24</xdr:col>
      <xdr:colOff>259772</xdr:colOff>
      <xdr:row>225</xdr:row>
      <xdr:rowOff>138545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60C9A2E-417D-402D-AF17-3FC6032D6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543994</xdr:colOff>
      <xdr:row>71</xdr:row>
      <xdr:rowOff>108595</xdr:rowOff>
    </xdr:from>
    <xdr:to>
      <xdr:col>14</xdr:col>
      <xdr:colOff>543994</xdr:colOff>
      <xdr:row>89</xdr:row>
      <xdr:rowOff>41155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6DB4F0C-A934-4410-A985-75ED76109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424294</xdr:colOff>
      <xdr:row>73</xdr:row>
      <xdr:rowOff>100445</xdr:rowOff>
    </xdr:from>
    <xdr:to>
      <xdr:col>30</xdr:col>
      <xdr:colOff>424294</xdr:colOff>
      <xdr:row>91</xdr:row>
      <xdr:rowOff>38099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6E7307D-3B6B-409E-8D66-1A69DFA62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424294</xdr:colOff>
      <xdr:row>73</xdr:row>
      <xdr:rowOff>100445</xdr:rowOff>
    </xdr:from>
    <xdr:to>
      <xdr:col>46</xdr:col>
      <xdr:colOff>424294</xdr:colOff>
      <xdr:row>91</xdr:row>
      <xdr:rowOff>38099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414FD3AD-8117-4068-9898-3033084E4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424294</xdr:colOff>
      <xdr:row>73</xdr:row>
      <xdr:rowOff>100445</xdr:rowOff>
    </xdr:from>
    <xdr:to>
      <xdr:col>62</xdr:col>
      <xdr:colOff>424294</xdr:colOff>
      <xdr:row>91</xdr:row>
      <xdr:rowOff>38099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24576F8E-C038-408A-8BB8-238411EF7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658090</xdr:colOff>
      <xdr:row>179</xdr:row>
      <xdr:rowOff>65808</xdr:rowOff>
    </xdr:from>
    <xdr:to>
      <xdr:col>24</xdr:col>
      <xdr:colOff>225136</xdr:colOff>
      <xdr:row>256</xdr:row>
      <xdr:rowOff>-1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6AB177E1-C04F-4E5E-981D-0AFFDD621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337704</xdr:colOff>
      <xdr:row>72</xdr:row>
      <xdr:rowOff>100445</xdr:rowOff>
    </xdr:from>
    <xdr:to>
      <xdr:col>29</xdr:col>
      <xdr:colOff>337704</xdr:colOff>
      <xdr:row>90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EBCFEFA-8A61-4DE4-9393-EC6D54913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580158</xdr:colOff>
      <xdr:row>73</xdr:row>
      <xdr:rowOff>48491</xdr:rowOff>
    </xdr:from>
    <xdr:to>
      <xdr:col>13</xdr:col>
      <xdr:colOff>580158</xdr:colOff>
      <xdr:row>90</xdr:row>
      <xdr:rowOff>142009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EEEC4036-63E3-4085-8588-BA09B9333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337704</xdr:colOff>
      <xdr:row>72</xdr:row>
      <xdr:rowOff>100445</xdr:rowOff>
    </xdr:from>
    <xdr:to>
      <xdr:col>45</xdr:col>
      <xdr:colOff>337704</xdr:colOff>
      <xdr:row>90</xdr:row>
      <xdr:rowOff>38100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404A929D-4B1E-4D1D-B6C1-EF77D9B70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55</xdr:col>
      <xdr:colOff>337704</xdr:colOff>
      <xdr:row>72</xdr:row>
      <xdr:rowOff>100445</xdr:rowOff>
    </xdr:from>
    <xdr:to>
      <xdr:col>61</xdr:col>
      <xdr:colOff>337704</xdr:colOff>
      <xdr:row>90</xdr:row>
      <xdr:rowOff>38100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8BD48D05-A798-44D6-9BF4-5B5212A14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121226</xdr:colOff>
      <xdr:row>162</xdr:row>
      <xdr:rowOff>138545</xdr:rowOff>
    </xdr:from>
    <xdr:to>
      <xdr:col>22</xdr:col>
      <xdr:colOff>727363</xdr:colOff>
      <xdr:row>233</xdr:row>
      <xdr:rowOff>138546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DBA2228-3E09-4F1F-A3ED-EAA9B2CD7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X105"/>
  <sheetViews>
    <sheetView topLeftCell="A85" zoomScaleNormal="100" workbookViewId="0">
      <selection activeCell="O97" sqref="O97"/>
    </sheetView>
  </sheetViews>
  <sheetFormatPr baseColWidth="10" defaultColWidth="9.140625" defaultRowHeight="12.75" x14ac:dyDescent="0.2"/>
  <cols>
    <col min="3" max="3" width="24.85546875" customWidth="1"/>
    <col min="11" max="11" width="11" bestFit="1" customWidth="1"/>
    <col min="19" max="19" width="24.5703125" customWidth="1"/>
    <col min="27" max="27" width="11" bestFit="1" customWidth="1"/>
    <col min="36" max="36" width="24.5703125" customWidth="1"/>
    <col min="43" max="43" width="11" bestFit="1" customWidth="1"/>
  </cols>
  <sheetData>
    <row r="3" spans="2:48" x14ac:dyDescent="0.2">
      <c r="B3" t="s">
        <v>54</v>
      </c>
    </row>
    <row r="5" spans="2:48" x14ac:dyDescent="0.2">
      <c r="B5" t="s">
        <v>62</v>
      </c>
    </row>
    <row r="6" spans="2:48" x14ac:dyDescent="0.2">
      <c r="C6" t="s">
        <v>52</v>
      </c>
    </row>
    <row r="7" spans="2:48" x14ac:dyDescent="0.2">
      <c r="C7" t="s">
        <v>58</v>
      </c>
    </row>
    <row r="8" spans="2:48" x14ac:dyDescent="0.2">
      <c r="C8" t="s">
        <v>53</v>
      </c>
    </row>
    <row r="9" spans="2:48" x14ac:dyDescent="0.2">
      <c r="B9" t="s">
        <v>59</v>
      </c>
    </row>
    <row r="10" spans="2:48" x14ac:dyDescent="0.2">
      <c r="B10" t="s">
        <v>60</v>
      </c>
    </row>
    <row r="11" spans="2:48" x14ac:dyDescent="0.2">
      <c r="B11" t="s">
        <v>61</v>
      </c>
    </row>
    <row r="13" spans="2:48" x14ac:dyDescent="0.2">
      <c r="C13" s="5" t="s">
        <v>50</v>
      </c>
      <c r="D13" s="6">
        <v>1</v>
      </c>
      <c r="E13" s="6">
        <v>2</v>
      </c>
      <c r="F13" s="6">
        <v>3</v>
      </c>
      <c r="G13" s="6">
        <v>4</v>
      </c>
      <c r="H13" s="6">
        <v>5</v>
      </c>
      <c r="I13" s="6">
        <v>6</v>
      </c>
      <c r="J13" s="6">
        <v>7</v>
      </c>
      <c r="K13" s="6">
        <v>8</v>
      </c>
      <c r="L13" s="6">
        <v>9</v>
      </c>
      <c r="M13" s="6">
        <v>10</v>
      </c>
      <c r="N13" s="6">
        <v>11</v>
      </c>
      <c r="O13" s="6">
        <v>12</v>
      </c>
      <c r="S13" s="5" t="s">
        <v>63</v>
      </c>
      <c r="T13" s="6">
        <v>1</v>
      </c>
      <c r="U13" s="6">
        <v>2</v>
      </c>
      <c r="V13" s="6">
        <v>3</v>
      </c>
      <c r="W13" s="6">
        <v>4</v>
      </c>
      <c r="X13" s="6">
        <v>5</v>
      </c>
      <c r="Y13" s="6">
        <v>6</v>
      </c>
      <c r="Z13" s="6">
        <v>7</v>
      </c>
      <c r="AA13" s="6">
        <v>8</v>
      </c>
      <c r="AB13" s="6">
        <v>9</v>
      </c>
      <c r="AC13" s="6">
        <v>10</v>
      </c>
      <c r="AD13" s="6">
        <v>11</v>
      </c>
      <c r="AE13" s="6">
        <v>12</v>
      </c>
      <c r="AJ13" s="5" t="s">
        <v>51</v>
      </c>
      <c r="AK13" s="6">
        <v>1</v>
      </c>
      <c r="AL13" s="6">
        <v>2</v>
      </c>
      <c r="AM13" s="6">
        <v>3</v>
      </c>
      <c r="AN13" s="6">
        <v>4</v>
      </c>
      <c r="AO13" s="6">
        <v>5</v>
      </c>
      <c r="AP13" s="6">
        <v>6</v>
      </c>
      <c r="AQ13" s="6">
        <v>7</v>
      </c>
      <c r="AR13" s="6">
        <v>8</v>
      </c>
      <c r="AS13" s="6">
        <v>9</v>
      </c>
      <c r="AT13" s="6">
        <v>10</v>
      </c>
      <c r="AU13" s="6">
        <v>11</v>
      </c>
      <c r="AV13" s="6">
        <v>12</v>
      </c>
    </row>
    <row r="14" spans="2:48" x14ac:dyDescent="0.2">
      <c r="C14" s="6" t="s">
        <v>29</v>
      </c>
      <c r="D14" s="7"/>
      <c r="E14" s="7"/>
      <c r="F14" s="7"/>
      <c r="G14" s="7"/>
      <c r="H14" s="14"/>
      <c r="I14" s="14"/>
      <c r="J14" s="14"/>
      <c r="K14" s="7"/>
      <c r="L14" s="7"/>
      <c r="M14" s="7"/>
      <c r="N14" s="7"/>
      <c r="O14" s="7"/>
      <c r="S14" s="6" t="s">
        <v>29</v>
      </c>
      <c r="T14" s="7"/>
      <c r="U14" s="7"/>
      <c r="V14" s="7"/>
      <c r="W14" s="7"/>
      <c r="X14" s="14"/>
      <c r="Y14" s="14"/>
      <c r="Z14" s="14"/>
      <c r="AA14" s="7"/>
      <c r="AB14" s="7"/>
      <c r="AC14" s="7"/>
      <c r="AD14" s="7"/>
      <c r="AE14" s="7"/>
      <c r="AJ14" s="6" t="s">
        <v>29</v>
      </c>
      <c r="AK14" s="7"/>
      <c r="AL14" s="7"/>
      <c r="AM14" s="7"/>
      <c r="AN14" s="7"/>
      <c r="AO14" s="14"/>
      <c r="AP14" s="14"/>
      <c r="AQ14" s="14"/>
      <c r="AR14" s="7"/>
      <c r="AS14" s="7"/>
      <c r="AT14" s="7"/>
      <c r="AU14" s="7"/>
      <c r="AV14" s="7"/>
    </row>
    <row r="15" spans="2:48" x14ac:dyDescent="0.2">
      <c r="C15" s="6" t="s">
        <v>33</v>
      </c>
      <c r="D15" s="7"/>
      <c r="E15" s="7">
        <v>0</v>
      </c>
      <c r="F15" s="7">
        <v>50</v>
      </c>
      <c r="G15" s="7">
        <v>100</v>
      </c>
      <c r="H15" s="7">
        <v>200</v>
      </c>
      <c r="I15" s="14">
        <v>400</v>
      </c>
      <c r="J15" s="14">
        <v>800</v>
      </c>
      <c r="K15" s="14">
        <v>1600</v>
      </c>
      <c r="L15" s="7">
        <v>3200</v>
      </c>
      <c r="M15" s="7">
        <v>6400</v>
      </c>
      <c r="N15" s="7" t="s">
        <v>64</v>
      </c>
      <c r="O15" s="7"/>
      <c r="S15" s="6" t="s">
        <v>33</v>
      </c>
      <c r="T15" s="7"/>
      <c r="U15" s="7">
        <v>0</v>
      </c>
      <c r="V15" s="7">
        <v>50</v>
      </c>
      <c r="W15" s="7">
        <v>100</v>
      </c>
      <c r="X15" s="7">
        <v>200</v>
      </c>
      <c r="Y15" s="14">
        <v>400</v>
      </c>
      <c r="Z15" s="14">
        <v>800</v>
      </c>
      <c r="AA15" s="14">
        <v>1600</v>
      </c>
      <c r="AB15" s="7">
        <v>3200</v>
      </c>
      <c r="AC15" s="7">
        <v>6400</v>
      </c>
      <c r="AD15" s="7" t="s">
        <v>64</v>
      </c>
      <c r="AE15" s="7"/>
      <c r="AJ15" s="6" t="s">
        <v>33</v>
      </c>
      <c r="AK15" s="7"/>
      <c r="AL15" s="7">
        <v>0</v>
      </c>
      <c r="AM15" s="7">
        <v>50</v>
      </c>
      <c r="AN15" s="7">
        <v>100</v>
      </c>
      <c r="AO15" s="7">
        <v>200</v>
      </c>
      <c r="AP15" s="14">
        <v>400</v>
      </c>
      <c r="AQ15" s="14">
        <v>800</v>
      </c>
      <c r="AR15" s="14">
        <v>1600</v>
      </c>
      <c r="AS15" s="7">
        <v>3200</v>
      </c>
      <c r="AT15" s="7">
        <v>6400</v>
      </c>
      <c r="AU15" s="7" t="s">
        <v>64</v>
      </c>
      <c r="AV15" s="7"/>
    </row>
    <row r="16" spans="2:48" x14ac:dyDescent="0.2">
      <c r="C16" s="6" t="s">
        <v>36</v>
      </c>
      <c r="D16" s="7"/>
      <c r="E16" s="7">
        <v>0</v>
      </c>
      <c r="F16" s="7">
        <v>50</v>
      </c>
      <c r="G16" s="7">
        <v>100</v>
      </c>
      <c r="H16" s="7">
        <v>200</v>
      </c>
      <c r="I16" s="14">
        <v>400</v>
      </c>
      <c r="J16" s="14">
        <v>800</v>
      </c>
      <c r="K16" s="14">
        <v>1600</v>
      </c>
      <c r="L16" s="7">
        <v>3200</v>
      </c>
      <c r="M16" s="7">
        <v>6400</v>
      </c>
      <c r="N16" s="7" t="s">
        <v>64</v>
      </c>
      <c r="O16" s="7"/>
      <c r="S16" s="6" t="s">
        <v>36</v>
      </c>
      <c r="T16" s="7"/>
      <c r="U16" s="7">
        <v>0</v>
      </c>
      <c r="V16" s="7">
        <v>50</v>
      </c>
      <c r="W16" s="7">
        <v>100</v>
      </c>
      <c r="X16" s="7">
        <v>200</v>
      </c>
      <c r="Y16" s="14">
        <v>400</v>
      </c>
      <c r="Z16" s="14">
        <v>800</v>
      </c>
      <c r="AA16" s="14">
        <v>1600</v>
      </c>
      <c r="AB16" s="7">
        <v>3200</v>
      </c>
      <c r="AC16" s="7">
        <v>6400</v>
      </c>
      <c r="AD16" s="7" t="s">
        <v>64</v>
      </c>
      <c r="AE16" s="7"/>
      <c r="AJ16" s="6" t="s">
        <v>36</v>
      </c>
      <c r="AK16" s="7"/>
      <c r="AL16" s="7">
        <v>0</v>
      </c>
      <c r="AM16" s="7">
        <v>50</v>
      </c>
      <c r="AN16" s="7">
        <v>100</v>
      </c>
      <c r="AO16" s="7">
        <v>200</v>
      </c>
      <c r="AP16" s="14">
        <v>400</v>
      </c>
      <c r="AQ16" s="14">
        <v>800</v>
      </c>
      <c r="AR16" s="14">
        <v>1600</v>
      </c>
      <c r="AS16" s="7">
        <v>3200</v>
      </c>
      <c r="AT16" s="7">
        <v>6400</v>
      </c>
      <c r="AU16" s="7" t="s">
        <v>64</v>
      </c>
      <c r="AV16" s="7"/>
    </row>
    <row r="17" spans="2:48" x14ac:dyDescent="0.2">
      <c r="C17" s="6" t="s">
        <v>39</v>
      </c>
      <c r="D17" s="7"/>
      <c r="E17" s="7">
        <v>0</v>
      </c>
      <c r="F17" s="7">
        <v>50</v>
      </c>
      <c r="G17" s="7">
        <v>100</v>
      </c>
      <c r="H17" s="7">
        <v>200</v>
      </c>
      <c r="I17" s="14">
        <v>400</v>
      </c>
      <c r="J17" s="14">
        <v>800</v>
      </c>
      <c r="K17" s="14">
        <v>1600</v>
      </c>
      <c r="L17" s="7">
        <v>3200</v>
      </c>
      <c r="M17" s="7">
        <v>6400</v>
      </c>
      <c r="N17" s="7" t="s">
        <v>64</v>
      </c>
      <c r="O17" s="7"/>
      <c r="S17" s="6" t="s">
        <v>39</v>
      </c>
      <c r="T17" s="7"/>
      <c r="U17" s="7">
        <v>0</v>
      </c>
      <c r="V17" s="7">
        <v>50</v>
      </c>
      <c r="W17" s="7">
        <v>100</v>
      </c>
      <c r="X17" s="7">
        <v>200</v>
      </c>
      <c r="Y17" s="14">
        <v>400</v>
      </c>
      <c r="Z17" s="14">
        <v>800</v>
      </c>
      <c r="AA17" s="14">
        <v>1600</v>
      </c>
      <c r="AB17" s="7">
        <v>3200</v>
      </c>
      <c r="AC17" s="7">
        <v>6400</v>
      </c>
      <c r="AD17" s="7" t="s">
        <v>64</v>
      </c>
      <c r="AE17" s="7"/>
      <c r="AJ17" s="6" t="s">
        <v>39</v>
      </c>
      <c r="AK17" s="7"/>
      <c r="AL17" s="7">
        <v>0</v>
      </c>
      <c r="AM17" s="7">
        <v>50</v>
      </c>
      <c r="AN17" s="7">
        <v>100</v>
      </c>
      <c r="AO17" s="7">
        <v>200</v>
      </c>
      <c r="AP17" s="14">
        <v>400</v>
      </c>
      <c r="AQ17" s="14">
        <v>800</v>
      </c>
      <c r="AR17" s="14">
        <v>1600</v>
      </c>
      <c r="AS17" s="7">
        <v>3200</v>
      </c>
      <c r="AT17" s="7">
        <v>6400</v>
      </c>
      <c r="AU17" s="7" t="s">
        <v>64</v>
      </c>
      <c r="AV17" s="7"/>
    </row>
    <row r="18" spans="2:48" x14ac:dyDescent="0.2">
      <c r="C18" s="6" t="s">
        <v>42</v>
      </c>
      <c r="D18" s="7"/>
      <c r="E18" s="7">
        <v>0</v>
      </c>
      <c r="F18" s="7">
        <v>50</v>
      </c>
      <c r="G18" s="7">
        <v>100</v>
      </c>
      <c r="H18" s="7">
        <v>200</v>
      </c>
      <c r="I18" s="14">
        <v>400</v>
      </c>
      <c r="J18" s="14">
        <v>800</v>
      </c>
      <c r="K18" s="14">
        <v>1600</v>
      </c>
      <c r="L18" s="7">
        <v>3200</v>
      </c>
      <c r="M18" s="7">
        <v>6400</v>
      </c>
      <c r="N18" s="7" t="s">
        <v>64</v>
      </c>
      <c r="O18" s="7"/>
      <c r="S18" s="6" t="s">
        <v>42</v>
      </c>
      <c r="T18" s="7"/>
      <c r="U18" s="7">
        <v>0</v>
      </c>
      <c r="V18" s="7">
        <v>50</v>
      </c>
      <c r="W18" s="7">
        <v>100</v>
      </c>
      <c r="X18" s="7">
        <v>200</v>
      </c>
      <c r="Y18" s="14">
        <v>400</v>
      </c>
      <c r="Z18" s="14">
        <v>800</v>
      </c>
      <c r="AA18" s="14">
        <v>1600</v>
      </c>
      <c r="AB18" s="7">
        <v>3200</v>
      </c>
      <c r="AC18" s="7">
        <v>6400</v>
      </c>
      <c r="AD18" s="7" t="s">
        <v>64</v>
      </c>
      <c r="AE18" s="7"/>
      <c r="AJ18" s="6" t="s">
        <v>42</v>
      </c>
      <c r="AK18" s="7"/>
      <c r="AL18" s="7">
        <v>0</v>
      </c>
      <c r="AM18" s="7">
        <v>50</v>
      </c>
      <c r="AN18" s="7">
        <v>100</v>
      </c>
      <c r="AO18" s="7">
        <v>200</v>
      </c>
      <c r="AP18" s="14">
        <v>400</v>
      </c>
      <c r="AQ18" s="14">
        <v>800</v>
      </c>
      <c r="AR18" s="14">
        <v>1600</v>
      </c>
      <c r="AS18" s="7">
        <v>3200</v>
      </c>
      <c r="AT18" s="7">
        <v>6400</v>
      </c>
      <c r="AU18" s="7" t="s">
        <v>64</v>
      </c>
      <c r="AV18" s="7"/>
    </row>
    <row r="19" spans="2:48" x14ac:dyDescent="0.2">
      <c r="C19" s="6" t="s">
        <v>43</v>
      </c>
      <c r="D19" s="7"/>
      <c r="E19" s="7">
        <v>0</v>
      </c>
      <c r="F19" s="7">
        <v>50</v>
      </c>
      <c r="G19" s="7">
        <v>100</v>
      </c>
      <c r="H19" s="7">
        <v>200</v>
      </c>
      <c r="I19" s="14">
        <v>400</v>
      </c>
      <c r="J19" s="14">
        <v>800</v>
      </c>
      <c r="K19" s="14">
        <v>1600</v>
      </c>
      <c r="L19" s="7">
        <v>3200</v>
      </c>
      <c r="M19" s="7">
        <v>6400</v>
      </c>
      <c r="N19" s="7" t="s">
        <v>64</v>
      </c>
      <c r="O19" s="7"/>
      <c r="S19" s="6" t="s">
        <v>43</v>
      </c>
      <c r="T19" s="7"/>
      <c r="U19" s="7">
        <v>0</v>
      </c>
      <c r="V19" s="7">
        <v>50</v>
      </c>
      <c r="W19" s="7">
        <v>100</v>
      </c>
      <c r="X19" s="7">
        <v>200</v>
      </c>
      <c r="Y19" s="14">
        <v>400</v>
      </c>
      <c r="Z19" s="14">
        <v>800</v>
      </c>
      <c r="AA19" s="14">
        <v>1600</v>
      </c>
      <c r="AB19" s="7">
        <v>3200</v>
      </c>
      <c r="AC19" s="7">
        <v>6400</v>
      </c>
      <c r="AD19" s="7" t="s">
        <v>64</v>
      </c>
      <c r="AE19" s="7"/>
      <c r="AJ19" s="6" t="s">
        <v>43</v>
      </c>
      <c r="AK19" s="7"/>
      <c r="AL19" s="7">
        <v>0</v>
      </c>
      <c r="AM19" s="7">
        <v>50</v>
      </c>
      <c r="AN19" s="7">
        <v>100</v>
      </c>
      <c r="AO19" s="7">
        <v>200</v>
      </c>
      <c r="AP19" s="14">
        <v>400</v>
      </c>
      <c r="AQ19" s="14">
        <v>800</v>
      </c>
      <c r="AR19" s="14">
        <v>1600</v>
      </c>
      <c r="AS19" s="7">
        <v>3200</v>
      </c>
      <c r="AT19" s="7">
        <v>6400</v>
      </c>
      <c r="AU19" s="7" t="s">
        <v>64</v>
      </c>
      <c r="AV19" s="7"/>
    </row>
    <row r="20" spans="2:48" x14ac:dyDescent="0.2">
      <c r="C20" s="6" t="s">
        <v>44</v>
      </c>
      <c r="D20" s="7"/>
      <c r="E20" s="7">
        <v>0</v>
      </c>
      <c r="F20" s="7">
        <v>50</v>
      </c>
      <c r="G20" s="7">
        <v>100</v>
      </c>
      <c r="H20" s="7">
        <v>200</v>
      </c>
      <c r="I20" s="14">
        <v>400</v>
      </c>
      <c r="J20" s="14">
        <v>800</v>
      </c>
      <c r="K20" s="14">
        <v>1600</v>
      </c>
      <c r="L20" s="7">
        <v>3200</v>
      </c>
      <c r="M20" s="7">
        <v>6400</v>
      </c>
      <c r="N20" s="7" t="s">
        <v>64</v>
      </c>
      <c r="O20" s="7"/>
      <c r="S20" s="6" t="s">
        <v>44</v>
      </c>
      <c r="T20" s="7"/>
      <c r="U20" s="7">
        <v>0</v>
      </c>
      <c r="V20" s="7">
        <v>50</v>
      </c>
      <c r="W20" s="7">
        <v>100</v>
      </c>
      <c r="X20" s="7">
        <v>200</v>
      </c>
      <c r="Y20" s="14">
        <v>400</v>
      </c>
      <c r="Z20" s="14">
        <v>800</v>
      </c>
      <c r="AA20" s="14">
        <v>1600</v>
      </c>
      <c r="AB20" s="7">
        <v>3200</v>
      </c>
      <c r="AC20" s="7">
        <v>6400</v>
      </c>
      <c r="AD20" s="7" t="s">
        <v>64</v>
      </c>
      <c r="AE20" s="7"/>
      <c r="AJ20" s="6" t="s">
        <v>44</v>
      </c>
      <c r="AK20" s="7"/>
      <c r="AL20" s="7">
        <v>0</v>
      </c>
      <c r="AM20" s="7">
        <v>50</v>
      </c>
      <c r="AN20" s="7">
        <v>100</v>
      </c>
      <c r="AO20" s="7">
        <v>200</v>
      </c>
      <c r="AP20" s="14">
        <v>400</v>
      </c>
      <c r="AQ20" s="14">
        <v>800</v>
      </c>
      <c r="AR20" s="14">
        <v>1600</v>
      </c>
      <c r="AS20" s="7">
        <v>3200</v>
      </c>
      <c r="AT20" s="7">
        <v>6400</v>
      </c>
      <c r="AU20" s="7" t="s">
        <v>64</v>
      </c>
      <c r="AV20" s="7"/>
    </row>
    <row r="21" spans="2:48" x14ac:dyDescent="0.2">
      <c r="C21" s="6" t="s">
        <v>45</v>
      </c>
      <c r="D21" s="7"/>
      <c r="E21" s="7"/>
      <c r="F21" s="7"/>
      <c r="G21" s="7"/>
      <c r="H21" s="14"/>
      <c r="I21" s="14"/>
      <c r="J21" s="14"/>
      <c r="K21" s="7"/>
      <c r="L21" s="7"/>
      <c r="M21" s="7"/>
      <c r="N21" s="7"/>
      <c r="O21" s="7"/>
      <c r="S21" s="6" t="s">
        <v>45</v>
      </c>
      <c r="T21" s="7"/>
      <c r="U21" s="7"/>
      <c r="V21" s="7"/>
      <c r="W21" s="7"/>
      <c r="X21" s="14"/>
      <c r="Y21" s="14"/>
      <c r="Z21" s="14"/>
      <c r="AA21" s="7"/>
      <c r="AB21" s="7"/>
      <c r="AC21" s="7"/>
      <c r="AD21" s="7"/>
      <c r="AE21" s="7"/>
      <c r="AJ21" s="6" t="s">
        <v>45</v>
      </c>
      <c r="AK21" s="7"/>
      <c r="AL21" s="7"/>
      <c r="AM21" s="7"/>
      <c r="AN21" s="7"/>
      <c r="AO21" s="14"/>
      <c r="AP21" s="14"/>
      <c r="AQ21" s="14"/>
      <c r="AR21" s="7"/>
      <c r="AS21" s="7"/>
      <c r="AT21" s="7"/>
      <c r="AU21" s="7"/>
      <c r="AV21" s="7"/>
    </row>
    <row r="24" spans="2:48" x14ac:dyDescent="0.2">
      <c r="B24" t="s">
        <v>0</v>
      </c>
      <c r="C24" t="s">
        <v>1</v>
      </c>
      <c r="R24" t="s">
        <v>0</v>
      </c>
      <c r="S24" t="s">
        <v>1</v>
      </c>
      <c r="AI24" t="s">
        <v>0</v>
      </c>
      <c r="AJ24" t="s">
        <v>1</v>
      </c>
    </row>
    <row r="26" spans="2:48" x14ac:dyDescent="0.2">
      <c r="B26" t="s">
        <v>2</v>
      </c>
      <c r="C26" t="s">
        <v>65</v>
      </c>
      <c r="R26" t="s">
        <v>2</v>
      </c>
      <c r="S26" t="s">
        <v>65</v>
      </c>
      <c r="AI26" t="s">
        <v>2</v>
      </c>
      <c r="AJ26" t="s">
        <v>65</v>
      </c>
    </row>
    <row r="27" spans="2:48" x14ac:dyDescent="0.2">
      <c r="B27" t="s">
        <v>3</v>
      </c>
      <c r="C27" t="s">
        <v>66</v>
      </c>
      <c r="R27" t="s">
        <v>3</v>
      </c>
      <c r="S27" t="s">
        <v>66</v>
      </c>
      <c r="AI27" t="s">
        <v>3</v>
      </c>
      <c r="AJ27" t="s">
        <v>66</v>
      </c>
    </row>
    <row r="28" spans="2:48" x14ac:dyDescent="0.2">
      <c r="B28" t="s">
        <v>4</v>
      </c>
      <c r="C28" t="s">
        <v>5</v>
      </c>
      <c r="R28" t="s">
        <v>4</v>
      </c>
      <c r="S28" t="s">
        <v>71</v>
      </c>
      <c r="AI28" t="s">
        <v>4</v>
      </c>
      <c r="AJ28" t="s">
        <v>72</v>
      </c>
    </row>
    <row r="29" spans="2:48" x14ac:dyDescent="0.2">
      <c r="B29" t="s">
        <v>6</v>
      </c>
      <c r="C29" s="1">
        <v>45678</v>
      </c>
      <c r="R29" t="s">
        <v>6</v>
      </c>
      <c r="S29" s="1">
        <v>45678</v>
      </c>
      <c r="AI29" t="s">
        <v>6</v>
      </c>
      <c r="AJ29" s="1">
        <v>45678</v>
      </c>
    </row>
    <row r="30" spans="2:48" x14ac:dyDescent="0.2">
      <c r="B30" t="s">
        <v>7</v>
      </c>
      <c r="C30" s="2">
        <v>0.56436342592592592</v>
      </c>
      <c r="R30" t="s">
        <v>7</v>
      </c>
      <c r="S30" s="2">
        <v>0.56777777777777783</v>
      </c>
      <c r="AI30" t="s">
        <v>7</v>
      </c>
      <c r="AJ30" s="2">
        <v>0.56951388888888888</v>
      </c>
    </row>
    <row r="31" spans="2:48" x14ac:dyDescent="0.2">
      <c r="B31" t="s">
        <v>8</v>
      </c>
      <c r="C31" t="s">
        <v>9</v>
      </c>
      <c r="R31" t="s">
        <v>8</v>
      </c>
      <c r="S31" t="s">
        <v>9</v>
      </c>
      <c r="AI31" t="s">
        <v>8</v>
      </c>
      <c r="AJ31" t="s">
        <v>9</v>
      </c>
    </row>
    <row r="32" spans="2:48" x14ac:dyDescent="0.2">
      <c r="B32" t="s">
        <v>10</v>
      </c>
      <c r="C32" t="s">
        <v>11</v>
      </c>
      <c r="R32" t="s">
        <v>10</v>
      </c>
      <c r="S32" t="s">
        <v>11</v>
      </c>
      <c r="AI32" t="s">
        <v>10</v>
      </c>
      <c r="AJ32" t="s">
        <v>11</v>
      </c>
    </row>
    <row r="33" spans="2:36" x14ac:dyDescent="0.2">
      <c r="B33" t="s">
        <v>12</v>
      </c>
      <c r="C33" t="s">
        <v>13</v>
      </c>
      <c r="R33" t="s">
        <v>12</v>
      </c>
      <c r="S33" t="s">
        <v>13</v>
      </c>
      <c r="AI33" t="s">
        <v>12</v>
      </c>
      <c r="AJ33" t="s">
        <v>13</v>
      </c>
    </row>
    <row r="35" spans="2:36" ht="38.25" x14ac:dyDescent="0.2">
      <c r="B35" s="3" t="s">
        <v>14</v>
      </c>
      <c r="C35" s="4"/>
      <c r="R35" s="3" t="s">
        <v>14</v>
      </c>
      <c r="S35" s="4"/>
      <c r="AI35" s="3" t="s">
        <v>14</v>
      </c>
      <c r="AJ35" s="4"/>
    </row>
    <row r="36" spans="2:36" x14ac:dyDescent="0.2">
      <c r="B36" t="s">
        <v>15</v>
      </c>
      <c r="C36" t="s">
        <v>16</v>
      </c>
      <c r="R36" t="s">
        <v>15</v>
      </c>
      <c r="S36" t="s">
        <v>16</v>
      </c>
      <c r="AI36" t="s">
        <v>15</v>
      </c>
      <c r="AJ36" t="s">
        <v>16</v>
      </c>
    </row>
    <row r="37" spans="2:36" x14ac:dyDescent="0.2">
      <c r="B37" t="s">
        <v>17</v>
      </c>
      <c r="R37" t="s">
        <v>17</v>
      </c>
      <c r="AI37" t="s">
        <v>17</v>
      </c>
    </row>
    <row r="38" spans="2:36" x14ac:dyDescent="0.2">
      <c r="B38" t="s">
        <v>67</v>
      </c>
      <c r="C38" t="s">
        <v>68</v>
      </c>
      <c r="R38" t="s">
        <v>67</v>
      </c>
      <c r="S38" t="s">
        <v>68</v>
      </c>
      <c r="AI38" t="s">
        <v>67</v>
      </c>
      <c r="AJ38" t="s">
        <v>68</v>
      </c>
    </row>
    <row r="39" spans="2:36" x14ac:dyDescent="0.2">
      <c r="C39" t="s">
        <v>69</v>
      </c>
      <c r="S39" t="s">
        <v>69</v>
      </c>
      <c r="AJ39" t="s">
        <v>69</v>
      </c>
    </row>
    <row r="40" spans="2:36" x14ac:dyDescent="0.2">
      <c r="B40" t="s">
        <v>18</v>
      </c>
      <c r="C40" t="s">
        <v>19</v>
      </c>
      <c r="R40" t="s">
        <v>18</v>
      </c>
      <c r="S40" t="s">
        <v>19</v>
      </c>
      <c r="AI40" t="s">
        <v>18</v>
      </c>
      <c r="AJ40" t="s">
        <v>19</v>
      </c>
    </row>
    <row r="41" spans="2:36" x14ac:dyDescent="0.2">
      <c r="C41" t="s">
        <v>20</v>
      </c>
      <c r="S41" t="s">
        <v>20</v>
      </c>
      <c r="AJ41" t="s">
        <v>20</v>
      </c>
    </row>
    <row r="42" spans="2:36" x14ac:dyDescent="0.2">
      <c r="C42" t="s">
        <v>21</v>
      </c>
      <c r="S42" t="s">
        <v>21</v>
      </c>
      <c r="AJ42" t="s">
        <v>21</v>
      </c>
    </row>
    <row r="43" spans="2:36" x14ac:dyDescent="0.2">
      <c r="C43" t="s">
        <v>22</v>
      </c>
      <c r="S43" t="s">
        <v>22</v>
      </c>
      <c r="AJ43" t="s">
        <v>22</v>
      </c>
    </row>
    <row r="44" spans="2:36" x14ac:dyDescent="0.2">
      <c r="C44" t="s">
        <v>23</v>
      </c>
      <c r="S44" t="s">
        <v>23</v>
      </c>
      <c r="AJ44" t="s">
        <v>23</v>
      </c>
    </row>
    <row r="45" spans="2:36" x14ac:dyDescent="0.2">
      <c r="C45" t="s">
        <v>24</v>
      </c>
      <c r="S45" t="s">
        <v>24</v>
      </c>
      <c r="AJ45" t="s">
        <v>24</v>
      </c>
    </row>
    <row r="46" spans="2:36" x14ac:dyDescent="0.2">
      <c r="C46" t="s">
        <v>25</v>
      </c>
      <c r="S46" t="s">
        <v>25</v>
      </c>
      <c r="AJ46" t="s">
        <v>25</v>
      </c>
    </row>
    <row r="47" spans="2:36" x14ac:dyDescent="0.2">
      <c r="C47" t="s">
        <v>26</v>
      </c>
      <c r="S47" t="s">
        <v>26</v>
      </c>
      <c r="AJ47" t="s">
        <v>26</v>
      </c>
    </row>
    <row r="48" spans="2:36" x14ac:dyDescent="0.2">
      <c r="C48" t="s">
        <v>27</v>
      </c>
      <c r="S48" t="s">
        <v>27</v>
      </c>
      <c r="AJ48" t="s">
        <v>27</v>
      </c>
    </row>
    <row r="50" spans="2:49" x14ac:dyDescent="0.2">
      <c r="B50" s="3" t="s">
        <v>28</v>
      </c>
      <c r="C50" s="4"/>
      <c r="R50" s="3" t="s">
        <v>28</v>
      </c>
      <c r="S50" s="4"/>
      <c r="AI50" s="3" t="s">
        <v>28</v>
      </c>
      <c r="AJ50" s="4"/>
    </row>
    <row r="52" spans="2:49" x14ac:dyDescent="0.2">
      <c r="C52" s="5"/>
      <c r="D52" s="6">
        <v>1</v>
      </c>
      <c r="E52" s="6">
        <v>2</v>
      </c>
      <c r="F52" s="6">
        <v>3</v>
      </c>
      <c r="G52" s="6">
        <v>4</v>
      </c>
      <c r="H52" s="6">
        <v>5</v>
      </c>
      <c r="I52" s="6">
        <v>6</v>
      </c>
      <c r="J52" s="6">
        <v>7</v>
      </c>
      <c r="K52" s="6">
        <v>8</v>
      </c>
      <c r="L52" s="6">
        <v>9</v>
      </c>
      <c r="M52" s="6">
        <v>10</v>
      </c>
      <c r="N52" s="6">
        <v>11</v>
      </c>
      <c r="O52" s="6">
        <v>12</v>
      </c>
      <c r="S52" s="5"/>
      <c r="T52" s="6">
        <v>1</v>
      </c>
      <c r="U52" s="6">
        <v>2</v>
      </c>
      <c r="V52" s="6">
        <v>3</v>
      </c>
      <c r="W52" s="6">
        <v>4</v>
      </c>
      <c r="X52" s="6">
        <v>5</v>
      </c>
      <c r="Y52" s="6">
        <v>6</v>
      </c>
      <c r="Z52" s="6">
        <v>7</v>
      </c>
      <c r="AA52" s="6">
        <v>8</v>
      </c>
      <c r="AB52" s="6">
        <v>9</v>
      </c>
      <c r="AC52" s="6">
        <v>10</v>
      </c>
      <c r="AD52" s="6">
        <v>11</v>
      </c>
      <c r="AE52" s="6">
        <v>12</v>
      </c>
      <c r="AJ52" s="5"/>
      <c r="AK52" s="6">
        <v>1</v>
      </c>
      <c r="AL52" s="6">
        <v>2</v>
      </c>
      <c r="AM52" s="6">
        <v>3</v>
      </c>
      <c r="AN52" s="6">
        <v>4</v>
      </c>
      <c r="AO52" s="6">
        <v>5</v>
      </c>
      <c r="AP52" s="6">
        <v>6</v>
      </c>
      <c r="AQ52" s="6">
        <v>7</v>
      </c>
      <c r="AR52" s="6">
        <v>8</v>
      </c>
      <c r="AS52" s="6">
        <v>9</v>
      </c>
      <c r="AT52" s="6">
        <v>10</v>
      </c>
      <c r="AU52" s="6">
        <v>11</v>
      </c>
      <c r="AV52" s="6">
        <v>12</v>
      </c>
    </row>
    <row r="53" spans="2:49" x14ac:dyDescent="0.2">
      <c r="C53" s="6" t="s">
        <v>29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8" t="s">
        <v>32</v>
      </c>
      <c r="S53" s="6" t="s">
        <v>29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8" t="s">
        <v>32</v>
      </c>
      <c r="AJ53" s="6" t="s">
        <v>29</v>
      </c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8" t="s">
        <v>32</v>
      </c>
    </row>
    <row r="54" spans="2:49" x14ac:dyDescent="0.2">
      <c r="C54" s="6" t="s">
        <v>33</v>
      </c>
      <c r="D54" s="15"/>
      <c r="E54" s="9" t="s">
        <v>46</v>
      </c>
      <c r="F54" s="7" t="s">
        <v>30</v>
      </c>
      <c r="G54" s="7" t="s">
        <v>31</v>
      </c>
      <c r="H54" s="7" t="s">
        <v>34</v>
      </c>
      <c r="I54" s="7" t="s">
        <v>35</v>
      </c>
      <c r="J54" s="7" t="s">
        <v>37</v>
      </c>
      <c r="K54" s="7" t="s">
        <v>38</v>
      </c>
      <c r="L54" s="7" t="s">
        <v>40</v>
      </c>
      <c r="M54" s="7" t="s">
        <v>41</v>
      </c>
      <c r="N54" s="16" t="s">
        <v>70</v>
      </c>
      <c r="O54" s="15"/>
      <c r="P54" s="8" t="s">
        <v>32</v>
      </c>
      <c r="S54" s="6" t="s">
        <v>33</v>
      </c>
      <c r="T54" s="15"/>
      <c r="U54" s="9" t="s">
        <v>46</v>
      </c>
      <c r="V54" s="7" t="s">
        <v>30</v>
      </c>
      <c r="W54" s="7" t="s">
        <v>31</v>
      </c>
      <c r="X54" s="7" t="s">
        <v>34</v>
      </c>
      <c r="Y54" s="7" t="s">
        <v>35</v>
      </c>
      <c r="Z54" s="7" t="s">
        <v>37</v>
      </c>
      <c r="AA54" s="7" t="s">
        <v>38</v>
      </c>
      <c r="AB54" s="7" t="s">
        <v>40</v>
      </c>
      <c r="AC54" s="7" t="s">
        <v>41</v>
      </c>
      <c r="AD54" s="16" t="s">
        <v>70</v>
      </c>
      <c r="AE54" s="15"/>
      <c r="AF54" s="8" t="s">
        <v>32</v>
      </c>
      <c r="AJ54" s="6" t="s">
        <v>33</v>
      </c>
      <c r="AK54" s="15"/>
      <c r="AL54" s="9" t="s">
        <v>46</v>
      </c>
      <c r="AM54" s="7" t="s">
        <v>30</v>
      </c>
      <c r="AN54" s="7" t="s">
        <v>31</v>
      </c>
      <c r="AO54" s="7" t="s">
        <v>34</v>
      </c>
      <c r="AP54" s="7" t="s">
        <v>35</v>
      </c>
      <c r="AQ54" s="7" t="s">
        <v>37</v>
      </c>
      <c r="AR54" s="7" t="s">
        <v>38</v>
      </c>
      <c r="AS54" s="7" t="s">
        <v>40</v>
      </c>
      <c r="AT54" s="7" t="s">
        <v>41</v>
      </c>
      <c r="AU54" s="16" t="s">
        <v>70</v>
      </c>
      <c r="AV54" s="15"/>
      <c r="AW54" s="8" t="s">
        <v>32</v>
      </c>
    </row>
    <row r="55" spans="2:49" x14ac:dyDescent="0.2">
      <c r="C55" s="6" t="s">
        <v>36</v>
      </c>
      <c r="D55" s="15"/>
      <c r="E55" s="9" t="s">
        <v>46</v>
      </c>
      <c r="F55" s="7" t="s">
        <v>30</v>
      </c>
      <c r="G55" s="7" t="s">
        <v>31</v>
      </c>
      <c r="H55" s="7" t="s">
        <v>34</v>
      </c>
      <c r="I55" s="7" t="s">
        <v>35</v>
      </c>
      <c r="J55" s="7" t="s">
        <v>37</v>
      </c>
      <c r="K55" s="7" t="s">
        <v>38</v>
      </c>
      <c r="L55" s="7" t="s">
        <v>40</v>
      </c>
      <c r="M55" s="7" t="s">
        <v>41</v>
      </c>
      <c r="N55" s="16" t="s">
        <v>70</v>
      </c>
      <c r="O55" s="15"/>
      <c r="P55" s="8" t="s">
        <v>32</v>
      </c>
      <c r="S55" s="6" t="s">
        <v>36</v>
      </c>
      <c r="T55" s="15"/>
      <c r="U55" s="9" t="s">
        <v>46</v>
      </c>
      <c r="V55" s="7" t="s">
        <v>30</v>
      </c>
      <c r="W55" s="7" t="s">
        <v>31</v>
      </c>
      <c r="X55" s="7" t="s">
        <v>34</v>
      </c>
      <c r="Y55" s="7" t="s">
        <v>35</v>
      </c>
      <c r="Z55" s="7" t="s">
        <v>37</v>
      </c>
      <c r="AA55" s="7" t="s">
        <v>38</v>
      </c>
      <c r="AB55" s="7" t="s">
        <v>40</v>
      </c>
      <c r="AC55" s="7" t="s">
        <v>41</v>
      </c>
      <c r="AD55" s="16" t="s">
        <v>70</v>
      </c>
      <c r="AE55" s="15"/>
      <c r="AF55" s="8" t="s">
        <v>32</v>
      </c>
      <c r="AJ55" s="6" t="s">
        <v>36</v>
      </c>
      <c r="AK55" s="15"/>
      <c r="AL55" s="9" t="s">
        <v>46</v>
      </c>
      <c r="AM55" s="7" t="s">
        <v>30</v>
      </c>
      <c r="AN55" s="7" t="s">
        <v>31</v>
      </c>
      <c r="AO55" s="7" t="s">
        <v>34</v>
      </c>
      <c r="AP55" s="7" t="s">
        <v>35</v>
      </c>
      <c r="AQ55" s="7" t="s">
        <v>37</v>
      </c>
      <c r="AR55" s="7" t="s">
        <v>38</v>
      </c>
      <c r="AS55" s="7" t="s">
        <v>40</v>
      </c>
      <c r="AT55" s="7" t="s">
        <v>41</v>
      </c>
      <c r="AU55" s="16" t="s">
        <v>70</v>
      </c>
      <c r="AV55" s="15"/>
      <c r="AW55" s="8" t="s">
        <v>32</v>
      </c>
    </row>
    <row r="56" spans="2:49" x14ac:dyDescent="0.2">
      <c r="C56" s="6" t="s">
        <v>39</v>
      </c>
      <c r="D56" s="15"/>
      <c r="E56" s="9" t="s">
        <v>46</v>
      </c>
      <c r="F56" s="7" t="s">
        <v>30</v>
      </c>
      <c r="G56" s="7" t="s">
        <v>31</v>
      </c>
      <c r="H56" s="7" t="s">
        <v>34</v>
      </c>
      <c r="I56" s="7" t="s">
        <v>35</v>
      </c>
      <c r="J56" s="7" t="s">
        <v>37</v>
      </c>
      <c r="K56" s="7" t="s">
        <v>38</v>
      </c>
      <c r="L56" s="7" t="s">
        <v>40</v>
      </c>
      <c r="M56" s="7" t="s">
        <v>41</v>
      </c>
      <c r="N56" s="16" t="s">
        <v>70</v>
      </c>
      <c r="O56" s="15"/>
      <c r="P56" s="8" t="s">
        <v>32</v>
      </c>
      <c r="S56" s="6" t="s">
        <v>39</v>
      </c>
      <c r="T56" s="15"/>
      <c r="U56" s="9" t="s">
        <v>46</v>
      </c>
      <c r="V56" s="7" t="s">
        <v>30</v>
      </c>
      <c r="W56" s="7" t="s">
        <v>31</v>
      </c>
      <c r="X56" s="7" t="s">
        <v>34</v>
      </c>
      <c r="Y56" s="7" t="s">
        <v>35</v>
      </c>
      <c r="Z56" s="7" t="s">
        <v>37</v>
      </c>
      <c r="AA56" s="7" t="s">
        <v>38</v>
      </c>
      <c r="AB56" s="7" t="s">
        <v>40</v>
      </c>
      <c r="AC56" s="7" t="s">
        <v>41</v>
      </c>
      <c r="AD56" s="16" t="s">
        <v>70</v>
      </c>
      <c r="AE56" s="15"/>
      <c r="AF56" s="8" t="s">
        <v>32</v>
      </c>
      <c r="AJ56" s="6" t="s">
        <v>39</v>
      </c>
      <c r="AK56" s="15"/>
      <c r="AL56" s="9" t="s">
        <v>46</v>
      </c>
      <c r="AM56" s="7" t="s">
        <v>30</v>
      </c>
      <c r="AN56" s="7" t="s">
        <v>31</v>
      </c>
      <c r="AO56" s="7" t="s">
        <v>34</v>
      </c>
      <c r="AP56" s="7" t="s">
        <v>35</v>
      </c>
      <c r="AQ56" s="7" t="s">
        <v>37</v>
      </c>
      <c r="AR56" s="7" t="s">
        <v>38</v>
      </c>
      <c r="AS56" s="7" t="s">
        <v>40</v>
      </c>
      <c r="AT56" s="7" t="s">
        <v>41</v>
      </c>
      <c r="AU56" s="16" t="s">
        <v>70</v>
      </c>
      <c r="AV56" s="15"/>
      <c r="AW56" s="8" t="s">
        <v>32</v>
      </c>
    </row>
    <row r="57" spans="2:49" x14ac:dyDescent="0.2">
      <c r="C57" s="6" t="s">
        <v>42</v>
      </c>
      <c r="D57" s="15"/>
      <c r="E57" s="9" t="s">
        <v>46</v>
      </c>
      <c r="F57" s="7" t="s">
        <v>30</v>
      </c>
      <c r="G57" s="7" t="s">
        <v>31</v>
      </c>
      <c r="H57" s="7" t="s">
        <v>34</v>
      </c>
      <c r="I57" s="7" t="s">
        <v>35</v>
      </c>
      <c r="J57" s="7" t="s">
        <v>37</v>
      </c>
      <c r="K57" s="7" t="s">
        <v>38</v>
      </c>
      <c r="L57" s="7" t="s">
        <v>40</v>
      </c>
      <c r="M57" s="7" t="s">
        <v>41</v>
      </c>
      <c r="N57" s="16" t="s">
        <v>70</v>
      </c>
      <c r="O57" s="15"/>
      <c r="P57" s="8" t="s">
        <v>32</v>
      </c>
      <c r="S57" s="6" t="s">
        <v>42</v>
      </c>
      <c r="T57" s="15"/>
      <c r="U57" s="9" t="s">
        <v>46</v>
      </c>
      <c r="V57" s="7" t="s">
        <v>30</v>
      </c>
      <c r="W57" s="7" t="s">
        <v>31</v>
      </c>
      <c r="X57" s="7" t="s">
        <v>34</v>
      </c>
      <c r="Y57" s="7" t="s">
        <v>35</v>
      </c>
      <c r="Z57" s="7" t="s">
        <v>37</v>
      </c>
      <c r="AA57" s="7" t="s">
        <v>38</v>
      </c>
      <c r="AB57" s="7" t="s">
        <v>40</v>
      </c>
      <c r="AC57" s="7" t="s">
        <v>41</v>
      </c>
      <c r="AD57" s="16" t="s">
        <v>70</v>
      </c>
      <c r="AE57" s="15"/>
      <c r="AF57" s="8" t="s">
        <v>32</v>
      </c>
      <c r="AJ57" s="6" t="s">
        <v>42</v>
      </c>
      <c r="AK57" s="15"/>
      <c r="AL57" s="9" t="s">
        <v>46</v>
      </c>
      <c r="AM57" s="7" t="s">
        <v>30</v>
      </c>
      <c r="AN57" s="7" t="s">
        <v>31</v>
      </c>
      <c r="AO57" s="7" t="s">
        <v>34</v>
      </c>
      <c r="AP57" s="7" t="s">
        <v>35</v>
      </c>
      <c r="AQ57" s="7" t="s">
        <v>37</v>
      </c>
      <c r="AR57" s="7" t="s">
        <v>38</v>
      </c>
      <c r="AS57" s="7" t="s">
        <v>40</v>
      </c>
      <c r="AT57" s="7" t="s">
        <v>41</v>
      </c>
      <c r="AU57" s="16" t="s">
        <v>70</v>
      </c>
      <c r="AV57" s="15"/>
      <c r="AW57" s="8" t="s">
        <v>32</v>
      </c>
    </row>
    <row r="58" spans="2:49" x14ac:dyDescent="0.2">
      <c r="C58" s="6" t="s">
        <v>43</v>
      </c>
      <c r="D58" s="15"/>
      <c r="E58" s="9" t="s">
        <v>46</v>
      </c>
      <c r="F58" s="7" t="s">
        <v>30</v>
      </c>
      <c r="G58" s="7" t="s">
        <v>31</v>
      </c>
      <c r="H58" s="7" t="s">
        <v>34</v>
      </c>
      <c r="I58" s="7" t="s">
        <v>35</v>
      </c>
      <c r="J58" s="7" t="s">
        <v>37</v>
      </c>
      <c r="K58" s="7" t="s">
        <v>38</v>
      </c>
      <c r="L58" s="7" t="s">
        <v>40</v>
      </c>
      <c r="M58" s="7" t="s">
        <v>41</v>
      </c>
      <c r="N58" s="16" t="s">
        <v>70</v>
      </c>
      <c r="O58" s="15"/>
      <c r="P58" s="8" t="s">
        <v>32</v>
      </c>
      <c r="S58" s="6" t="s">
        <v>43</v>
      </c>
      <c r="T58" s="15"/>
      <c r="U58" s="9" t="s">
        <v>46</v>
      </c>
      <c r="V58" s="7" t="s">
        <v>30</v>
      </c>
      <c r="W58" s="7" t="s">
        <v>31</v>
      </c>
      <c r="X58" s="7" t="s">
        <v>34</v>
      </c>
      <c r="Y58" s="7" t="s">
        <v>35</v>
      </c>
      <c r="Z58" s="7" t="s">
        <v>37</v>
      </c>
      <c r="AA58" s="7" t="s">
        <v>38</v>
      </c>
      <c r="AB58" s="7" t="s">
        <v>40</v>
      </c>
      <c r="AC58" s="7" t="s">
        <v>41</v>
      </c>
      <c r="AD58" s="16" t="s">
        <v>70</v>
      </c>
      <c r="AE58" s="15"/>
      <c r="AF58" s="8" t="s">
        <v>32</v>
      </c>
      <c r="AJ58" s="6" t="s">
        <v>43</v>
      </c>
      <c r="AK58" s="15"/>
      <c r="AL58" s="9" t="s">
        <v>46</v>
      </c>
      <c r="AM58" s="7" t="s">
        <v>30</v>
      </c>
      <c r="AN58" s="7" t="s">
        <v>31</v>
      </c>
      <c r="AO58" s="7" t="s">
        <v>34</v>
      </c>
      <c r="AP58" s="7" t="s">
        <v>35</v>
      </c>
      <c r="AQ58" s="7" t="s">
        <v>37</v>
      </c>
      <c r="AR58" s="7" t="s">
        <v>38</v>
      </c>
      <c r="AS58" s="7" t="s">
        <v>40</v>
      </c>
      <c r="AT58" s="7" t="s">
        <v>41</v>
      </c>
      <c r="AU58" s="16" t="s">
        <v>70</v>
      </c>
      <c r="AV58" s="15"/>
      <c r="AW58" s="8" t="s">
        <v>32</v>
      </c>
    </row>
    <row r="59" spans="2:49" x14ac:dyDescent="0.2">
      <c r="C59" s="6" t="s">
        <v>44</v>
      </c>
      <c r="D59" s="15"/>
      <c r="E59" s="9" t="s">
        <v>46</v>
      </c>
      <c r="F59" s="7" t="s">
        <v>30</v>
      </c>
      <c r="G59" s="7" t="s">
        <v>31</v>
      </c>
      <c r="H59" s="7" t="s">
        <v>34</v>
      </c>
      <c r="I59" s="7" t="s">
        <v>35</v>
      </c>
      <c r="J59" s="7" t="s">
        <v>37</v>
      </c>
      <c r="K59" s="7" t="s">
        <v>38</v>
      </c>
      <c r="L59" s="7" t="s">
        <v>40</v>
      </c>
      <c r="M59" s="7" t="s">
        <v>41</v>
      </c>
      <c r="N59" s="16" t="s">
        <v>70</v>
      </c>
      <c r="O59" s="15"/>
      <c r="P59" s="8" t="s">
        <v>32</v>
      </c>
      <c r="S59" s="6" t="s">
        <v>44</v>
      </c>
      <c r="T59" s="15"/>
      <c r="U59" s="9" t="s">
        <v>46</v>
      </c>
      <c r="V59" s="7" t="s">
        <v>30</v>
      </c>
      <c r="W59" s="7" t="s">
        <v>31</v>
      </c>
      <c r="X59" s="7" t="s">
        <v>34</v>
      </c>
      <c r="Y59" s="7" t="s">
        <v>35</v>
      </c>
      <c r="Z59" s="7" t="s">
        <v>37</v>
      </c>
      <c r="AA59" s="7" t="s">
        <v>38</v>
      </c>
      <c r="AB59" s="7" t="s">
        <v>40</v>
      </c>
      <c r="AC59" s="7" t="s">
        <v>41</v>
      </c>
      <c r="AD59" s="16" t="s">
        <v>70</v>
      </c>
      <c r="AE59" s="15"/>
      <c r="AF59" s="8" t="s">
        <v>32</v>
      </c>
      <c r="AJ59" s="6" t="s">
        <v>44</v>
      </c>
      <c r="AK59" s="15"/>
      <c r="AL59" s="9" t="s">
        <v>46</v>
      </c>
      <c r="AM59" s="7" t="s">
        <v>30</v>
      </c>
      <c r="AN59" s="7" t="s">
        <v>31</v>
      </c>
      <c r="AO59" s="7" t="s">
        <v>34</v>
      </c>
      <c r="AP59" s="7" t="s">
        <v>35</v>
      </c>
      <c r="AQ59" s="7" t="s">
        <v>37</v>
      </c>
      <c r="AR59" s="7" t="s">
        <v>38</v>
      </c>
      <c r="AS59" s="7" t="s">
        <v>40</v>
      </c>
      <c r="AT59" s="7" t="s">
        <v>41</v>
      </c>
      <c r="AU59" s="16" t="s">
        <v>70</v>
      </c>
      <c r="AV59" s="15"/>
      <c r="AW59" s="8" t="s">
        <v>32</v>
      </c>
    </row>
    <row r="60" spans="2:49" x14ac:dyDescent="0.2">
      <c r="C60" s="6" t="s">
        <v>45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8" t="s">
        <v>32</v>
      </c>
      <c r="S60" s="6" t="s">
        <v>45</v>
      </c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8" t="s">
        <v>32</v>
      </c>
      <c r="AJ60" s="6" t="s">
        <v>45</v>
      </c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8" t="s">
        <v>32</v>
      </c>
    </row>
    <row r="62" spans="2:49" ht="38.25" x14ac:dyDescent="0.2">
      <c r="B62" s="3" t="s">
        <v>47</v>
      </c>
      <c r="C62" s="4"/>
      <c r="R62" s="3" t="s">
        <v>47</v>
      </c>
      <c r="S62" s="4"/>
      <c r="AI62" s="3" t="s">
        <v>47</v>
      </c>
      <c r="AJ62" s="4"/>
    </row>
    <row r="63" spans="2:49" x14ac:dyDescent="0.2">
      <c r="B63" t="s">
        <v>48</v>
      </c>
      <c r="C63">
        <v>22.9</v>
      </c>
      <c r="R63" t="s">
        <v>48</v>
      </c>
      <c r="S63">
        <v>22.9</v>
      </c>
      <c r="AI63" t="s">
        <v>48</v>
      </c>
      <c r="AJ63">
        <v>22.9</v>
      </c>
    </row>
    <row r="65" spans="2:50" x14ac:dyDescent="0.2">
      <c r="C65" s="5"/>
      <c r="D65" s="6">
        <v>1</v>
      </c>
      <c r="E65" s="6">
        <v>2</v>
      </c>
      <c r="F65" s="6">
        <v>3</v>
      </c>
      <c r="G65" s="6">
        <v>4</v>
      </c>
      <c r="H65" s="6">
        <v>5</v>
      </c>
      <c r="I65" s="6">
        <v>6</v>
      </c>
      <c r="J65" s="6">
        <v>7</v>
      </c>
      <c r="K65" s="6">
        <v>8</v>
      </c>
      <c r="L65" s="6">
        <v>9</v>
      </c>
      <c r="M65" s="6">
        <v>10</v>
      </c>
      <c r="N65" s="6">
        <v>11</v>
      </c>
      <c r="O65" s="6">
        <v>12</v>
      </c>
      <c r="S65" s="5"/>
      <c r="T65" s="6">
        <v>1</v>
      </c>
      <c r="U65" s="6">
        <v>2</v>
      </c>
      <c r="V65" s="6">
        <v>3</v>
      </c>
      <c r="W65" s="6">
        <v>4</v>
      </c>
      <c r="X65" s="6">
        <v>5</v>
      </c>
      <c r="Y65" s="6">
        <v>6</v>
      </c>
      <c r="Z65" s="6">
        <v>7</v>
      </c>
      <c r="AA65" s="6">
        <v>8</v>
      </c>
      <c r="AB65" s="6">
        <v>9</v>
      </c>
      <c r="AC65" s="6">
        <v>10</v>
      </c>
      <c r="AD65" s="6">
        <v>11</v>
      </c>
      <c r="AE65" s="6">
        <v>12</v>
      </c>
      <c r="AJ65" s="5"/>
      <c r="AK65" s="6">
        <v>1</v>
      </c>
      <c r="AL65" s="6">
        <v>2</v>
      </c>
      <c r="AM65" s="6">
        <v>3</v>
      </c>
      <c r="AN65" s="6">
        <v>4</v>
      </c>
      <c r="AO65" s="6">
        <v>5</v>
      </c>
      <c r="AP65" s="6">
        <v>6</v>
      </c>
      <c r="AQ65" s="6">
        <v>7</v>
      </c>
      <c r="AR65" s="6">
        <v>8</v>
      </c>
      <c r="AS65" s="6">
        <v>9</v>
      </c>
      <c r="AT65" s="6">
        <v>10</v>
      </c>
      <c r="AU65" s="6">
        <v>11</v>
      </c>
      <c r="AV65" s="6">
        <v>12</v>
      </c>
    </row>
    <row r="66" spans="2:50" ht="18" x14ac:dyDescent="0.2">
      <c r="C66" s="6" t="s">
        <v>29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8" t="s">
        <v>47</v>
      </c>
      <c r="S66" s="6" t="s">
        <v>29</v>
      </c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8" t="s">
        <v>47</v>
      </c>
      <c r="AJ66" s="6" t="s">
        <v>29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8" t="s">
        <v>47</v>
      </c>
    </row>
    <row r="67" spans="2:50" ht="18" x14ac:dyDescent="0.2">
      <c r="C67" s="6" t="s">
        <v>33</v>
      </c>
      <c r="D67" s="15"/>
      <c r="E67" s="13">
        <v>19172</v>
      </c>
      <c r="F67" s="13">
        <v>19466</v>
      </c>
      <c r="G67" s="13">
        <v>20011</v>
      </c>
      <c r="H67" s="13">
        <v>20594</v>
      </c>
      <c r="I67" s="13">
        <v>22366</v>
      </c>
      <c r="J67" s="13">
        <v>25867</v>
      </c>
      <c r="K67" s="13">
        <v>36248</v>
      </c>
      <c r="L67" s="13">
        <v>47407</v>
      </c>
      <c r="M67" s="11">
        <v>92519</v>
      </c>
      <c r="N67" s="12">
        <v>750623</v>
      </c>
      <c r="O67" s="15"/>
      <c r="P67" s="8" t="s">
        <v>47</v>
      </c>
      <c r="S67" s="6" t="s">
        <v>33</v>
      </c>
      <c r="T67" s="15"/>
      <c r="U67" s="13">
        <v>19383</v>
      </c>
      <c r="V67" s="13">
        <v>19849</v>
      </c>
      <c r="W67" s="13">
        <v>19907</v>
      </c>
      <c r="X67" s="13">
        <v>21253</v>
      </c>
      <c r="Y67" s="13">
        <v>22330</v>
      </c>
      <c r="Z67" s="13">
        <v>25228</v>
      </c>
      <c r="AA67" s="13">
        <v>32303</v>
      </c>
      <c r="AB67" s="13">
        <v>46122</v>
      </c>
      <c r="AC67" s="11">
        <v>77276</v>
      </c>
      <c r="AD67" s="12">
        <v>740689</v>
      </c>
      <c r="AE67" s="15"/>
      <c r="AF67" s="8" t="s">
        <v>47</v>
      </c>
      <c r="AJ67" s="6" t="s">
        <v>33</v>
      </c>
      <c r="AK67" s="15"/>
      <c r="AL67" s="13">
        <v>19384</v>
      </c>
      <c r="AM67" s="13">
        <v>19911</v>
      </c>
      <c r="AN67" s="13">
        <v>20280</v>
      </c>
      <c r="AO67" s="13">
        <v>21571</v>
      </c>
      <c r="AP67" s="13">
        <v>23993</v>
      </c>
      <c r="AQ67" s="13">
        <v>28969</v>
      </c>
      <c r="AR67" s="13">
        <v>35826</v>
      </c>
      <c r="AS67" s="11">
        <v>55228</v>
      </c>
      <c r="AT67" s="11">
        <v>101592</v>
      </c>
      <c r="AU67" s="12">
        <v>741130</v>
      </c>
      <c r="AV67" s="15"/>
      <c r="AW67" s="8" t="s">
        <v>47</v>
      </c>
    </row>
    <row r="68" spans="2:50" ht="18" x14ac:dyDescent="0.2">
      <c r="C68" s="6" t="s">
        <v>36</v>
      </c>
      <c r="D68" s="15"/>
      <c r="E68" s="13">
        <v>18873</v>
      </c>
      <c r="F68" s="13">
        <v>19403</v>
      </c>
      <c r="G68" s="13">
        <v>20148</v>
      </c>
      <c r="H68" s="13">
        <v>20535</v>
      </c>
      <c r="I68" s="13">
        <v>22741</v>
      </c>
      <c r="J68" s="13">
        <v>26861</v>
      </c>
      <c r="K68" s="13">
        <v>34330</v>
      </c>
      <c r="L68" s="13">
        <v>51622</v>
      </c>
      <c r="M68" s="11">
        <v>93469</v>
      </c>
      <c r="N68" s="12">
        <v>761589</v>
      </c>
      <c r="O68" s="15"/>
      <c r="P68" s="8" t="s">
        <v>47</v>
      </c>
      <c r="S68" s="6" t="s">
        <v>36</v>
      </c>
      <c r="T68" s="15"/>
      <c r="U68" s="13">
        <v>19130</v>
      </c>
      <c r="V68" s="13">
        <v>19424</v>
      </c>
      <c r="W68" s="13">
        <v>19774</v>
      </c>
      <c r="X68" s="13">
        <v>20934</v>
      </c>
      <c r="Y68" s="13">
        <v>22355</v>
      </c>
      <c r="Z68" s="13">
        <v>25305</v>
      </c>
      <c r="AA68" s="13">
        <v>31415</v>
      </c>
      <c r="AB68" s="13">
        <v>45145</v>
      </c>
      <c r="AC68" s="11">
        <v>71598</v>
      </c>
      <c r="AD68" s="12">
        <v>749833</v>
      </c>
      <c r="AE68" s="15"/>
      <c r="AF68" s="8" t="s">
        <v>47</v>
      </c>
      <c r="AJ68" s="6" t="s">
        <v>36</v>
      </c>
      <c r="AK68" s="15"/>
      <c r="AL68" s="13">
        <v>19143</v>
      </c>
      <c r="AM68" s="13">
        <v>19805</v>
      </c>
      <c r="AN68" s="13">
        <v>20354</v>
      </c>
      <c r="AO68" s="13">
        <v>21299</v>
      </c>
      <c r="AP68" s="13">
        <v>22958</v>
      </c>
      <c r="AQ68" s="13">
        <v>28472</v>
      </c>
      <c r="AR68" s="13">
        <v>38798</v>
      </c>
      <c r="AS68" s="11">
        <v>57741</v>
      </c>
      <c r="AT68" s="11">
        <v>101975</v>
      </c>
      <c r="AU68" s="12">
        <v>748619</v>
      </c>
      <c r="AV68" s="15"/>
      <c r="AW68" s="8" t="s">
        <v>47</v>
      </c>
    </row>
    <row r="69" spans="2:50" ht="18" x14ac:dyDescent="0.2">
      <c r="C69" s="6" t="s">
        <v>39</v>
      </c>
      <c r="D69" s="15"/>
      <c r="E69" s="13">
        <v>18982</v>
      </c>
      <c r="F69" s="13">
        <v>19112</v>
      </c>
      <c r="G69" s="13">
        <v>19660</v>
      </c>
      <c r="H69" s="13">
        <v>20428</v>
      </c>
      <c r="I69" s="13">
        <v>22034</v>
      </c>
      <c r="J69" s="13">
        <v>26535</v>
      </c>
      <c r="K69" s="13">
        <v>35048</v>
      </c>
      <c r="L69" s="13">
        <v>48385</v>
      </c>
      <c r="M69" s="11">
        <v>82848</v>
      </c>
      <c r="N69" s="12">
        <v>760193</v>
      </c>
      <c r="O69" s="15"/>
      <c r="P69" s="8" t="s">
        <v>47</v>
      </c>
      <c r="S69" s="6" t="s">
        <v>39</v>
      </c>
      <c r="T69" s="15"/>
      <c r="U69" s="13">
        <v>18903</v>
      </c>
      <c r="V69" s="13">
        <v>19437</v>
      </c>
      <c r="W69" s="13">
        <v>19657</v>
      </c>
      <c r="X69" s="13">
        <v>20460</v>
      </c>
      <c r="Y69" s="13">
        <v>21882</v>
      </c>
      <c r="Z69" s="13">
        <v>24863</v>
      </c>
      <c r="AA69" s="13">
        <v>33643</v>
      </c>
      <c r="AB69" s="13">
        <v>44515</v>
      </c>
      <c r="AC69" s="11">
        <v>71964</v>
      </c>
      <c r="AD69" s="12">
        <v>741832</v>
      </c>
      <c r="AE69" s="15"/>
      <c r="AF69" s="8" t="s">
        <v>47</v>
      </c>
      <c r="AJ69" s="6" t="s">
        <v>39</v>
      </c>
      <c r="AK69" s="15"/>
      <c r="AL69" s="13">
        <v>18736</v>
      </c>
      <c r="AM69" s="13">
        <v>19673</v>
      </c>
      <c r="AN69" s="13">
        <v>20007</v>
      </c>
      <c r="AO69" s="13">
        <v>21318</v>
      </c>
      <c r="AP69" s="13">
        <v>23736</v>
      </c>
      <c r="AQ69" s="13">
        <v>28981</v>
      </c>
      <c r="AR69" s="13">
        <v>37527</v>
      </c>
      <c r="AS69" s="11">
        <v>54034</v>
      </c>
      <c r="AT69" s="10">
        <v>109450</v>
      </c>
      <c r="AU69" s="12">
        <v>748889</v>
      </c>
      <c r="AV69" s="15"/>
      <c r="AW69" s="8" t="s">
        <v>47</v>
      </c>
    </row>
    <row r="70" spans="2:50" ht="18" x14ac:dyDescent="0.2">
      <c r="C70" s="6" t="s">
        <v>42</v>
      </c>
      <c r="D70" s="15"/>
      <c r="E70" s="13">
        <v>18248</v>
      </c>
      <c r="F70" s="13">
        <v>19316</v>
      </c>
      <c r="G70" s="13">
        <v>19458</v>
      </c>
      <c r="H70" s="13">
        <v>20537</v>
      </c>
      <c r="I70" s="13">
        <v>22330</v>
      </c>
      <c r="J70" s="13">
        <v>26001</v>
      </c>
      <c r="K70" s="13">
        <v>34520</v>
      </c>
      <c r="L70" s="13">
        <v>50820</v>
      </c>
      <c r="M70" s="11">
        <v>81893</v>
      </c>
      <c r="N70" s="12">
        <v>760557</v>
      </c>
      <c r="O70" s="15"/>
      <c r="P70" s="8" t="s">
        <v>47</v>
      </c>
      <c r="S70" s="6" t="s">
        <v>42</v>
      </c>
      <c r="T70" s="15"/>
      <c r="U70" s="13">
        <v>19144</v>
      </c>
      <c r="V70" s="13">
        <v>19494</v>
      </c>
      <c r="W70" s="13">
        <v>19454</v>
      </c>
      <c r="X70" s="13">
        <v>20668</v>
      </c>
      <c r="Y70" s="13">
        <v>22766</v>
      </c>
      <c r="Z70" s="13">
        <v>24643</v>
      </c>
      <c r="AA70" s="13">
        <v>31554</v>
      </c>
      <c r="AB70" s="13">
        <v>44099</v>
      </c>
      <c r="AC70" s="11">
        <v>71967</v>
      </c>
      <c r="AD70" s="12">
        <v>745224</v>
      </c>
      <c r="AE70" s="15"/>
      <c r="AF70" s="8" t="s">
        <v>47</v>
      </c>
      <c r="AJ70" s="6" t="s">
        <v>42</v>
      </c>
      <c r="AK70" s="15"/>
      <c r="AL70" s="13">
        <v>18966</v>
      </c>
      <c r="AM70" s="13">
        <v>19462</v>
      </c>
      <c r="AN70" s="13">
        <v>20700</v>
      </c>
      <c r="AO70" s="13">
        <v>21428</v>
      </c>
      <c r="AP70" s="13">
        <v>23671</v>
      </c>
      <c r="AQ70" s="13">
        <v>28009</v>
      </c>
      <c r="AR70" s="13">
        <v>38070</v>
      </c>
      <c r="AS70" s="11">
        <v>54804</v>
      </c>
      <c r="AT70" s="10">
        <v>111807</v>
      </c>
      <c r="AU70" s="12">
        <v>742749</v>
      </c>
      <c r="AV70" s="15"/>
      <c r="AW70" s="8" t="s">
        <v>47</v>
      </c>
    </row>
    <row r="71" spans="2:50" ht="18" x14ac:dyDescent="0.2">
      <c r="C71" s="6" t="s">
        <v>43</v>
      </c>
      <c r="D71" s="15"/>
      <c r="E71" s="13">
        <v>18699</v>
      </c>
      <c r="F71" s="13">
        <v>19241</v>
      </c>
      <c r="G71" s="13">
        <v>19814</v>
      </c>
      <c r="H71" s="13">
        <v>20224</v>
      </c>
      <c r="I71" s="13">
        <v>22194</v>
      </c>
      <c r="J71" s="13">
        <v>26822</v>
      </c>
      <c r="K71" s="13">
        <v>33366</v>
      </c>
      <c r="L71" s="13">
        <v>48024</v>
      </c>
      <c r="M71" s="11">
        <v>85617</v>
      </c>
      <c r="N71" s="12">
        <v>763575</v>
      </c>
      <c r="O71" s="15"/>
      <c r="P71" s="8" t="s">
        <v>47</v>
      </c>
      <c r="S71" s="6" t="s">
        <v>43</v>
      </c>
      <c r="T71" s="15"/>
      <c r="U71" s="13">
        <v>18906</v>
      </c>
      <c r="V71" s="13">
        <v>19445</v>
      </c>
      <c r="W71" s="13">
        <v>19581</v>
      </c>
      <c r="X71" s="13">
        <v>21342</v>
      </c>
      <c r="Y71" s="13">
        <v>22505</v>
      </c>
      <c r="Z71" s="13">
        <v>27240</v>
      </c>
      <c r="AA71" s="13">
        <v>32861</v>
      </c>
      <c r="AB71" s="13">
        <v>43665</v>
      </c>
      <c r="AC71" s="11">
        <v>73351</v>
      </c>
      <c r="AD71" s="12">
        <v>749042</v>
      </c>
      <c r="AE71" s="15"/>
      <c r="AF71" s="8" t="s">
        <v>47</v>
      </c>
      <c r="AJ71" s="6" t="s">
        <v>43</v>
      </c>
      <c r="AK71" s="15"/>
      <c r="AL71" s="13">
        <v>18886</v>
      </c>
      <c r="AM71" s="13">
        <v>19645</v>
      </c>
      <c r="AN71" s="13">
        <v>20478</v>
      </c>
      <c r="AO71" s="13">
        <v>21879</v>
      </c>
      <c r="AP71" s="13">
        <v>23039</v>
      </c>
      <c r="AQ71" s="13">
        <v>28263</v>
      </c>
      <c r="AR71" s="13">
        <v>36907</v>
      </c>
      <c r="AS71" s="11">
        <v>53632</v>
      </c>
      <c r="AT71" s="11">
        <v>101104</v>
      </c>
      <c r="AU71" s="12">
        <v>750137</v>
      </c>
      <c r="AV71" s="15"/>
      <c r="AW71" s="8" t="s">
        <v>47</v>
      </c>
    </row>
    <row r="72" spans="2:50" ht="18" x14ac:dyDescent="0.2">
      <c r="C72" s="6" t="s">
        <v>44</v>
      </c>
      <c r="D72" s="15"/>
      <c r="E72" s="13">
        <v>19027</v>
      </c>
      <c r="F72" s="13">
        <v>19206</v>
      </c>
      <c r="G72" s="13">
        <v>19625</v>
      </c>
      <c r="H72" s="13">
        <v>20592</v>
      </c>
      <c r="I72" s="13">
        <v>22636</v>
      </c>
      <c r="J72" s="13">
        <v>26689</v>
      </c>
      <c r="K72" s="13">
        <v>32493</v>
      </c>
      <c r="L72" s="13">
        <v>47723</v>
      </c>
      <c r="M72" s="11">
        <v>86641</v>
      </c>
      <c r="N72" s="12">
        <v>766723</v>
      </c>
      <c r="O72" s="15"/>
      <c r="P72" s="8" t="s">
        <v>47</v>
      </c>
      <c r="S72" s="6" t="s">
        <v>44</v>
      </c>
      <c r="T72" s="15"/>
      <c r="U72" s="13">
        <v>19107</v>
      </c>
      <c r="V72" s="13">
        <v>19523</v>
      </c>
      <c r="W72" s="13">
        <v>20052</v>
      </c>
      <c r="X72" s="13">
        <v>20506</v>
      </c>
      <c r="Y72" s="13">
        <v>22665</v>
      </c>
      <c r="Z72" s="13">
        <v>25541</v>
      </c>
      <c r="AA72" s="13">
        <v>31705</v>
      </c>
      <c r="AB72" s="13">
        <v>44406</v>
      </c>
      <c r="AC72" s="11">
        <v>69027</v>
      </c>
      <c r="AD72" s="12">
        <v>754106</v>
      </c>
      <c r="AE72" s="15"/>
      <c r="AF72" s="8" t="s">
        <v>47</v>
      </c>
      <c r="AJ72" s="6" t="s">
        <v>44</v>
      </c>
      <c r="AK72" s="15"/>
      <c r="AL72" s="13">
        <v>16943</v>
      </c>
      <c r="AM72" s="13">
        <v>19251</v>
      </c>
      <c r="AN72" s="13">
        <v>20661</v>
      </c>
      <c r="AO72" s="13">
        <v>21472</v>
      </c>
      <c r="AP72" s="13">
        <v>23420</v>
      </c>
      <c r="AQ72" s="13">
        <v>28019</v>
      </c>
      <c r="AR72" s="13">
        <v>37631</v>
      </c>
      <c r="AS72" s="11">
        <v>54558</v>
      </c>
      <c r="AT72" s="11">
        <v>104153</v>
      </c>
      <c r="AU72" s="12">
        <v>742399</v>
      </c>
      <c r="AV72" s="15"/>
      <c r="AW72" s="8" t="s">
        <v>47</v>
      </c>
    </row>
    <row r="73" spans="2:50" ht="18" x14ac:dyDescent="0.2">
      <c r="C73" s="6" t="s">
        <v>45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8" t="s">
        <v>47</v>
      </c>
      <c r="S73" s="6" t="s">
        <v>45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8" t="s">
        <v>47</v>
      </c>
      <c r="AJ73" s="6" t="s">
        <v>45</v>
      </c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8" t="s">
        <v>47</v>
      </c>
    </row>
    <row r="75" spans="2:50" ht="51" x14ac:dyDescent="0.2">
      <c r="B75" s="3" t="s">
        <v>49</v>
      </c>
      <c r="C75" s="4"/>
      <c r="R75" s="3" t="s">
        <v>49</v>
      </c>
      <c r="S75" s="4"/>
      <c r="AI75" s="3" t="s">
        <v>49</v>
      </c>
      <c r="AJ75" s="4"/>
    </row>
    <row r="77" spans="2:50" x14ac:dyDescent="0.2">
      <c r="C77" s="5"/>
      <c r="D77" s="6">
        <v>1</v>
      </c>
      <c r="E77" s="6">
        <v>2</v>
      </c>
      <c r="F77" s="6">
        <v>3</v>
      </c>
      <c r="G77" s="6">
        <v>4</v>
      </c>
      <c r="H77" s="6">
        <v>5</v>
      </c>
      <c r="I77" s="6">
        <v>6</v>
      </c>
      <c r="J77" s="6">
        <v>7</v>
      </c>
      <c r="K77" s="6">
        <v>8</v>
      </c>
      <c r="L77" s="6">
        <v>9</v>
      </c>
      <c r="M77" s="6">
        <v>10</v>
      </c>
      <c r="N77" s="6">
        <v>11</v>
      </c>
      <c r="O77" s="6">
        <v>12</v>
      </c>
      <c r="Q77" t="s">
        <v>55</v>
      </c>
      <c r="S77" s="5"/>
      <c r="T77" s="6">
        <v>1</v>
      </c>
      <c r="U77" s="6">
        <v>2</v>
      </c>
      <c r="V77" s="6">
        <v>3</v>
      </c>
      <c r="W77" s="6">
        <v>4</v>
      </c>
      <c r="X77" s="6">
        <v>5</v>
      </c>
      <c r="Y77" s="6">
        <v>6</v>
      </c>
      <c r="Z77" s="6">
        <v>7</v>
      </c>
      <c r="AA77" s="6">
        <v>8</v>
      </c>
      <c r="AB77" s="6">
        <v>9</v>
      </c>
      <c r="AC77" s="6">
        <v>10</v>
      </c>
      <c r="AD77" s="6">
        <v>11</v>
      </c>
      <c r="AE77" s="6">
        <v>12</v>
      </c>
      <c r="AG77" t="s">
        <v>55</v>
      </c>
      <c r="AJ77" s="5"/>
      <c r="AK77" s="6">
        <v>1</v>
      </c>
      <c r="AL77" s="6">
        <v>2</v>
      </c>
      <c r="AM77" s="6">
        <v>3</v>
      </c>
      <c r="AN77" s="6">
        <v>4</v>
      </c>
      <c r="AO77" s="6">
        <v>5</v>
      </c>
      <c r="AP77" s="6">
        <v>6</v>
      </c>
      <c r="AQ77" s="6">
        <v>7</v>
      </c>
      <c r="AR77" s="6">
        <v>8</v>
      </c>
      <c r="AS77" s="6">
        <v>9</v>
      </c>
      <c r="AT77" s="6">
        <v>10</v>
      </c>
      <c r="AU77" s="6">
        <v>11</v>
      </c>
      <c r="AV77" s="6">
        <v>12</v>
      </c>
      <c r="AX77" t="s">
        <v>55</v>
      </c>
    </row>
    <row r="78" spans="2:50" ht="27" x14ac:dyDescent="0.2">
      <c r="C78" s="6" t="s">
        <v>29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8" t="s">
        <v>49</v>
      </c>
      <c r="S78" s="6" t="s">
        <v>29</v>
      </c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8" t="s">
        <v>49</v>
      </c>
      <c r="AJ78" s="6" t="s">
        <v>29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8" t="s">
        <v>49</v>
      </c>
    </row>
    <row r="79" spans="2:50" ht="27" x14ac:dyDescent="0.2">
      <c r="C79" s="6" t="s">
        <v>33</v>
      </c>
      <c r="D79" s="15"/>
      <c r="E79" s="13">
        <v>339</v>
      </c>
      <c r="F79" s="13">
        <v>633</v>
      </c>
      <c r="G79" s="13">
        <v>1178</v>
      </c>
      <c r="H79" s="13">
        <v>1761</v>
      </c>
      <c r="I79" s="13">
        <v>3533</v>
      </c>
      <c r="J79" s="13">
        <v>7034</v>
      </c>
      <c r="K79" s="13">
        <v>17415</v>
      </c>
      <c r="L79" s="13">
        <v>28574</v>
      </c>
      <c r="M79" s="11">
        <v>73686</v>
      </c>
      <c r="N79" s="12">
        <v>731790</v>
      </c>
      <c r="O79" s="15"/>
      <c r="P79" s="8" t="s">
        <v>49</v>
      </c>
      <c r="Q79">
        <f>AVERAGE(E79:M79)</f>
        <v>14905.888888888889</v>
      </c>
      <c r="S79" s="6" t="s">
        <v>33</v>
      </c>
      <c r="T79" s="15"/>
      <c r="U79" s="13">
        <v>288</v>
      </c>
      <c r="V79" s="13">
        <v>754</v>
      </c>
      <c r="W79" s="13">
        <v>812</v>
      </c>
      <c r="X79" s="13">
        <v>2158</v>
      </c>
      <c r="Y79" s="13">
        <v>3235</v>
      </c>
      <c r="Z79" s="13">
        <v>6133</v>
      </c>
      <c r="AA79" s="13">
        <v>13208</v>
      </c>
      <c r="AB79" s="13">
        <v>27027</v>
      </c>
      <c r="AC79" s="11">
        <v>58181</v>
      </c>
      <c r="AD79" s="12">
        <v>721594</v>
      </c>
      <c r="AE79" s="15"/>
      <c r="AF79" s="8" t="s">
        <v>49</v>
      </c>
      <c r="AG79">
        <f>AVERAGE(U79:AC79)</f>
        <v>12421.777777777777</v>
      </c>
      <c r="AJ79" s="6" t="s">
        <v>33</v>
      </c>
      <c r="AK79" s="15"/>
      <c r="AL79" s="13">
        <v>708</v>
      </c>
      <c r="AM79" s="13">
        <v>1235</v>
      </c>
      <c r="AN79" s="13">
        <v>1604</v>
      </c>
      <c r="AO79" s="13">
        <v>2895</v>
      </c>
      <c r="AP79" s="13">
        <v>5317</v>
      </c>
      <c r="AQ79" s="13">
        <v>10293</v>
      </c>
      <c r="AR79" s="13">
        <v>17150</v>
      </c>
      <c r="AS79" s="11">
        <v>36552</v>
      </c>
      <c r="AT79" s="11">
        <v>82916</v>
      </c>
      <c r="AU79" s="12">
        <v>722454</v>
      </c>
      <c r="AV79" s="15"/>
      <c r="AW79" s="8" t="s">
        <v>49</v>
      </c>
      <c r="AX79">
        <f>AVERAGE(AL79:AT79)</f>
        <v>17630</v>
      </c>
    </row>
    <row r="80" spans="2:50" ht="27" x14ac:dyDescent="0.2">
      <c r="C80" s="6" t="s">
        <v>36</v>
      </c>
      <c r="D80" s="15"/>
      <c r="E80" s="13">
        <v>40</v>
      </c>
      <c r="F80" s="13">
        <v>570</v>
      </c>
      <c r="G80" s="13">
        <v>1315</v>
      </c>
      <c r="H80" s="13">
        <v>1702</v>
      </c>
      <c r="I80" s="13">
        <v>3908</v>
      </c>
      <c r="J80" s="13">
        <v>8028</v>
      </c>
      <c r="K80" s="13">
        <v>15497</v>
      </c>
      <c r="L80" s="13">
        <v>32789</v>
      </c>
      <c r="M80" s="11">
        <v>74636</v>
      </c>
      <c r="N80" s="12">
        <v>742756</v>
      </c>
      <c r="O80" s="15"/>
      <c r="P80" s="8" t="s">
        <v>49</v>
      </c>
      <c r="Q80">
        <f t="shared" ref="Q80:Q84" si="0">AVERAGE(E80:M80)</f>
        <v>15387.222222222223</v>
      </c>
      <c r="S80" s="6" t="s">
        <v>36</v>
      </c>
      <c r="T80" s="15"/>
      <c r="U80" s="13">
        <v>35</v>
      </c>
      <c r="V80" s="13">
        <v>329</v>
      </c>
      <c r="W80" s="13">
        <v>679</v>
      </c>
      <c r="X80" s="13">
        <v>1839</v>
      </c>
      <c r="Y80" s="13">
        <v>3260</v>
      </c>
      <c r="Z80" s="13">
        <v>6210</v>
      </c>
      <c r="AA80" s="13">
        <v>12320</v>
      </c>
      <c r="AB80" s="13">
        <v>26050</v>
      </c>
      <c r="AC80" s="11">
        <v>52503</v>
      </c>
      <c r="AD80" s="12">
        <v>730738</v>
      </c>
      <c r="AE80" s="15"/>
      <c r="AF80" s="8" t="s">
        <v>49</v>
      </c>
      <c r="AG80">
        <f t="shared" ref="AG80:AG84" si="1">AVERAGE(U80:AC80)</f>
        <v>11469.444444444445</v>
      </c>
      <c r="AJ80" s="6" t="s">
        <v>36</v>
      </c>
      <c r="AK80" s="15"/>
      <c r="AL80" s="13">
        <v>467</v>
      </c>
      <c r="AM80" s="13">
        <v>1129</v>
      </c>
      <c r="AN80" s="13">
        <v>1678</v>
      </c>
      <c r="AO80" s="13">
        <v>2623</v>
      </c>
      <c r="AP80" s="13">
        <v>4282</v>
      </c>
      <c r="AQ80" s="13">
        <v>9796</v>
      </c>
      <c r="AR80" s="13">
        <v>20122</v>
      </c>
      <c r="AS80" s="11">
        <v>39065</v>
      </c>
      <c r="AT80" s="11">
        <v>83299</v>
      </c>
      <c r="AU80" s="12">
        <v>729943</v>
      </c>
      <c r="AV80" s="15"/>
      <c r="AW80" s="8" t="s">
        <v>49</v>
      </c>
      <c r="AX80">
        <f t="shared" ref="AX80:AX84" si="2">AVERAGE(AL80:AT80)</f>
        <v>18051.222222222223</v>
      </c>
    </row>
    <row r="81" spans="3:50" ht="27" x14ac:dyDescent="0.2">
      <c r="C81" s="6" t="s">
        <v>39</v>
      </c>
      <c r="D81" s="15"/>
      <c r="E81" s="13">
        <v>149</v>
      </c>
      <c r="F81" s="13">
        <v>279</v>
      </c>
      <c r="G81" s="13">
        <v>827</v>
      </c>
      <c r="H81" s="13">
        <v>1595</v>
      </c>
      <c r="I81" s="13">
        <v>3201</v>
      </c>
      <c r="J81" s="13">
        <v>7702</v>
      </c>
      <c r="K81" s="13">
        <v>16215</v>
      </c>
      <c r="L81" s="13">
        <v>29552</v>
      </c>
      <c r="M81" s="11">
        <v>64015</v>
      </c>
      <c r="N81" s="12">
        <v>741360</v>
      </c>
      <c r="O81" s="15"/>
      <c r="P81" s="8" t="s">
        <v>49</v>
      </c>
      <c r="Q81">
        <f t="shared" si="0"/>
        <v>13726.111111111111</v>
      </c>
      <c r="S81" s="6" t="s">
        <v>39</v>
      </c>
      <c r="T81" s="15"/>
      <c r="U81" s="13">
        <v>-193</v>
      </c>
      <c r="V81" s="13">
        <v>342</v>
      </c>
      <c r="W81" s="13">
        <v>562</v>
      </c>
      <c r="X81" s="13">
        <v>1365</v>
      </c>
      <c r="Y81" s="13">
        <v>2787</v>
      </c>
      <c r="Z81" s="13">
        <v>5768</v>
      </c>
      <c r="AA81" s="13">
        <v>14548</v>
      </c>
      <c r="AB81" s="13">
        <v>25420</v>
      </c>
      <c r="AC81" s="11">
        <v>52869</v>
      </c>
      <c r="AD81" s="12">
        <v>722737</v>
      </c>
      <c r="AE81" s="15"/>
      <c r="AF81" s="8" t="s">
        <v>49</v>
      </c>
      <c r="AG81">
        <f t="shared" si="1"/>
        <v>11496.444444444445</v>
      </c>
      <c r="AJ81" s="6" t="s">
        <v>39</v>
      </c>
      <c r="AK81" s="15"/>
      <c r="AL81" s="13">
        <v>60</v>
      </c>
      <c r="AM81" s="13">
        <v>997</v>
      </c>
      <c r="AN81" s="13">
        <v>1331</v>
      </c>
      <c r="AO81" s="13">
        <v>2642</v>
      </c>
      <c r="AP81" s="13">
        <v>5060</v>
      </c>
      <c r="AQ81" s="13">
        <v>10305</v>
      </c>
      <c r="AR81" s="13">
        <v>18851</v>
      </c>
      <c r="AS81" s="11">
        <v>35358</v>
      </c>
      <c r="AT81" s="10">
        <v>90774</v>
      </c>
      <c r="AU81" s="12">
        <v>730213</v>
      </c>
      <c r="AV81" s="15"/>
      <c r="AW81" s="8" t="s">
        <v>49</v>
      </c>
      <c r="AX81">
        <f t="shared" si="2"/>
        <v>18375.333333333332</v>
      </c>
    </row>
    <row r="82" spans="3:50" ht="27" x14ac:dyDescent="0.2">
      <c r="C82" s="6" t="s">
        <v>42</v>
      </c>
      <c r="D82" s="15"/>
      <c r="E82" s="13">
        <v>-586</v>
      </c>
      <c r="F82" s="13">
        <v>483</v>
      </c>
      <c r="G82" s="13">
        <v>625</v>
      </c>
      <c r="H82" s="13">
        <v>1704</v>
      </c>
      <c r="I82" s="13">
        <v>3497</v>
      </c>
      <c r="J82" s="13">
        <v>7168</v>
      </c>
      <c r="K82" s="13">
        <v>15687</v>
      </c>
      <c r="L82" s="13">
        <v>31987</v>
      </c>
      <c r="M82" s="11">
        <v>63060</v>
      </c>
      <c r="N82" s="12">
        <v>741724</v>
      </c>
      <c r="O82" s="15"/>
      <c r="P82" s="8" t="s">
        <v>49</v>
      </c>
      <c r="Q82">
        <f t="shared" si="0"/>
        <v>13736.111111111111</v>
      </c>
      <c r="S82" s="6" t="s">
        <v>42</v>
      </c>
      <c r="T82" s="15"/>
      <c r="U82" s="13">
        <v>49</v>
      </c>
      <c r="V82" s="13">
        <v>399</v>
      </c>
      <c r="W82" s="13">
        <v>359</v>
      </c>
      <c r="X82" s="13">
        <v>1573</v>
      </c>
      <c r="Y82" s="13">
        <v>3671</v>
      </c>
      <c r="Z82" s="13">
        <v>5548</v>
      </c>
      <c r="AA82" s="13">
        <v>12459</v>
      </c>
      <c r="AB82" s="13">
        <v>25004</v>
      </c>
      <c r="AC82" s="11">
        <v>52872</v>
      </c>
      <c r="AD82" s="12">
        <v>726129</v>
      </c>
      <c r="AE82" s="15"/>
      <c r="AF82" s="8" t="s">
        <v>49</v>
      </c>
      <c r="AG82">
        <f t="shared" si="1"/>
        <v>11326</v>
      </c>
      <c r="AJ82" s="6" t="s">
        <v>42</v>
      </c>
      <c r="AK82" s="15"/>
      <c r="AL82" s="13">
        <v>290</v>
      </c>
      <c r="AM82" s="13">
        <v>786</v>
      </c>
      <c r="AN82" s="13">
        <v>2024</v>
      </c>
      <c r="AO82" s="13">
        <v>2752</v>
      </c>
      <c r="AP82" s="13">
        <v>4995</v>
      </c>
      <c r="AQ82" s="13">
        <v>9333</v>
      </c>
      <c r="AR82" s="13">
        <v>19394</v>
      </c>
      <c r="AS82" s="11">
        <v>36128</v>
      </c>
      <c r="AT82" s="10">
        <v>93131</v>
      </c>
      <c r="AU82" s="12">
        <v>724073</v>
      </c>
      <c r="AV82" s="15"/>
      <c r="AW82" s="8" t="s">
        <v>49</v>
      </c>
      <c r="AX82">
        <f t="shared" si="2"/>
        <v>18759.222222222223</v>
      </c>
    </row>
    <row r="83" spans="3:50" ht="27" x14ac:dyDescent="0.2">
      <c r="C83" s="6" t="s">
        <v>43</v>
      </c>
      <c r="D83" s="15"/>
      <c r="E83" s="13">
        <v>-135</v>
      </c>
      <c r="F83" s="13">
        <v>408</v>
      </c>
      <c r="G83" s="13">
        <v>981</v>
      </c>
      <c r="H83" s="13">
        <v>1391</v>
      </c>
      <c r="I83" s="13">
        <v>3361</v>
      </c>
      <c r="J83" s="13">
        <v>7989</v>
      </c>
      <c r="K83" s="13">
        <v>14533</v>
      </c>
      <c r="L83" s="13">
        <v>29191</v>
      </c>
      <c r="M83" s="11">
        <v>66784</v>
      </c>
      <c r="N83" s="12">
        <v>744742</v>
      </c>
      <c r="O83" s="15"/>
      <c r="P83" s="8" t="s">
        <v>49</v>
      </c>
      <c r="Q83">
        <f t="shared" si="0"/>
        <v>13833.666666666666</v>
      </c>
      <c r="S83" s="6" t="s">
        <v>43</v>
      </c>
      <c r="T83" s="15"/>
      <c r="U83" s="13">
        <v>-190</v>
      </c>
      <c r="V83" s="13">
        <v>350</v>
      </c>
      <c r="W83" s="13">
        <v>486</v>
      </c>
      <c r="X83" s="13">
        <v>2247</v>
      </c>
      <c r="Y83" s="13">
        <v>3410</v>
      </c>
      <c r="Z83" s="13">
        <v>8145</v>
      </c>
      <c r="AA83" s="13">
        <v>13766</v>
      </c>
      <c r="AB83" s="13">
        <v>24570</v>
      </c>
      <c r="AC83" s="11">
        <v>54256</v>
      </c>
      <c r="AD83" s="12">
        <v>729947</v>
      </c>
      <c r="AE83" s="15"/>
      <c r="AF83" s="8" t="s">
        <v>49</v>
      </c>
      <c r="AG83">
        <f t="shared" si="1"/>
        <v>11893.333333333334</v>
      </c>
      <c r="AJ83" s="6" t="s">
        <v>43</v>
      </c>
      <c r="AK83" s="15"/>
      <c r="AL83" s="13">
        <v>210</v>
      </c>
      <c r="AM83" s="13">
        <v>969</v>
      </c>
      <c r="AN83" s="13">
        <v>1802</v>
      </c>
      <c r="AO83" s="13">
        <v>3203</v>
      </c>
      <c r="AP83" s="13">
        <v>4363</v>
      </c>
      <c r="AQ83" s="13">
        <v>9587</v>
      </c>
      <c r="AR83" s="13">
        <v>18231</v>
      </c>
      <c r="AS83" s="11">
        <v>34956</v>
      </c>
      <c r="AT83" s="11">
        <v>82428</v>
      </c>
      <c r="AU83" s="12">
        <v>731461</v>
      </c>
      <c r="AV83" s="15"/>
      <c r="AW83" s="8" t="s">
        <v>49</v>
      </c>
      <c r="AX83">
        <f t="shared" si="2"/>
        <v>17305.444444444445</v>
      </c>
    </row>
    <row r="84" spans="3:50" ht="27" x14ac:dyDescent="0.2">
      <c r="C84" s="6" t="s">
        <v>44</v>
      </c>
      <c r="D84" s="15"/>
      <c r="E84" s="13">
        <v>194</v>
      </c>
      <c r="F84" s="13">
        <v>373</v>
      </c>
      <c r="G84" s="13">
        <v>792</v>
      </c>
      <c r="H84" s="13">
        <v>1759</v>
      </c>
      <c r="I84" s="13">
        <v>3803</v>
      </c>
      <c r="J84" s="13">
        <v>7856</v>
      </c>
      <c r="K84" s="13">
        <v>13660</v>
      </c>
      <c r="L84" s="13">
        <v>28890</v>
      </c>
      <c r="M84" s="11">
        <v>67808</v>
      </c>
      <c r="N84" s="12">
        <v>747890</v>
      </c>
      <c r="O84" s="15"/>
      <c r="P84" s="8" t="s">
        <v>49</v>
      </c>
      <c r="Q84">
        <f t="shared" si="0"/>
        <v>13903.888888888889</v>
      </c>
      <c r="S84" s="6" t="s">
        <v>44</v>
      </c>
      <c r="T84" s="15"/>
      <c r="U84" s="13">
        <v>12</v>
      </c>
      <c r="V84" s="13">
        <v>428</v>
      </c>
      <c r="W84" s="13">
        <v>957</v>
      </c>
      <c r="X84" s="13">
        <v>1411</v>
      </c>
      <c r="Y84" s="13">
        <v>3570</v>
      </c>
      <c r="Z84" s="13">
        <v>6446</v>
      </c>
      <c r="AA84" s="13">
        <v>12610</v>
      </c>
      <c r="AB84" s="13">
        <v>25311</v>
      </c>
      <c r="AC84" s="11">
        <v>49932</v>
      </c>
      <c r="AD84" s="12">
        <v>735011</v>
      </c>
      <c r="AE84" s="15"/>
      <c r="AF84" s="8" t="s">
        <v>49</v>
      </c>
      <c r="AG84">
        <f t="shared" si="1"/>
        <v>11186.333333333334</v>
      </c>
      <c r="AJ84" s="6" t="s">
        <v>44</v>
      </c>
      <c r="AK84" s="15"/>
      <c r="AL84" s="13">
        <v>-1733</v>
      </c>
      <c r="AM84" s="13">
        <v>575</v>
      </c>
      <c r="AN84" s="13">
        <v>1985</v>
      </c>
      <c r="AO84" s="13">
        <v>2796</v>
      </c>
      <c r="AP84" s="13">
        <v>4744</v>
      </c>
      <c r="AQ84" s="13">
        <v>9343</v>
      </c>
      <c r="AR84" s="13">
        <v>18955</v>
      </c>
      <c r="AS84" s="11">
        <v>35882</v>
      </c>
      <c r="AT84" s="11">
        <v>85477</v>
      </c>
      <c r="AU84" s="12">
        <v>723723</v>
      </c>
      <c r="AV84" s="15"/>
      <c r="AW84" s="8" t="s">
        <v>49</v>
      </c>
      <c r="AX84">
        <f t="shared" si="2"/>
        <v>17558.222222222223</v>
      </c>
    </row>
    <row r="85" spans="3:50" ht="27" x14ac:dyDescent="0.2">
      <c r="C85" s="6" t="s">
        <v>45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8" t="s">
        <v>49</v>
      </c>
      <c r="S85" s="6" t="s">
        <v>45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8" t="s">
        <v>49</v>
      </c>
      <c r="AJ85" s="6" t="s">
        <v>45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8" t="s">
        <v>49</v>
      </c>
    </row>
    <row r="88" spans="3:50" x14ac:dyDescent="0.2">
      <c r="D88">
        <v>0</v>
      </c>
      <c r="E88">
        <v>50</v>
      </c>
      <c r="F88">
        <v>100</v>
      </c>
      <c r="G88">
        <v>200</v>
      </c>
      <c r="H88">
        <v>400</v>
      </c>
      <c r="I88">
        <v>800</v>
      </c>
      <c r="J88">
        <v>1600</v>
      </c>
      <c r="K88">
        <v>3200</v>
      </c>
      <c r="L88">
        <v>6400</v>
      </c>
      <c r="M88" t="s">
        <v>64</v>
      </c>
      <c r="T88">
        <v>0</v>
      </c>
      <c r="U88">
        <v>50</v>
      </c>
      <c r="V88">
        <v>100</v>
      </c>
      <c r="W88">
        <v>200</v>
      </c>
      <c r="X88">
        <v>400</v>
      </c>
      <c r="Y88">
        <v>800</v>
      </c>
      <c r="Z88">
        <v>1600</v>
      </c>
      <c r="AA88">
        <v>3200</v>
      </c>
      <c r="AB88">
        <v>6400</v>
      </c>
      <c r="AC88" t="s">
        <v>64</v>
      </c>
      <c r="AK88">
        <v>0</v>
      </c>
      <c r="AL88">
        <v>50</v>
      </c>
      <c r="AM88">
        <v>100</v>
      </c>
      <c r="AN88">
        <v>200</v>
      </c>
      <c r="AO88">
        <v>400</v>
      </c>
      <c r="AP88">
        <v>800</v>
      </c>
      <c r="AQ88">
        <v>1600</v>
      </c>
      <c r="AR88">
        <v>3200</v>
      </c>
      <c r="AS88">
        <v>6400</v>
      </c>
      <c r="AT88" t="s">
        <v>64</v>
      </c>
    </row>
    <row r="89" spans="3:50" x14ac:dyDescent="0.2">
      <c r="C89" t="s">
        <v>57</v>
      </c>
      <c r="D89">
        <f xml:space="preserve"> ROUND(AVERAGE(E79:E84),0)</f>
        <v>0</v>
      </c>
      <c r="E89">
        <f t="shared" ref="E89:M89" si="3" xml:space="preserve"> ROUND(AVERAGE(F79:F84),0)</f>
        <v>458</v>
      </c>
      <c r="F89">
        <f t="shared" si="3"/>
        <v>953</v>
      </c>
      <c r="G89">
        <f t="shared" si="3"/>
        <v>1652</v>
      </c>
      <c r="H89">
        <f t="shared" si="3"/>
        <v>3551</v>
      </c>
      <c r="I89">
        <f t="shared" si="3"/>
        <v>7630</v>
      </c>
      <c r="J89">
        <f t="shared" si="3"/>
        <v>15501</v>
      </c>
      <c r="K89">
        <f t="shared" si="3"/>
        <v>30164</v>
      </c>
      <c r="L89">
        <f t="shared" si="3"/>
        <v>68332</v>
      </c>
      <c r="M89">
        <f t="shared" si="3"/>
        <v>741710</v>
      </c>
      <c r="S89" t="s">
        <v>57</v>
      </c>
      <c r="T89">
        <f xml:space="preserve"> ROUND(AVERAGE(U79:U84),0)</f>
        <v>0</v>
      </c>
      <c r="U89">
        <f t="shared" ref="U89:AC89" si="4" xml:space="preserve"> ROUND(AVERAGE(V79:V84),0)</f>
        <v>434</v>
      </c>
      <c r="V89">
        <f t="shared" si="4"/>
        <v>643</v>
      </c>
      <c r="W89">
        <f t="shared" si="4"/>
        <v>1766</v>
      </c>
      <c r="X89">
        <f t="shared" si="4"/>
        <v>3322</v>
      </c>
      <c r="Y89">
        <f t="shared" si="4"/>
        <v>6375</v>
      </c>
      <c r="Z89">
        <f t="shared" si="4"/>
        <v>13152</v>
      </c>
      <c r="AA89">
        <f t="shared" si="4"/>
        <v>25564</v>
      </c>
      <c r="AB89">
        <f t="shared" si="4"/>
        <v>53436</v>
      </c>
      <c r="AC89">
        <f t="shared" si="4"/>
        <v>727693</v>
      </c>
      <c r="AJ89" t="s">
        <v>57</v>
      </c>
      <c r="AK89">
        <f xml:space="preserve"> ROUND(AVERAGE(AL79:AL84),0)</f>
        <v>0</v>
      </c>
      <c r="AL89">
        <f t="shared" ref="AL89:AT89" si="5" xml:space="preserve"> ROUND(AVERAGE(AM79:AM84),0)</f>
        <v>949</v>
      </c>
      <c r="AM89">
        <f t="shared" si="5"/>
        <v>1737</v>
      </c>
      <c r="AN89">
        <f t="shared" si="5"/>
        <v>2819</v>
      </c>
      <c r="AO89">
        <f t="shared" si="5"/>
        <v>4794</v>
      </c>
      <c r="AP89">
        <f t="shared" si="5"/>
        <v>9776</v>
      </c>
      <c r="AQ89">
        <f t="shared" si="5"/>
        <v>18784</v>
      </c>
      <c r="AR89">
        <f t="shared" si="5"/>
        <v>36324</v>
      </c>
      <c r="AS89">
        <f t="shared" si="5"/>
        <v>86338</v>
      </c>
      <c r="AT89">
        <f t="shared" si="5"/>
        <v>726978</v>
      </c>
    </row>
    <row r="90" spans="3:50" x14ac:dyDescent="0.2">
      <c r="C90" t="s">
        <v>56</v>
      </c>
      <c r="D90">
        <f>ROUND(_xlfn.STDEV.P(E79:E84),0)</f>
        <v>299</v>
      </c>
      <c r="E90">
        <f t="shared" ref="E90:M90" si="6">ROUND(_xlfn.STDEV.P(F79:F84),0)</f>
        <v>119</v>
      </c>
      <c r="F90">
        <f t="shared" si="6"/>
        <v>235</v>
      </c>
      <c r="G90">
        <f t="shared" si="6"/>
        <v>129</v>
      </c>
      <c r="H90">
        <f t="shared" si="6"/>
        <v>242</v>
      </c>
      <c r="I90">
        <f t="shared" si="6"/>
        <v>390</v>
      </c>
      <c r="J90">
        <f t="shared" si="6"/>
        <v>1193</v>
      </c>
      <c r="K90">
        <f t="shared" si="6"/>
        <v>1617</v>
      </c>
      <c r="L90">
        <f t="shared" si="6"/>
        <v>4425</v>
      </c>
      <c r="M90">
        <f t="shared" si="6"/>
        <v>4950</v>
      </c>
      <c r="S90" t="s">
        <v>56</v>
      </c>
      <c r="T90">
        <f>ROUND(_xlfn.STDEV.P(U79:U84),0)</f>
        <v>163</v>
      </c>
      <c r="U90">
        <f t="shared" ref="U90:AC90" si="7">ROUND(_xlfn.STDEV.P(V79:V84),0)</f>
        <v>147</v>
      </c>
      <c r="V90">
        <f t="shared" si="7"/>
        <v>200</v>
      </c>
      <c r="W90">
        <f t="shared" si="7"/>
        <v>345</v>
      </c>
      <c r="X90">
        <f t="shared" si="7"/>
        <v>285</v>
      </c>
      <c r="Y90">
        <f t="shared" si="7"/>
        <v>844</v>
      </c>
      <c r="Z90">
        <f t="shared" si="7"/>
        <v>795</v>
      </c>
      <c r="AA90">
        <f t="shared" si="7"/>
        <v>792</v>
      </c>
      <c r="AB90">
        <f t="shared" si="7"/>
        <v>2482</v>
      </c>
      <c r="AC90">
        <f t="shared" si="7"/>
        <v>4692</v>
      </c>
      <c r="AJ90" t="s">
        <v>56</v>
      </c>
      <c r="AK90">
        <f>ROUND(_xlfn.STDEV.P(AL79:AL84),0)</f>
        <v>802</v>
      </c>
      <c r="AL90">
        <f t="shared" ref="AL90:AT90" si="8">ROUND(_xlfn.STDEV.P(AM79:AM84),0)</f>
        <v>217</v>
      </c>
      <c r="AM90">
        <f t="shared" si="8"/>
        <v>236</v>
      </c>
      <c r="AN90">
        <f t="shared" si="8"/>
        <v>195</v>
      </c>
      <c r="AO90">
        <f t="shared" si="8"/>
        <v>373</v>
      </c>
      <c r="AP90">
        <f t="shared" si="8"/>
        <v>401</v>
      </c>
      <c r="AQ90">
        <f t="shared" si="8"/>
        <v>928</v>
      </c>
      <c r="AR90">
        <f t="shared" si="8"/>
        <v>1329</v>
      </c>
      <c r="AS90">
        <f t="shared" si="8"/>
        <v>4139</v>
      </c>
      <c r="AT90">
        <f t="shared" si="8"/>
        <v>3625</v>
      </c>
    </row>
    <row r="92" spans="3:50" x14ac:dyDescent="0.2">
      <c r="C92" t="s">
        <v>99</v>
      </c>
      <c r="D92">
        <v>0</v>
      </c>
      <c r="E92">
        <v>50</v>
      </c>
      <c r="F92">
        <v>100</v>
      </c>
      <c r="G92">
        <v>200</v>
      </c>
      <c r="H92">
        <v>400</v>
      </c>
      <c r="I92">
        <v>800</v>
      </c>
      <c r="J92">
        <v>1600</v>
      </c>
      <c r="K92">
        <v>3200</v>
      </c>
      <c r="L92">
        <v>6400</v>
      </c>
      <c r="S92" t="s">
        <v>99</v>
      </c>
      <c r="T92">
        <v>0</v>
      </c>
      <c r="U92">
        <v>50</v>
      </c>
      <c r="V92">
        <v>100</v>
      </c>
      <c r="W92">
        <v>200</v>
      </c>
      <c r="X92">
        <v>400</v>
      </c>
      <c r="Y92">
        <v>800</v>
      </c>
      <c r="Z92">
        <v>1600</v>
      </c>
      <c r="AA92">
        <v>3200</v>
      </c>
      <c r="AB92">
        <v>6400</v>
      </c>
      <c r="AJ92" t="s">
        <v>99</v>
      </c>
      <c r="AK92">
        <v>0</v>
      </c>
      <c r="AL92">
        <v>50</v>
      </c>
      <c r="AM92">
        <v>100</v>
      </c>
      <c r="AN92">
        <v>200</v>
      </c>
      <c r="AO92">
        <v>400</v>
      </c>
      <c r="AP92">
        <v>800</v>
      </c>
      <c r="AQ92">
        <v>1600</v>
      </c>
      <c r="AR92">
        <v>3200</v>
      </c>
      <c r="AS92">
        <v>6400</v>
      </c>
    </row>
    <row r="93" spans="3:50" x14ac:dyDescent="0.2">
      <c r="C93" t="s">
        <v>57</v>
      </c>
      <c r="D93">
        <f>D89/$M$89</f>
        <v>0</v>
      </c>
      <c r="E93">
        <f t="shared" ref="E93:L94" si="9">E89/$M$89</f>
        <v>6.1749201170268708E-4</v>
      </c>
      <c r="F93">
        <f t="shared" si="9"/>
        <v>1.2848687492416173E-3</v>
      </c>
      <c r="G93">
        <f t="shared" si="9"/>
        <v>2.2272855967965916E-3</v>
      </c>
      <c r="H93">
        <f t="shared" si="9"/>
        <v>4.7875854444459423E-3</v>
      </c>
      <c r="I93">
        <f t="shared" si="9"/>
        <v>1.0287039408933411E-2</v>
      </c>
      <c r="J93">
        <f t="shared" si="9"/>
        <v>2.0899003653719109E-2</v>
      </c>
      <c r="K93">
        <f t="shared" si="9"/>
        <v>4.066818567903898E-2</v>
      </c>
      <c r="L93">
        <f t="shared" si="9"/>
        <v>9.2127650968707453E-2</v>
      </c>
      <c r="S93" t="s">
        <v>57</v>
      </c>
      <c r="T93">
        <f>T89/$M$89 * 10000</f>
        <v>0</v>
      </c>
      <c r="U93">
        <f t="shared" ref="U93:AB93" si="10">U89/$M$89 * 10000</f>
        <v>5.8513435170079955</v>
      </c>
      <c r="V93">
        <f t="shared" si="10"/>
        <v>8.6691564088390347</v>
      </c>
      <c r="W93">
        <f t="shared" si="10"/>
        <v>23.809844818055574</v>
      </c>
      <c r="X93">
        <f t="shared" si="10"/>
        <v>44.788394385945992</v>
      </c>
      <c r="Y93">
        <f t="shared" si="10"/>
        <v>85.950034380013747</v>
      </c>
      <c r="Z93">
        <f t="shared" si="10"/>
        <v>177.31997681034366</v>
      </c>
      <c r="AA93">
        <f t="shared" si="10"/>
        <v>344.66300845343869</v>
      </c>
      <c r="AB93">
        <f t="shared" si="10"/>
        <v>720.44329994202587</v>
      </c>
      <c r="AJ93" t="s">
        <v>57</v>
      </c>
      <c r="AK93">
        <f>AK89/$M$89 * 10000</f>
        <v>0</v>
      </c>
      <c r="AL93">
        <f t="shared" ref="AL93:AS94" si="11">AL89/$M$89 * 10000</f>
        <v>12.794758059079694</v>
      </c>
      <c r="AM93">
        <f t="shared" si="11"/>
        <v>23.418856426366098</v>
      </c>
      <c r="AN93">
        <f t="shared" si="11"/>
        <v>38.006768143883733</v>
      </c>
      <c r="AO93">
        <f t="shared" si="11"/>
        <v>64.634425853770338</v>
      </c>
      <c r="AP93">
        <f t="shared" si="11"/>
        <v>131.80353507435521</v>
      </c>
      <c r="AQ93">
        <f t="shared" si="11"/>
        <v>253.2526189481064</v>
      </c>
      <c r="AR93">
        <f t="shared" si="11"/>
        <v>489.73318412856776</v>
      </c>
      <c r="AS93">
        <f t="shared" si="11"/>
        <v>1164.0398538512356</v>
      </c>
    </row>
    <row r="94" spans="3:50" x14ac:dyDescent="0.2">
      <c r="C94" t="s">
        <v>56</v>
      </c>
      <c r="D94">
        <f>D90/$M$89</f>
        <v>4.0312251419018214E-4</v>
      </c>
      <c r="E94">
        <f t="shared" si="9"/>
        <v>1.6044006417602566E-4</v>
      </c>
      <c r="F94">
        <f t="shared" si="9"/>
        <v>3.1683542085181538E-4</v>
      </c>
      <c r="G94">
        <f t="shared" si="9"/>
        <v>1.7392242251014549E-4</v>
      </c>
      <c r="H94">
        <f t="shared" si="9"/>
        <v>3.2627307168569929E-4</v>
      </c>
      <c r="I94">
        <f t="shared" si="9"/>
        <v>5.2581197503067236E-4</v>
      </c>
      <c r="J94">
        <f t="shared" si="9"/>
        <v>1.6084453492604927E-3</v>
      </c>
      <c r="K94">
        <f t="shared" si="9"/>
        <v>2.1800973426271725E-3</v>
      </c>
      <c r="L94">
        <f t="shared" si="9"/>
        <v>5.9659435628480134E-3</v>
      </c>
      <c r="S94" t="s">
        <v>56</v>
      </c>
      <c r="T94">
        <f>T90/$M$89 * 10000</f>
        <v>2.197624408461528</v>
      </c>
      <c r="U94">
        <f t="shared" ref="U94:AB94" si="12">U90/$M$89 * 10000</f>
        <v>1.9819066751156114</v>
      </c>
      <c r="V94">
        <f t="shared" si="12"/>
        <v>2.6964716668239612</v>
      </c>
      <c r="W94">
        <f t="shared" si="12"/>
        <v>4.6514136252713323</v>
      </c>
      <c r="X94">
        <f t="shared" si="12"/>
        <v>3.8424721252241443</v>
      </c>
      <c r="Y94">
        <f t="shared" si="12"/>
        <v>11.379110433997115</v>
      </c>
      <c r="Z94">
        <f t="shared" si="12"/>
        <v>10.718474875625244</v>
      </c>
      <c r="AA94">
        <f t="shared" si="12"/>
        <v>10.678027800622885</v>
      </c>
      <c r="AB94">
        <f t="shared" si="12"/>
        <v>33.46321338528535</v>
      </c>
      <c r="AJ94" t="s">
        <v>56</v>
      </c>
      <c r="AK94">
        <f>AK90/$M$89 * 10000</f>
        <v>10.812851383964082</v>
      </c>
      <c r="AL94">
        <f t="shared" si="11"/>
        <v>2.9256717585039977</v>
      </c>
      <c r="AM94">
        <f t="shared" si="11"/>
        <v>3.1818365668522741</v>
      </c>
      <c r="AN94">
        <f t="shared" si="11"/>
        <v>2.6290598751533616</v>
      </c>
      <c r="AO94">
        <f t="shared" si="11"/>
        <v>5.0289196586266867</v>
      </c>
      <c r="AP94">
        <f t="shared" si="11"/>
        <v>5.406425691982041</v>
      </c>
      <c r="AQ94">
        <f t="shared" si="11"/>
        <v>12.511628534063178</v>
      </c>
      <c r="AR94">
        <f t="shared" si="11"/>
        <v>17.918054226045218</v>
      </c>
      <c r="AS94">
        <f t="shared" si="11"/>
        <v>55.803481144921875</v>
      </c>
    </row>
    <row r="99" spans="11:43" x14ac:dyDescent="0.2">
      <c r="L99" s="19"/>
    </row>
    <row r="101" spans="11:43" x14ac:dyDescent="0.2">
      <c r="AQ101" t="s">
        <v>103</v>
      </c>
    </row>
    <row r="102" spans="11:43" x14ac:dyDescent="0.2">
      <c r="AQ102" t="s">
        <v>104</v>
      </c>
    </row>
    <row r="103" spans="11:43" x14ac:dyDescent="0.2">
      <c r="K103" t="s">
        <v>101</v>
      </c>
      <c r="AA103" t="s">
        <v>102</v>
      </c>
      <c r="AQ103">
        <f>1/0.00001751</f>
        <v>57110.222729868648</v>
      </c>
    </row>
    <row r="104" spans="11:43" x14ac:dyDescent="0.2">
      <c r="K104" t="s">
        <v>106</v>
      </c>
      <c r="AA104" t="s">
        <v>105</v>
      </c>
    </row>
    <row r="105" spans="11:43" x14ac:dyDescent="0.2">
      <c r="K105">
        <v>71479.628305932813</v>
      </c>
      <c r="AA105">
        <f>1/0.00001115</f>
        <v>89686.098654708519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4E17-5451-4161-85F8-38A9FFEC5E3D}">
  <dimension ref="B2:P89"/>
  <sheetViews>
    <sheetView topLeftCell="A75" workbookViewId="0">
      <selection activeCell="M104" sqref="M104"/>
    </sheetView>
  </sheetViews>
  <sheetFormatPr baseColWidth="10" defaultRowHeight="12.75" x14ac:dyDescent="0.2"/>
  <sheetData>
    <row r="2" spans="2:15" x14ac:dyDescent="0.2">
      <c r="B2" t="s">
        <v>86</v>
      </c>
    </row>
    <row r="4" spans="2:15" x14ac:dyDescent="0.2">
      <c r="B4" t="s">
        <v>87</v>
      </c>
    </row>
    <row r="5" spans="2:15" x14ac:dyDescent="0.2">
      <c r="B5" t="s">
        <v>59</v>
      </c>
    </row>
    <row r="6" spans="2:15" x14ac:dyDescent="0.2">
      <c r="B6" t="s">
        <v>60</v>
      </c>
    </row>
    <row r="7" spans="2:15" x14ac:dyDescent="0.2">
      <c r="B7" t="s">
        <v>61</v>
      </c>
    </row>
    <row r="9" spans="2:15" x14ac:dyDescent="0.2">
      <c r="C9" s="5"/>
      <c r="D9" s="6">
        <v>1</v>
      </c>
      <c r="E9" s="6">
        <v>2</v>
      </c>
      <c r="F9" s="6">
        <v>3</v>
      </c>
      <c r="G9" s="6">
        <v>4</v>
      </c>
      <c r="H9" s="6">
        <v>5</v>
      </c>
      <c r="I9" s="6">
        <v>6</v>
      </c>
      <c r="J9" s="6">
        <v>7</v>
      </c>
      <c r="K9" s="6">
        <v>8</v>
      </c>
      <c r="L9" s="6">
        <v>9</v>
      </c>
      <c r="M9" s="6">
        <v>10</v>
      </c>
      <c r="N9" s="6">
        <v>11</v>
      </c>
      <c r="O9" s="6">
        <v>12</v>
      </c>
    </row>
    <row r="10" spans="2:15" x14ac:dyDescent="0.2">
      <c r="C10" s="6" t="s">
        <v>29</v>
      </c>
      <c r="D10" s="7"/>
      <c r="E10" s="7"/>
      <c r="F10" s="7"/>
      <c r="G10" s="7"/>
      <c r="H10" s="14"/>
      <c r="I10" s="14"/>
      <c r="J10" s="14"/>
      <c r="K10" s="7"/>
      <c r="L10" s="7"/>
      <c r="M10" s="7"/>
      <c r="N10" s="7"/>
      <c r="O10" s="7"/>
    </row>
    <row r="11" spans="2:15" x14ac:dyDescent="0.2">
      <c r="C11" s="6" t="s">
        <v>33</v>
      </c>
      <c r="D11" s="7"/>
      <c r="E11" s="7">
        <v>0</v>
      </c>
      <c r="F11" s="7">
        <v>64</v>
      </c>
      <c r="G11" s="7">
        <v>32</v>
      </c>
      <c r="H11" s="7">
        <v>16</v>
      </c>
      <c r="I11" s="14">
        <v>8</v>
      </c>
      <c r="J11" s="14">
        <v>5</v>
      </c>
      <c r="K11" s="14">
        <v>1</v>
      </c>
      <c r="L11" s="7" t="s">
        <v>81</v>
      </c>
      <c r="M11" s="7" t="s">
        <v>88</v>
      </c>
      <c r="N11" s="7" t="s">
        <v>89</v>
      </c>
      <c r="O11" s="7"/>
    </row>
    <row r="12" spans="2:15" x14ac:dyDescent="0.2">
      <c r="C12" s="6" t="s">
        <v>36</v>
      </c>
      <c r="D12" s="7"/>
      <c r="E12" s="7">
        <v>0</v>
      </c>
      <c r="F12" s="7">
        <v>64</v>
      </c>
      <c r="G12" s="7">
        <v>32</v>
      </c>
      <c r="H12" s="7">
        <v>16</v>
      </c>
      <c r="I12" s="14">
        <v>8</v>
      </c>
      <c r="J12" s="14">
        <v>5</v>
      </c>
      <c r="K12" s="14">
        <v>1</v>
      </c>
      <c r="L12" s="7" t="s">
        <v>81</v>
      </c>
      <c r="M12" s="7" t="s">
        <v>88</v>
      </c>
      <c r="N12" s="7" t="s">
        <v>89</v>
      </c>
      <c r="O12" s="7"/>
    </row>
    <row r="13" spans="2:15" x14ac:dyDescent="0.2">
      <c r="C13" s="6" t="s">
        <v>39</v>
      </c>
      <c r="D13" s="7"/>
      <c r="E13" s="7">
        <v>0</v>
      </c>
      <c r="F13" s="7">
        <v>64</v>
      </c>
      <c r="G13" s="7">
        <v>32</v>
      </c>
      <c r="H13" s="7">
        <v>16</v>
      </c>
      <c r="I13" s="14">
        <v>8</v>
      </c>
      <c r="J13" s="14">
        <v>5</v>
      </c>
      <c r="K13" s="14">
        <v>1</v>
      </c>
      <c r="L13" s="7" t="s">
        <v>81</v>
      </c>
      <c r="M13" s="7" t="s">
        <v>88</v>
      </c>
      <c r="N13" s="7" t="s">
        <v>89</v>
      </c>
      <c r="O13" s="7"/>
    </row>
    <row r="14" spans="2:15" x14ac:dyDescent="0.2">
      <c r="C14" s="6" t="s">
        <v>42</v>
      </c>
      <c r="D14" s="7"/>
      <c r="E14" s="7">
        <v>0</v>
      </c>
      <c r="F14" s="7">
        <v>64</v>
      </c>
      <c r="G14" s="7">
        <v>32</v>
      </c>
      <c r="H14" s="7">
        <v>16</v>
      </c>
      <c r="I14" s="14">
        <v>8</v>
      </c>
      <c r="J14" s="14">
        <v>5</v>
      </c>
      <c r="K14" s="14">
        <v>1</v>
      </c>
      <c r="L14" s="7" t="s">
        <v>81</v>
      </c>
      <c r="M14" s="7" t="s">
        <v>88</v>
      </c>
      <c r="N14" s="7" t="s">
        <v>89</v>
      </c>
      <c r="O14" s="7"/>
    </row>
    <row r="15" spans="2:15" x14ac:dyDescent="0.2">
      <c r="C15" s="6" t="s">
        <v>43</v>
      </c>
      <c r="D15" s="7"/>
      <c r="E15" s="7">
        <v>0</v>
      </c>
      <c r="F15" s="7">
        <v>64</v>
      </c>
      <c r="G15" s="7">
        <v>32</v>
      </c>
      <c r="H15" s="7">
        <v>16</v>
      </c>
      <c r="I15" s="14">
        <v>8</v>
      </c>
      <c r="J15" s="14">
        <v>5</v>
      </c>
      <c r="K15" s="14">
        <v>1</v>
      </c>
      <c r="L15" s="7" t="s">
        <v>81</v>
      </c>
      <c r="M15" s="7" t="s">
        <v>88</v>
      </c>
      <c r="N15" s="7" t="s">
        <v>89</v>
      </c>
      <c r="O15" s="7"/>
    </row>
    <row r="16" spans="2:15" x14ac:dyDescent="0.2">
      <c r="C16" s="6" t="s">
        <v>44</v>
      </c>
      <c r="D16" s="7"/>
      <c r="E16" s="7">
        <v>0</v>
      </c>
      <c r="F16" s="7">
        <v>64</v>
      </c>
      <c r="G16" s="7">
        <v>32</v>
      </c>
      <c r="H16" s="7">
        <v>16</v>
      </c>
      <c r="I16" s="14">
        <v>8</v>
      </c>
      <c r="J16" s="14">
        <v>5</v>
      </c>
      <c r="K16" s="14">
        <v>1</v>
      </c>
      <c r="L16" s="7" t="s">
        <v>81</v>
      </c>
      <c r="M16" s="7" t="s">
        <v>88</v>
      </c>
      <c r="N16" s="7" t="s">
        <v>89</v>
      </c>
      <c r="O16" s="7"/>
    </row>
    <row r="17" spans="2:15" x14ac:dyDescent="0.2">
      <c r="C17" s="6" t="s">
        <v>45</v>
      </c>
      <c r="D17" s="7"/>
      <c r="E17" s="7"/>
      <c r="F17" s="7"/>
      <c r="G17" s="7"/>
      <c r="H17" s="14"/>
      <c r="I17" s="14"/>
      <c r="J17" s="14"/>
      <c r="K17" s="7"/>
      <c r="L17" s="7"/>
      <c r="M17" s="7"/>
      <c r="N17" s="7"/>
      <c r="O17" s="7"/>
    </row>
    <row r="19" spans="2:15" x14ac:dyDescent="0.2">
      <c r="B19" t="s">
        <v>0</v>
      </c>
      <c r="C19" t="s">
        <v>1</v>
      </c>
    </row>
    <row r="21" spans="2:15" x14ac:dyDescent="0.2">
      <c r="B21" t="s">
        <v>2</v>
      </c>
      <c r="C21" t="s">
        <v>90</v>
      </c>
    </row>
    <row r="22" spans="2:15" x14ac:dyDescent="0.2">
      <c r="B22" t="s">
        <v>3</v>
      </c>
      <c r="C22" t="s">
        <v>91</v>
      </c>
    </row>
    <row r="23" spans="2:15" x14ac:dyDescent="0.2">
      <c r="B23" t="s">
        <v>4</v>
      </c>
      <c r="C23" t="s">
        <v>5</v>
      </c>
    </row>
    <row r="24" spans="2:15" x14ac:dyDescent="0.2">
      <c r="B24" t="s">
        <v>6</v>
      </c>
      <c r="C24" s="1">
        <v>45680</v>
      </c>
    </row>
    <row r="25" spans="2:15" x14ac:dyDescent="0.2">
      <c r="B25" t="s">
        <v>7</v>
      </c>
      <c r="C25" s="2">
        <v>0.56650462962962966</v>
      </c>
    </row>
    <row r="26" spans="2:15" x14ac:dyDescent="0.2">
      <c r="B26" t="s">
        <v>8</v>
      </c>
      <c r="C26" t="s">
        <v>9</v>
      </c>
    </row>
    <row r="27" spans="2:15" x14ac:dyDescent="0.2">
      <c r="B27" t="s">
        <v>10</v>
      </c>
      <c r="C27" t="s">
        <v>11</v>
      </c>
    </row>
    <row r="28" spans="2:15" x14ac:dyDescent="0.2">
      <c r="B28" t="s">
        <v>12</v>
      </c>
      <c r="C28" t="s">
        <v>13</v>
      </c>
    </row>
    <row r="30" spans="2:15" ht="25.5" x14ac:dyDescent="0.2">
      <c r="B30" s="3" t="s">
        <v>14</v>
      </c>
      <c r="C30" s="4"/>
    </row>
    <row r="31" spans="2:15" x14ac:dyDescent="0.2">
      <c r="B31" t="s">
        <v>15</v>
      </c>
      <c r="C31" t="s">
        <v>16</v>
      </c>
    </row>
    <row r="32" spans="2:15" x14ac:dyDescent="0.2">
      <c r="B32" t="s">
        <v>17</v>
      </c>
    </row>
    <row r="33" spans="2:16" x14ac:dyDescent="0.2">
      <c r="B33" t="s">
        <v>67</v>
      </c>
      <c r="C33" t="s">
        <v>68</v>
      </c>
    </row>
    <row r="34" spans="2:16" x14ac:dyDescent="0.2">
      <c r="C34" t="s">
        <v>69</v>
      </c>
    </row>
    <row r="35" spans="2:16" x14ac:dyDescent="0.2">
      <c r="B35" t="s">
        <v>18</v>
      </c>
      <c r="C35" t="s">
        <v>19</v>
      </c>
    </row>
    <row r="36" spans="2:16" x14ac:dyDescent="0.2">
      <c r="C36" t="s">
        <v>20</v>
      </c>
    </row>
    <row r="37" spans="2:16" x14ac:dyDescent="0.2">
      <c r="C37" t="s">
        <v>21</v>
      </c>
    </row>
    <row r="38" spans="2:16" x14ac:dyDescent="0.2">
      <c r="C38" t="s">
        <v>22</v>
      </c>
    </row>
    <row r="39" spans="2:16" x14ac:dyDescent="0.2">
      <c r="C39" t="s">
        <v>23</v>
      </c>
    </row>
    <row r="40" spans="2:16" x14ac:dyDescent="0.2">
      <c r="C40" t="s">
        <v>24</v>
      </c>
    </row>
    <row r="41" spans="2:16" x14ac:dyDescent="0.2">
      <c r="C41" t="s">
        <v>25</v>
      </c>
    </row>
    <row r="42" spans="2:16" x14ac:dyDescent="0.2">
      <c r="C42" t="s">
        <v>26</v>
      </c>
    </row>
    <row r="43" spans="2:16" x14ac:dyDescent="0.2">
      <c r="C43" t="s">
        <v>27</v>
      </c>
    </row>
    <row r="45" spans="2:16" x14ac:dyDescent="0.2">
      <c r="B45" s="3" t="s">
        <v>28</v>
      </c>
      <c r="C45" s="4"/>
    </row>
    <row r="47" spans="2:16" x14ac:dyDescent="0.2">
      <c r="C47" s="5"/>
      <c r="D47" s="6">
        <v>1</v>
      </c>
      <c r="E47" s="6">
        <v>2</v>
      </c>
      <c r="F47" s="6">
        <v>3</v>
      </c>
      <c r="G47" s="6">
        <v>4</v>
      </c>
      <c r="H47" s="6">
        <v>5</v>
      </c>
      <c r="I47" s="6">
        <v>6</v>
      </c>
      <c r="J47" s="6">
        <v>7</v>
      </c>
      <c r="K47" s="6">
        <v>8</v>
      </c>
      <c r="L47" s="6">
        <v>9</v>
      </c>
      <c r="M47" s="6">
        <v>10</v>
      </c>
      <c r="N47" s="6">
        <v>11</v>
      </c>
      <c r="O47" s="6">
        <v>12</v>
      </c>
    </row>
    <row r="48" spans="2:16" x14ac:dyDescent="0.2">
      <c r="C48" s="6" t="s">
        <v>29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8" t="s">
        <v>32</v>
      </c>
    </row>
    <row r="49" spans="2:16" x14ac:dyDescent="0.2">
      <c r="C49" s="6" t="s">
        <v>33</v>
      </c>
      <c r="D49" s="15"/>
      <c r="E49" s="9" t="s">
        <v>46</v>
      </c>
      <c r="F49" s="7" t="s">
        <v>30</v>
      </c>
      <c r="G49" s="7" t="s">
        <v>31</v>
      </c>
      <c r="H49" s="7" t="s">
        <v>34</v>
      </c>
      <c r="I49" s="7" t="s">
        <v>35</v>
      </c>
      <c r="J49" s="7" t="s">
        <v>37</v>
      </c>
      <c r="K49" s="7" t="s">
        <v>38</v>
      </c>
      <c r="L49" s="7" t="s">
        <v>40</v>
      </c>
      <c r="M49" s="7" t="s">
        <v>41</v>
      </c>
      <c r="N49" s="7" t="s">
        <v>92</v>
      </c>
      <c r="O49" s="15"/>
      <c r="P49" s="8" t="s">
        <v>32</v>
      </c>
    </row>
    <row r="50" spans="2:16" x14ac:dyDescent="0.2">
      <c r="C50" s="6" t="s">
        <v>36</v>
      </c>
      <c r="D50" s="15"/>
      <c r="E50" s="9" t="s">
        <v>46</v>
      </c>
      <c r="F50" s="7" t="s">
        <v>30</v>
      </c>
      <c r="G50" s="7" t="s">
        <v>31</v>
      </c>
      <c r="H50" s="7" t="s">
        <v>34</v>
      </c>
      <c r="I50" s="7" t="s">
        <v>35</v>
      </c>
      <c r="J50" s="7" t="s">
        <v>37</v>
      </c>
      <c r="K50" s="7" t="s">
        <v>38</v>
      </c>
      <c r="L50" s="7" t="s">
        <v>40</v>
      </c>
      <c r="M50" s="7" t="s">
        <v>41</v>
      </c>
      <c r="N50" s="7" t="s">
        <v>92</v>
      </c>
      <c r="O50" s="15"/>
      <c r="P50" s="8" t="s">
        <v>32</v>
      </c>
    </row>
    <row r="51" spans="2:16" x14ac:dyDescent="0.2">
      <c r="C51" s="6" t="s">
        <v>39</v>
      </c>
      <c r="D51" s="15"/>
      <c r="E51" s="9" t="s">
        <v>46</v>
      </c>
      <c r="F51" s="7" t="s">
        <v>30</v>
      </c>
      <c r="G51" s="7" t="s">
        <v>31</v>
      </c>
      <c r="H51" s="7" t="s">
        <v>34</v>
      </c>
      <c r="I51" s="7" t="s">
        <v>35</v>
      </c>
      <c r="J51" s="7" t="s">
        <v>37</v>
      </c>
      <c r="K51" s="7" t="s">
        <v>38</v>
      </c>
      <c r="L51" s="7" t="s">
        <v>40</v>
      </c>
      <c r="M51" s="7" t="s">
        <v>41</v>
      </c>
      <c r="N51" s="7" t="s">
        <v>92</v>
      </c>
      <c r="O51" s="15"/>
      <c r="P51" s="8" t="s">
        <v>32</v>
      </c>
    </row>
    <row r="52" spans="2:16" x14ac:dyDescent="0.2">
      <c r="C52" s="6" t="s">
        <v>42</v>
      </c>
      <c r="D52" s="15"/>
      <c r="E52" s="9" t="s">
        <v>46</v>
      </c>
      <c r="F52" s="7" t="s">
        <v>30</v>
      </c>
      <c r="G52" s="7" t="s">
        <v>31</v>
      </c>
      <c r="H52" s="7" t="s">
        <v>34</v>
      </c>
      <c r="I52" s="7" t="s">
        <v>35</v>
      </c>
      <c r="J52" s="7" t="s">
        <v>37</v>
      </c>
      <c r="K52" s="7" t="s">
        <v>38</v>
      </c>
      <c r="L52" s="7" t="s">
        <v>40</v>
      </c>
      <c r="M52" s="7" t="s">
        <v>41</v>
      </c>
      <c r="N52" s="7" t="s">
        <v>92</v>
      </c>
      <c r="O52" s="15"/>
      <c r="P52" s="8" t="s">
        <v>32</v>
      </c>
    </row>
    <row r="53" spans="2:16" x14ac:dyDescent="0.2">
      <c r="C53" s="6" t="s">
        <v>43</v>
      </c>
      <c r="D53" s="15"/>
      <c r="E53" s="9" t="s">
        <v>46</v>
      </c>
      <c r="F53" s="7" t="s">
        <v>30</v>
      </c>
      <c r="G53" s="7" t="s">
        <v>31</v>
      </c>
      <c r="H53" s="7" t="s">
        <v>34</v>
      </c>
      <c r="I53" s="7" t="s">
        <v>35</v>
      </c>
      <c r="J53" s="7" t="s">
        <v>37</v>
      </c>
      <c r="K53" s="7" t="s">
        <v>38</v>
      </c>
      <c r="L53" s="7" t="s">
        <v>40</v>
      </c>
      <c r="M53" s="7" t="s">
        <v>41</v>
      </c>
      <c r="N53" s="7" t="s">
        <v>92</v>
      </c>
      <c r="O53" s="15"/>
      <c r="P53" s="8" t="s">
        <v>32</v>
      </c>
    </row>
    <row r="54" spans="2:16" x14ac:dyDescent="0.2">
      <c r="C54" s="6" t="s">
        <v>44</v>
      </c>
      <c r="D54" s="15"/>
      <c r="E54" s="9" t="s">
        <v>46</v>
      </c>
      <c r="F54" s="7" t="s">
        <v>30</v>
      </c>
      <c r="G54" s="7" t="s">
        <v>31</v>
      </c>
      <c r="H54" s="7" t="s">
        <v>34</v>
      </c>
      <c r="I54" s="7" t="s">
        <v>35</v>
      </c>
      <c r="J54" s="7" t="s">
        <v>37</v>
      </c>
      <c r="K54" s="7" t="s">
        <v>38</v>
      </c>
      <c r="L54" s="7" t="s">
        <v>40</v>
      </c>
      <c r="M54" s="7" t="s">
        <v>41</v>
      </c>
      <c r="N54" s="7" t="s">
        <v>92</v>
      </c>
      <c r="O54" s="15"/>
      <c r="P54" s="8" t="s">
        <v>32</v>
      </c>
    </row>
    <row r="55" spans="2:16" x14ac:dyDescent="0.2">
      <c r="C55" s="6" t="s">
        <v>45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8" t="s">
        <v>32</v>
      </c>
    </row>
    <row r="57" spans="2:16" ht="25.5" x14ac:dyDescent="0.2">
      <c r="B57" s="3" t="s">
        <v>47</v>
      </c>
      <c r="C57" s="4"/>
    </row>
    <row r="58" spans="2:16" x14ac:dyDescent="0.2">
      <c r="B58" t="s">
        <v>48</v>
      </c>
      <c r="C58">
        <v>28.8</v>
      </c>
    </row>
    <row r="60" spans="2:16" x14ac:dyDescent="0.2">
      <c r="C60" s="5"/>
      <c r="D60" s="6">
        <v>1</v>
      </c>
      <c r="E60" s="6">
        <v>2</v>
      </c>
      <c r="F60" s="6">
        <v>3</v>
      </c>
      <c r="G60" s="6">
        <v>4</v>
      </c>
      <c r="H60" s="6">
        <v>5</v>
      </c>
      <c r="I60" s="6">
        <v>6</v>
      </c>
      <c r="J60" s="6">
        <v>7</v>
      </c>
      <c r="K60" s="6">
        <v>8</v>
      </c>
      <c r="L60" s="6">
        <v>9</v>
      </c>
      <c r="M60" s="6">
        <v>10</v>
      </c>
      <c r="N60" s="6">
        <v>11</v>
      </c>
      <c r="O60" s="6">
        <v>12</v>
      </c>
    </row>
    <row r="61" spans="2:16" ht="18" x14ac:dyDescent="0.2">
      <c r="C61" s="6" t="s">
        <v>29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8" t="s">
        <v>47</v>
      </c>
    </row>
    <row r="62" spans="2:16" ht="18" x14ac:dyDescent="0.2">
      <c r="C62" s="6" t="s">
        <v>33</v>
      </c>
      <c r="D62" s="15"/>
      <c r="E62" s="17">
        <v>18966</v>
      </c>
      <c r="F62" s="17">
        <v>19055</v>
      </c>
      <c r="G62" s="17">
        <v>18817</v>
      </c>
      <c r="H62" s="17">
        <v>18848</v>
      </c>
      <c r="I62" s="17">
        <v>18769</v>
      </c>
      <c r="J62" s="17">
        <v>19253</v>
      </c>
      <c r="K62" s="17">
        <v>18612</v>
      </c>
      <c r="L62" s="17">
        <v>18788</v>
      </c>
      <c r="M62" s="17">
        <v>18707</v>
      </c>
      <c r="N62" s="17">
        <v>18860</v>
      </c>
      <c r="O62" s="15"/>
      <c r="P62" s="8" t="s">
        <v>47</v>
      </c>
    </row>
    <row r="63" spans="2:16" ht="18" x14ac:dyDescent="0.2">
      <c r="C63" s="6" t="s">
        <v>36</v>
      </c>
      <c r="D63" s="15"/>
      <c r="E63" s="17">
        <v>18806</v>
      </c>
      <c r="F63" s="17">
        <v>18812</v>
      </c>
      <c r="G63" s="17">
        <v>18829</v>
      </c>
      <c r="H63" s="17">
        <v>18513</v>
      </c>
      <c r="I63" s="17">
        <v>18556</v>
      </c>
      <c r="J63" s="17">
        <v>19238</v>
      </c>
      <c r="K63" s="17">
        <v>18763</v>
      </c>
      <c r="L63" s="17">
        <v>18604</v>
      </c>
      <c r="M63" s="17">
        <v>18656</v>
      </c>
      <c r="N63" s="17">
        <v>18606</v>
      </c>
      <c r="O63" s="15"/>
      <c r="P63" s="8" t="s">
        <v>47</v>
      </c>
    </row>
    <row r="64" spans="2:16" ht="18" x14ac:dyDescent="0.2">
      <c r="C64" s="6" t="s">
        <v>39</v>
      </c>
      <c r="D64" s="15"/>
      <c r="E64" s="17">
        <v>18689</v>
      </c>
      <c r="F64" s="17">
        <v>18611</v>
      </c>
      <c r="G64" s="17">
        <v>18730</v>
      </c>
      <c r="H64" s="17">
        <v>18486</v>
      </c>
      <c r="I64" s="17">
        <v>18416</v>
      </c>
      <c r="J64" s="17">
        <v>19119</v>
      </c>
      <c r="K64" s="17">
        <v>18849</v>
      </c>
      <c r="L64" s="17">
        <v>18786</v>
      </c>
      <c r="M64" s="12">
        <v>20815</v>
      </c>
      <c r="N64" s="17">
        <v>18621</v>
      </c>
      <c r="O64" s="15"/>
      <c r="P64" s="8" t="s">
        <v>47</v>
      </c>
    </row>
    <row r="65" spans="2:16" ht="18" x14ac:dyDescent="0.2">
      <c r="C65" s="6" t="s">
        <v>42</v>
      </c>
      <c r="D65" s="15"/>
      <c r="E65" s="17">
        <v>19030</v>
      </c>
      <c r="F65" s="17">
        <v>18942</v>
      </c>
      <c r="G65" s="17">
        <v>18827</v>
      </c>
      <c r="H65" s="17">
        <v>18370</v>
      </c>
      <c r="I65" s="17">
        <v>18516</v>
      </c>
      <c r="J65" s="17">
        <v>18892</v>
      </c>
      <c r="K65" s="17">
        <v>18870</v>
      </c>
      <c r="L65" s="17">
        <v>18620</v>
      </c>
      <c r="M65" s="17">
        <v>18505</v>
      </c>
      <c r="N65" s="17">
        <v>18553</v>
      </c>
      <c r="O65" s="15"/>
      <c r="P65" s="8" t="s">
        <v>47</v>
      </c>
    </row>
    <row r="66" spans="2:16" ht="18" x14ac:dyDescent="0.2">
      <c r="C66" s="6" t="s">
        <v>43</v>
      </c>
      <c r="D66" s="15"/>
      <c r="E66" s="17">
        <v>18738</v>
      </c>
      <c r="F66" s="17">
        <v>18556</v>
      </c>
      <c r="G66" s="17">
        <v>18793</v>
      </c>
      <c r="H66" s="17">
        <v>18637</v>
      </c>
      <c r="I66" s="17">
        <v>18569</v>
      </c>
      <c r="J66" s="17">
        <v>19124</v>
      </c>
      <c r="K66" s="17">
        <v>18587</v>
      </c>
      <c r="L66" s="17">
        <v>18412</v>
      </c>
      <c r="M66" s="17">
        <v>18494</v>
      </c>
      <c r="N66" s="17">
        <v>18549</v>
      </c>
      <c r="O66" s="15"/>
      <c r="P66" s="8" t="s">
        <v>47</v>
      </c>
    </row>
    <row r="67" spans="2:16" ht="18" x14ac:dyDescent="0.2">
      <c r="C67" s="6" t="s">
        <v>44</v>
      </c>
      <c r="D67" s="15"/>
      <c r="E67" s="17">
        <v>18695</v>
      </c>
      <c r="F67" s="17">
        <v>19095</v>
      </c>
      <c r="G67" s="17">
        <v>18653</v>
      </c>
      <c r="H67" s="17">
        <v>18664</v>
      </c>
      <c r="I67" s="17">
        <v>18737</v>
      </c>
      <c r="J67" s="17">
        <v>19116</v>
      </c>
      <c r="K67" s="17">
        <v>18608</v>
      </c>
      <c r="L67" s="17">
        <v>18577</v>
      </c>
      <c r="M67" s="17">
        <v>18550</v>
      </c>
      <c r="N67" s="17">
        <v>18612</v>
      </c>
      <c r="O67" s="15"/>
      <c r="P67" s="8" t="s">
        <v>47</v>
      </c>
    </row>
    <row r="68" spans="2:16" ht="18" x14ac:dyDescent="0.2">
      <c r="C68" s="6" t="s">
        <v>45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8" t="s">
        <v>47</v>
      </c>
    </row>
    <row r="70" spans="2:16" ht="38.25" x14ac:dyDescent="0.2">
      <c r="B70" s="3" t="s">
        <v>49</v>
      </c>
      <c r="C70" s="4"/>
    </row>
    <row r="72" spans="2:16" x14ac:dyDescent="0.2">
      <c r="C72" s="5"/>
      <c r="D72" s="6">
        <v>1</v>
      </c>
      <c r="E72" s="6">
        <v>2</v>
      </c>
      <c r="F72" s="6">
        <v>3</v>
      </c>
      <c r="G72" s="6">
        <v>4</v>
      </c>
      <c r="H72" s="6">
        <v>5</v>
      </c>
      <c r="I72" s="6">
        <v>6</v>
      </c>
      <c r="J72" s="6">
        <v>7</v>
      </c>
      <c r="K72" s="6">
        <v>8</v>
      </c>
      <c r="L72" s="6">
        <v>9</v>
      </c>
      <c r="M72" s="6">
        <v>10</v>
      </c>
      <c r="N72" s="6">
        <v>11</v>
      </c>
      <c r="O72" s="6">
        <v>12</v>
      </c>
    </row>
    <row r="73" spans="2:16" ht="27" x14ac:dyDescent="0.2">
      <c r="C73" s="6" t="s">
        <v>29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8" t="s">
        <v>49</v>
      </c>
    </row>
    <row r="74" spans="2:16" ht="27" x14ac:dyDescent="0.2">
      <c r="C74" s="6" t="s">
        <v>33</v>
      </c>
      <c r="D74" s="15"/>
      <c r="E74" s="17">
        <v>145</v>
      </c>
      <c r="F74" s="17">
        <v>234</v>
      </c>
      <c r="G74" s="17">
        <v>-4</v>
      </c>
      <c r="H74" s="17">
        <v>27</v>
      </c>
      <c r="I74" s="17">
        <v>-52</v>
      </c>
      <c r="J74" s="17">
        <v>432</v>
      </c>
      <c r="K74" s="17">
        <v>-209</v>
      </c>
      <c r="L74" s="17">
        <v>-33</v>
      </c>
      <c r="M74" s="17">
        <v>-114</v>
      </c>
      <c r="N74" s="17">
        <v>39</v>
      </c>
      <c r="O74" s="15"/>
      <c r="P74" s="8" t="s">
        <v>49</v>
      </c>
    </row>
    <row r="75" spans="2:16" ht="27" x14ac:dyDescent="0.2">
      <c r="C75" s="6" t="s">
        <v>36</v>
      </c>
      <c r="D75" s="15"/>
      <c r="E75" s="17">
        <v>-15</v>
      </c>
      <c r="F75" s="17">
        <v>-9</v>
      </c>
      <c r="G75" s="17">
        <v>8</v>
      </c>
      <c r="H75" s="17">
        <v>-308</v>
      </c>
      <c r="I75" s="17">
        <v>-265</v>
      </c>
      <c r="J75" s="17">
        <v>417</v>
      </c>
      <c r="K75" s="17">
        <v>-58</v>
      </c>
      <c r="L75" s="17">
        <v>-217</v>
      </c>
      <c r="M75" s="17">
        <v>-165</v>
      </c>
      <c r="N75" s="17">
        <v>-215</v>
      </c>
      <c r="O75" s="15"/>
      <c r="P75" s="8" t="s">
        <v>49</v>
      </c>
    </row>
    <row r="76" spans="2:16" ht="27" x14ac:dyDescent="0.2">
      <c r="C76" s="6" t="s">
        <v>39</v>
      </c>
      <c r="D76" s="15"/>
      <c r="E76" s="17">
        <v>-132</v>
      </c>
      <c r="F76" s="17">
        <v>-210</v>
      </c>
      <c r="G76" s="17">
        <v>-91</v>
      </c>
      <c r="H76" s="17">
        <v>-335</v>
      </c>
      <c r="I76" s="17">
        <v>-405</v>
      </c>
      <c r="J76" s="17">
        <v>298</v>
      </c>
      <c r="K76" s="17">
        <v>28</v>
      </c>
      <c r="L76" s="17">
        <v>-35</v>
      </c>
      <c r="M76" s="12">
        <v>1994</v>
      </c>
      <c r="N76" s="17">
        <v>-200</v>
      </c>
      <c r="O76" s="15"/>
      <c r="P76" s="8" t="s">
        <v>49</v>
      </c>
    </row>
    <row r="77" spans="2:16" ht="27" x14ac:dyDescent="0.2">
      <c r="C77" s="6" t="s">
        <v>42</v>
      </c>
      <c r="D77" s="15"/>
      <c r="E77" s="17">
        <v>209</v>
      </c>
      <c r="F77" s="17">
        <v>121</v>
      </c>
      <c r="G77" s="17">
        <v>6</v>
      </c>
      <c r="H77" s="17">
        <v>-451</v>
      </c>
      <c r="I77" s="17">
        <v>-305</v>
      </c>
      <c r="J77" s="17">
        <v>71</v>
      </c>
      <c r="K77" s="17">
        <v>49</v>
      </c>
      <c r="L77" s="17">
        <v>-201</v>
      </c>
      <c r="M77" s="17">
        <v>-316</v>
      </c>
      <c r="N77" s="17">
        <v>-268</v>
      </c>
      <c r="O77" s="15"/>
      <c r="P77" s="8" t="s">
        <v>49</v>
      </c>
    </row>
    <row r="78" spans="2:16" ht="27" x14ac:dyDescent="0.2">
      <c r="C78" s="6" t="s">
        <v>43</v>
      </c>
      <c r="D78" s="15"/>
      <c r="E78" s="17">
        <v>-83</v>
      </c>
      <c r="F78" s="17">
        <v>-265</v>
      </c>
      <c r="G78" s="17">
        <v>-28</v>
      </c>
      <c r="H78" s="17">
        <v>-184</v>
      </c>
      <c r="I78" s="17">
        <v>-252</v>
      </c>
      <c r="J78" s="17">
        <v>303</v>
      </c>
      <c r="K78" s="17">
        <v>-234</v>
      </c>
      <c r="L78" s="17">
        <v>-409</v>
      </c>
      <c r="M78" s="17">
        <v>-327</v>
      </c>
      <c r="N78" s="17">
        <v>-272</v>
      </c>
      <c r="O78" s="15"/>
      <c r="P78" s="8" t="s">
        <v>49</v>
      </c>
    </row>
    <row r="79" spans="2:16" ht="27" x14ac:dyDescent="0.2">
      <c r="C79" s="6" t="s">
        <v>44</v>
      </c>
      <c r="D79" s="15"/>
      <c r="E79" s="17">
        <v>-126</v>
      </c>
      <c r="F79" s="17">
        <v>274</v>
      </c>
      <c r="G79" s="17">
        <v>-168</v>
      </c>
      <c r="H79" s="17">
        <v>-157</v>
      </c>
      <c r="I79" s="17">
        <v>-84</v>
      </c>
      <c r="J79" s="17">
        <v>295</v>
      </c>
      <c r="K79" s="17">
        <v>-213</v>
      </c>
      <c r="L79" s="17">
        <v>-244</v>
      </c>
      <c r="M79" s="17">
        <v>-271</v>
      </c>
      <c r="N79" s="17">
        <v>-209</v>
      </c>
      <c r="O79" s="15"/>
      <c r="P79" s="8" t="s">
        <v>49</v>
      </c>
    </row>
    <row r="80" spans="2:16" ht="27" x14ac:dyDescent="0.2">
      <c r="C80" s="6" t="s">
        <v>45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8" t="s">
        <v>49</v>
      </c>
    </row>
    <row r="83" spans="3:10" x14ac:dyDescent="0.2">
      <c r="C83" s="18" t="s">
        <v>93</v>
      </c>
      <c r="H83" t="s">
        <v>94</v>
      </c>
    </row>
    <row r="84" spans="3:10" x14ac:dyDescent="0.2">
      <c r="C84">
        <v>0</v>
      </c>
      <c r="D84">
        <f>ROUND(AVERAGE(E74:E79),0)</f>
        <v>0</v>
      </c>
      <c r="E84">
        <f>ROUND(_xlfn.STDEV.P(E74:E79),0)</f>
        <v>132</v>
      </c>
      <c r="H84">
        <v>0</v>
      </c>
      <c r="I84">
        <f>ROUND(AVERAGE(E74:E79),0)</f>
        <v>0</v>
      </c>
      <c r="J84">
        <f>ROUND(_xlfn.STDEV.P(E74:E79),0)</f>
        <v>132</v>
      </c>
    </row>
    <row r="85" spans="3:10" x14ac:dyDescent="0.2">
      <c r="C85">
        <v>8</v>
      </c>
      <c r="D85">
        <f>ROUND(AVERAGE(I74:I79),0)</f>
        <v>-227</v>
      </c>
      <c r="E85">
        <f>ROUND(_xlfn.STDEV.P(I74:I79),0)</f>
        <v>123</v>
      </c>
      <c r="H85">
        <v>8.0000000000000002E-3</v>
      </c>
      <c r="I85">
        <f>ROUND(AVERAGE(N74:N79),0)</f>
        <v>-188</v>
      </c>
      <c r="J85">
        <f>ROUND(_xlfn.STDEV.P(N74:N79),0)</f>
        <v>105</v>
      </c>
    </row>
    <row r="86" spans="3:10" x14ac:dyDescent="0.2">
      <c r="C86">
        <v>16</v>
      </c>
      <c r="D86">
        <f>ROUND(AVERAGE(H74:H79),0)</f>
        <v>-235</v>
      </c>
      <c r="E86">
        <f>ROUND(_xlfn.STDEV.P(H74:H79),0)</f>
        <v>152</v>
      </c>
      <c r="H86">
        <v>0.04</v>
      </c>
      <c r="I86">
        <f>ROUND(AVERAGE(M77:M79,M74:M75),0)</f>
        <v>-239</v>
      </c>
      <c r="J86">
        <f>ROUND(_xlfn.STDEV.P(M77:M79,M74:M75),0)</f>
        <v>85</v>
      </c>
    </row>
    <row r="87" spans="3:10" x14ac:dyDescent="0.2">
      <c r="C87">
        <v>32</v>
      </c>
      <c r="D87">
        <f>ROUND(AVERAGE(G74:G79),0)</f>
        <v>-46</v>
      </c>
      <c r="E87">
        <f>ROUND(_xlfn.STDEV.P(G74:G79),0)</f>
        <v>64</v>
      </c>
      <c r="H87">
        <v>0.2</v>
      </c>
      <c r="I87">
        <f>ROUND(AVERAGE(L74:L79),0)</f>
        <v>-190</v>
      </c>
      <c r="J87">
        <f>ROUND(_xlfn.STDEV.P(L74:L79),0)</f>
        <v>129</v>
      </c>
    </row>
    <row r="88" spans="3:10" x14ac:dyDescent="0.2">
      <c r="C88">
        <v>64</v>
      </c>
      <c r="D88">
        <f>ROUND(AVERAGE(F74:F79),0)</f>
        <v>24</v>
      </c>
      <c r="E88">
        <f>ROUND(_xlfn.STDEV.P(F74:F79),0)</f>
        <v>206</v>
      </c>
      <c r="H88">
        <v>1</v>
      </c>
      <c r="I88">
        <f>ROUND(AVERAGE(K74:K79),0)</f>
        <v>-106</v>
      </c>
      <c r="J88">
        <f>ROUND(_xlfn.STDEV.P(K74:K79),0)</f>
        <v>117</v>
      </c>
    </row>
    <row r="89" spans="3:10" x14ac:dyDescent="0.2">
      <c r="H89">
        <v>5</v>
      </c>
      <c r="I89">
        <f>ROUND(AVERAGE(J74:J79),0)</f>
        <v>303</v>
      </c>
      <c r="J89">
        <f>ROUND(_xlfn.STDEV.P(J74:J79),0)</f>
        <v>118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BDD50-9F02-4875-9FE8-1F8AC6745F1D}">
  <dimension ref="A2:DY308"/>
  <sheetViews>
    <sheetView tabSelected="1" topLeftCell="A263" zoomScale="85" zoomScaleNormal="85" workbookViewId="0">
      <selection activeCell="D294" sqref="D294"/>
    </sheetView>
  </sheetViews>
  <sheetFormatPr baseColWidth="10" defaultRowHeight="12.75" x14ac:dyDescent="0.2"/>
  <cols>
    <col min="5" max="5" width="20.85546875" bestFit="1" customWidth="1"/>
    <col min="6" max="6" width="13.7109375" bestFit="1" customWidth="1"/>
  </cols>
  <sheetData>
    <row r="2" spans="2:129" x14ac:dyDescent="0.2">
      <c r="B2" t="s">
        <v>74</v>
      </c>
    </row>
    <row r="4" spans="2:129" x14ac:dyDescent="0.2">
      <c r="B4" t="s">
        <v>75</v>
      </c>
    </row>
    <row r="5" spans="2:129" x14ac:dyDescent="0.2">
      <c r="C5" t="s">
        <v>52</v>
      </c>
    </row>
    <row r="6" spans="2:129" x14ac:dyDescent="0.2">
      <c r="C6" t="s">
        <v>58</v>
      </c>
    </row>
    <row r="7" spans="2:129" x14ac:dyDescent="0.2">
      <c r="C7" t="s">
        <v>53</v>
      </c>
    </row>
    <row r="8" spans="2:129" x14ac:dyDescent="0.2">
      <c r="B8" t="s">
        <v>59</v>
      </c>
    </row>
    <row r="9" spans="2:129" x14ac:dyDescent="0.2">
      <c r="B9" t="s">
        <v>60</v>
      </c>
    </row>
    <row r="10" spans="2:129" x14ac:dyDescent="0.2">
      <c r="B10" t="s">
        <v>61</v>
      </c>
    </row>
    <row r="11" spans="2:129" x14ac:dyDescent="0.2"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</row>
    <row r="12" spans="2:129" x14ac:dyDescent="0.2">
      <c r="B12" t="s">
        <v>116</v>
      </c>
      <c r="C12" s="5" t="s">
        <v>76</v>
      </c>
      <c r="D12" s="6">
        <v>1</v>
      </c>
      <c r="E12" s="6">
        <v>2</v>
      </c>
      <c r="F12" s="6">
        <v>3</v>
      </c>
      <c r="G12" s="6">
        <v>4</v>
      </c>
      <c r="H12" s="6">
        <v>5</v>
      </c>
      <c r="I12" s="6">
        <v>6</v>
      </c>
      <c r="J12" s="6">
        <v>7</v>
      </c>
      <c r="K12" s="6">
        <v>8</v>
      </c>
      <c r="L12" s="6">
        <v>9</v>
      </c>
      <c r="M12" s="6">
        <v>10</v>
      </c>
      <c r="N12" s="6">
        <v>11</v>
      </c>
      <c r="O12" s="6">
        <v>12</v>
      </c>
      <c r="R12" s="5" t="s">
        <v>76</v>
      </c>
      <c r="S12" s="6">
        <v>1</v>
      </c>
      <c r="T12" s="6">
        <v>2</v>
      </c>
      <c r="U12" s="6">
        <v>3</v>
      </c>
      <c r="V12" s="6">
        <v>4</v>
      </c>
      <c r="W12" s="6">
        <v>5</v>
      </c>
      <c r="X12" s="6">
        <v>6</v>
      </c>
      <c r="Y12" s="6">
        <v>7</v>
      </c>
      <c r="Z12" s="6">
        <v>8</v>
      </c>
      <c r="AA12" s="6">
        <v>9</v>
      </c>
      <c r="AB12" s="6">
        <v>10</v>
      </c>
      <c r="AC12" s="6">
        <v>11</v>
      </c>
      <c r="AD12" s="6">
        <v>12</v>
      </c>
      <c r="AH12" t="s">
        <v>117</v>
      </c>
      <c r="AI12" s="5" t="s">
        <v>76</v>
      </c>
      <c r="AJ12" s="6">
        <v>1</v>
      </c>
      <c r="AK12" s="6">
        <v>2</v>
      </c>
      <c r="AL12" s="6">
        <v>3</v>
      </c>
      <c r="AM12" s="6">
        <v>4</v>
      </c>
      <c r="AN12" s="6">
        <v>5</v>
      </c>
      <c r="AO12" s="6">
        <v>6</v>
      </c>
      <c r="AP12" s="6">
        <v>7</v>
      </c>
      <c r="AQ12" s="6">
        <v>8</v>
      </c>
      <c r="AR12" s="6">
        <v>9</v>
      </c>
      <c r="AS12" s="6">
        <v>10</v>
      </c>
      <c r="AT12" s="6">
        <v>11</v>
      </c>
      <c r="AU12" s="6">
        <v>12</v>
      </c>
      <c r="AX12" s="5" t="s">
        <v>76</v>
      </c>
      <c r="AY12" s="6">
        <v>1</v>
      </c>
      <c r="AZ12" s="6">
        <v>2</v>
      </c>
      <c r="BA12" s="6">
        <v>3</v>
      </c>
      <c r="BB12" s="6">
        <v>4</v>
      </c>
      <c r="BC12" s="6">
        <v>5</v>
      </c>
      <c r="BD12" s="6">
        <v>6</v>
      </c>
      <c r="BE12" s="6">
        <v>7</v>
      </c>
      <c r="BF12" s="6">
        <v>8</v>
      </c>
      <c r="BG12" s="6">
        <v>9</v>
      </c>
      <c r="BH12" s="6">
        <v>10</v>
      </c>
      <c r="BI12" s="6">
        <v>11</v>
      </c>
      <c r="BJ12" s="6">
        <v>12</v>
      </c>
      <c r="BN12" s="84" t="s">
        <v>119</v>
      </c>
      <c r="BO12" s="70" t="s">
        <v>120</v>
      </c>
      <c r="BP12" s="71">
        <v>1</v>
      </c>
      <c r="BQ12" s="71">
        <v>2</v>
      </c>
      <c r="BR12" s="71">
        <v>3</v>
      </c>
      <c r="BS12" s="71">
        <v>4</v>
      </c>
      <c r="BT12" s="71">
        <v>5</v>
      </c>
      <c r="BU12" s="71">
        <v>6</v>
      </c>
      <c r="BV12" s="71">
        <v>7</v>
      </c>
      <c r="BW12" s="71">
        <v>8</v>
      </c>
      <c r="BX12" s="71">
        <v>9</v>
      </c>
      <c r="BY12" s="71">
        <v>10</v>
      </c>
      <c r="BZ12" s="71">
        <v>11</v>
      </c>
      <c r="CA12" s="71">
        <v>12</v>
      </c>
      <c r="CB12" s="84"/>
      <c r="CC12" s="84"/>
      <c r="CD12" s="70" t="s">
        <v>120</v>
      </c>
      <c r="CE12" s="71">
        <v>1</v>
      </c>
      <c r="CF12" s="71">
        <v>2</v>
      </c>
      <c r="CG12" s="71">
        <v>3</v>
      </c>
      <c r="CH12" s="71">
        <v>4</v>
      </c>
      <c r="CI12" s="71">
        <v>5</v>
      </c>
      <c r="CJ12" s="71">
        <v>6</v>
      </c>
      <c r="CK12" s="71">
        <v>7</v>
      </c>
      <c r="CL12" s="71">
        <v>8</v>
      </c>
      <c r="CM12" s="71">
        <v>9</v>
      </c>
      <c r="CN12" s="71">
        <v>10</v>
      </c>
      <c r="CO12" s="71">
        <v>11</v>
      </c>
      <c r="CP12" s="71">
        <v>12</v>
      </c>
      <c r="CQ12" s="84"/>
      <c r="CR12" s="84"/>
      <c r="CT12" s="84" t="s">
        <v>196</v>
      </c>
      <c r="CU12" s="70" t="s">
        <v>197</v>
      </c>
      <c r="CV12" s="71">
        <v>1</v>
      </c>
      <c r="CW12" s="71">
        <v>2</v>
      </c>
      <c r="CX12" s="71">
        <v>3</v>
      </c>
      <c r="CY12" s="71">
        <v>4</v>
      </c>
      <c r="CZ12" s="71">
        <v>5</v>
      </c>
      <c r="DA12" s="71">
        <v>6</v>
      </c>
      <c r="DB12" s="71">
        <v>7</v>
      </c>
      <c r="DC12" s="71">
        <v>8</v>
      </c>
      <c r="DD12" s="71">
        <v>9</v>
      </c>
      <c r="DE12" s="71">
        <v>10</v>
      </c>
      <c r="DF12" s="71">
        <v>11</v>
      </c>
      <c r="DG12" s="71">
        <v>12</v>
      </c>
      <c r="DH12" s="84"/>
      <c r="DI12" s="84"/>
      <c r="DJ12" s="70" t="s">
        <v>197</v>
      </c>
      <c r="DK12" s="71">
        <v>1</v>
      </c>
      <c r="DL12" s="71">
        <v>2</v>
      </c>
      <c r="DM12" s="71">
        <v>3</v>
      </c>
      <c r="DN12" s="71">
        <v>4</v>
      </c>
      <c r="DO12" s="71">
        <v>5</v>
      </c>
      <c r="DP12" s="71">
        <v>6</v>
      </c>
      <c r="DQ12" s="71">
        <v>7</v>
      </c>
      <c r="DR12" s="71">
        <v>8</v>
      </c>
      <c r="DS12" s="71">
        <v>9</v>
      </c>
      <c r="DT12" s="71">
        <v>10</v>
      </c>
      <c r="DU12" s="71">
        <v>11</v>
      </c>
      <c r="DV12" s="71">
        <v>12</v>
      </c>
      <c r="DW12" s="84"/>
      <c r="DX12" s="84"/>
      <c r="DY12" s="84"/>
    </row>
    <row r="13" spans="2:129" x14ac:dyDescent="0.2">
      <c r="C13" s="6" t="s">
        <v>29</v>
      </c>
      <c r="D13" s="7"/>
      <c r="E13" s="7"/>
      <c r="F13" s="7"/>
      <c r="G13" s="7"/>
      <c r="H13" s="14"/>
      <c r="I13" s="14"/>
      <c r="J13" s="14"/>
      <c r="K13" s="7"/>
      <c r="L13" s="7"/>
      <c r="M13" s="7"/>
      <c r="N13" s="7"/>
      <c r="O13" s="7"/>
      <c r="R13" s="6" t="s">
        <v>29</v>
      </c>
      <c r="S13" s="7"/>
      <c r="T13" s="7"/>
      <c r="U13" s="7"/>
      <c r="V13" s="7"/>
      <c r="W13" s="14"/>
      <c r="X13" s="14"/>
      <c r="Y13" s="14"/>
      <c r="Z13" s="7"/>
      <c r="AA13" s="7"/>
      <c r="AB13" s="7"/>
      <c r="AC13" s="7"/>
      <c r="AD13" s="7"/>
      <c r="AI13" s="6" t="s">
        <v>29</v>
      </c>
      <c r="AJ13" s="7"/>
      <c r="AK13" s="7"/>
      <c r="AL13" s="7"/>
      <c r="AM13" s="7"/>
      <c r="AN13" s="14"/>
      <c r="AO13" s="14"/>
      <c r="AP13" s="14"/>
      <c r="AQ13" s="7"/>
      <c r="AR13" s="7"/>
      <c r="AS13" s="7"/>
      <c r="AT13" s="7"/>
      <c r="AU13" s="7"/>
      <c r="AX13" s="6" t="s">
        <v>29</v>
      </c>
      <c r="AY13" s="7"/>
      <c r="AZ13" s="7"/>
      <c r="BA13" s="7"/>
      <c r="BB13" s="7"/>
      <c r="BC13" s="14"/>
      <c r="BD13" s="14"/>
      <c r="BE13" s="14"/>
      <c r="BF13" s="7"/>
      <c r="BG13" s="7"/>
      <c r="BH13" s="7"/>
      <c r="BI13" s="7"/>
      <c r="BJ13" s="7"/>
      <c r="BN13" s="84"/>
      <c r="BO13" s="71" t="s">
        <v>29</v>
      </c>
      <c r="BP13" s="74"/>
      <c r="BQ13" s="74"/>
      <c r="BR13" s="74"/>
      <c r="BS13" s="74"/>
      <c r="BT13" s="14"/>
      <c r="BU13" s="14"/>
      <c r="BV13" s="14"/>
      <c r="BW13" s="74"/>
      <c r="BX13" s="74"/>
      <c r="BY13" s="74"/>
      <c r="BZ13" s="74"/>
      <c r="CA13" s="74"/>
      <c r="CB13" s="84"/>
      <c r="CC13" s="84"/>
      <c r="CD13" s="71" t="s">
        <v>29</v>
      </c>
      <c r="CE13" s="74"/>
      <c r="CF13" s="74"/>
      <c r="CG13" s="74"/>
      <c r="CH13" s="74"/>
      <c r="CI13" s="14"/>
      <c r="CJ13" s="14"/>
      <c r="CK13" s="14"/>
      <c r="CL13" s="74"/>
      <c r="CM13" s="74"/>
      <c r="CN13" s="74"/>
      <c r="CO13" s="74"/>
      <c r="CP13" s="74"/>
      <c r="CQ13" s="84"/>
      <c r="CR13" s="84"/>
      <c r="CT13" s="84"/>
      <c r="CU13" s="71" t="s">
        <v>29</v>
      </c>
      <c r="CV13" s="74"/>
      <c r="CW13" s="74"/>
      <c r="CX13" s="74"/>
      <c r="CY13" s="74"/>
      <c r="CZ13" s="14"/>
      <c r="DA13" s="14"/>
      <c r="DB13" s="14"/>
      <c r="DC13" s="74"/>
      <c r="DD13" s="74"/>
      <c r="DE13" s="74"/>
      <c r="DF13" s="74"/>
      <c r="DG13" s="74"/>
      <c r="DH13" s="84"/>
      <c r="DI13" s="84"/>
      <c r="DJ13" s="71" t="s">
        <v>29</v>
      </c>
      <c r="DK13" s="74"/>
      <c r="DL13" s="74"/>
      <c r="DM13" s="74"/>
      <c r="DN13" s="74"/>
      <c r="DO13" s="14"/>
      <c r="DP13" s="14"/>
      <c r="DQ13" s="14"/>
      <c r="DR13" s="74"/>
      <c r="DS13" s="74"/>
      <c r="DT13" s="74"/>
      <c r="DU13" s="74"/>
      <c r="DV13" s="74"/>
      <c r="DW13" s="84"/>
      <c r="DX13" s="84"/>
      <c r="DY13" s="84"/>
    </row>
    <row r="14" spans="2:129" x14ac:dyDescent="0.2">
      <c r="C14" s="6" t="s">
        <v>33</v>
      </c>
      <c r="D14" s="7"/>
      <c r="E14" s="7" t="s">
        <v>77</v>
      </c>
      <c r="F14" s="7" t="s">
        <v>64</v>
      </c>
      <c r="G14" s="7">
        <v>0</v>
      </c>
      <c r="H14" s="7">
        <v>0</v>
      </c>
      <c r="I14" s="14">
        <v>0</v>
      </c>
      <c r="J14" s="14">
        <v>0</v>
      </c>
      <c r="K14" s="14">
        <v>0</v>
      </c>
      <c r="L14" s="7">
        <v>0</v>
      </c>
      <c r="M14" s="7">
        <v>0</v>
      </c>
      <c r="N14" s="7">
        <v>0</v>
      </c>
      <c r="O14" s="7"/>
      <c r="R14" s="6" t="s">
        <v>33</v>
      </c>
      <c r="S14" s="7"/>
      <c r="T14" s="7" t="s">
        <v>77</v>
      </c>
      <c r="U14" s="7" t="s">
        <v>64</v>
      </c>
      <c r="V14" s="7" t="s">
        <v>83</v>
      </c>
      <c r="W14" s="7" t="s">
        <v>83</v>
      </c>
      <c r="X14" s="7" t="s">
        <v>83</v>
      </c>
      <c r="Y14" s="7" t="s">
        <v>83</v>
      </c>
      <c r="Z14" s="7" t="s">
        <v>83</v>
      </c>
      <c r="AA14" s="7" t="s">
        <v>83</v>
      </c>
      <c r="AB14" s="7" t="s">
        <v>83</v>
      </c>
      <c r="AC14" s="7" t="s">
        <v>83</v>
      </c>
      <c r="AD14" s="7"/>
      <c r="AI14" s="6" t="s">
        <v>33</v>
      </c>
      <c r="AJ14" s="7"/>
      <c r="AK14" s="7" t="s">
        <v>77</v>
      </c>
      <c r="AL14" s="7" t="s">
        <v>64</v>
      </c>
      <c r="AM14" s="7">
        <v>0</v>
      </c>
      <c r="AN14" s="7">
        <v>0</v>
      </c>
      <c r="AO14" s="14">
        <v>0</v>
      </c>
      <c r="AP14" s="14">
        <v>0</v>
      </c>
      <c r="AQ14" s="14">
        <v>0</v>
      </c>
      <c r="AR14" s="7">
        <v>0</v>
      </c>
      <c r="AS14" s="7">
        <v>0</v>
      </c>
      <c r="AT14" s="7">
        <v>0</v>
      </c>
      <c r="AU14" s="7"/>
      <c r="AX14" s="6" t="s">
        <v>33</v>
      </c>
      <c r="AY14" s="7"/>
      <c r="AZ14" s="7" t="s">
        <v>77</v>
      </c>
      <c r="BA14" s="7" t="s">
        <v>64</v>
      </c>
      <c r="BB14" s="7" t="s">
        <v>83</v>
      </c>
      <c r="BC14" s="7" t="s">
        <v>83</v>
      </c>
      <c r="BD14" s="7" t="s">
        <v>83</v>
      </c>
      <c r="BE14" s="7" t="s">
        <v>83</v>
      </c>
      <c r="BF14" s="7" t="s">
        <v>83</v>
      </c>
      <c r="BG14" s="7" t="s">
        <v>83</v>
      </c>
      <c r="BH14" s="7" t="s">
        <v>83</v>
      </c>
      <c r="BI14" s="7" t="s">
        <v>83</v>
      </c>
      <c r="BJ14" s="7"/>
      <c r="BN14" s="84"/>
      <c r="BO14" s="71" t="s">
        <v>33</v>
      </c>
      <c r="BP14" s="74"/>
      <c r="BQ14" s="74" t="s">
        <v>77</v>
      </c>
      <c r="BR14" s="74" t="s">
        <v>64</v>
      </c>
      <c r="BS14" s="74">
        <v>0</v>
      </c>
      <c r="BT14" s="74">
        <v>0</v>
      </c>
      <c r="BU14" s="14">
        <v>0</v>
      </c>
      <c r="BV14" s="14">
        <v>0</v>
      </c>
      <c r="BW14" s="14">
        <v>0</v>
      </c>
      <c r="BX14" s="74">
        <v>0</v>
      </c>
      <c r="BY14" s="74">
        <v>0</v>
      </c>
      <c r="BZ14" s="74">
        <v>0</v>
      </c>
      <c r="CA14" s="74"/>
      <c r="CB14" s="84"/>
      <c r="CC14" s="84"/>
      <c r="CD14" s="71" t="s">
        <v>33</v>
      </c>
      <c r="CE14" s="74"/>
      <c r="CF14" s="74" t="s">
        <v>77</v>
      </c>
      <c r="CG14" s="74" t="s">
        <v>64</v>
      </c>
      <c r="CH14" s="74" t="s">
        <v>83</v>
      </c>
      <c r="CI14" s="74" t="s">
        <v>83</v>
      </c>
      <c r="CJ14" s="74" t="s">
        <v>83</v>
      </c>
      <c r="CK14" s="74" t="s">
        <v>83</v>
      </c>
      <c r="CL14" s="74" t="s">
        <v>83</v>
      </c>
      <c r="CM14" s="74" t="s">
        <v>83</v>
      </c>
      <c r="CN14" s="74" t="s">
        <v>83</v>
      </c>
      <c r="CO14" s="74" t="s">
        <v>83</v>
      </c>
      <c r="CP14" s="74"/>
      <c r="CQ14" s="84"/>
      <c r="CR14" s="84"/>
      <c r="CT14" s="84"/>
      <c r="CU14" s="71" t="s">
        <v>33</v>
      </c>
      <c r="CV14" s="74"/>
      <c r="CW14" s="74" t="s">
        <v>77</v>
      </c>
      <c r="CX14" s="74" t="s">
        <v>64</v>
      </c>
      <c r="CY14" s="74">
        <v>0</v>
      </c>
      <c r="CZ14" s="74">
        <v>0</v>
      </c>
      <c r="DA14" s="14">
        <v>0</v>
      </c>
      <c r="DB14" s="14">
        <v>0</v>
      </c>
      <c r="DC14" s="14">
        <v>0</v>
      </c>
      <c r="DD14" s="74">
        <v>0</v>
      </c>
      <c r="DE14" s="74">
        <v>0</v>
      </c>
      <c r="DF14" s="74">
        <v>0</v>
      </c>
      <c r="DG14" s="74"/>
      <c r="DH14" s="84"/>
      <c r="DI14" s="84"/>
      <c r="DJ14" s="71" t="s">
        <v>33</v>
      </c>
      <c r="DK14" s="74"/>
      <c r="DL14" s="74" t="s">
        <v>77</v>
      </c>
      <c r="DM14" s="74" t="s">
        <v>64</v>
      </c>
      <c r="DN14" s="74" t="s">
        <v>83</v>
      </c>
      <c r="DO14" s="74" t="s">
        <v>83</v>
      </c>
      <c r="DP14" s="74" t="s">
        <v>83</v>
      </c>
      <c r="DQ14" s="74" t="s">
        <v>83</v>
      </c>
      <c r="DR14" s="74" t="s">
        <v>83</v>
      </c>
      <c r="DS14" s="74" t="s">
        <v>83</v>
      </c>
      <c r="DT14" s="74" t="s">
        <v>83</v>
      </c>
      <c r="DU14" s="74" t="s">
        <v>83</v>
      </c>
      <c r="DV14" s="74"/>
      <c r="DW14" s="84"/>
      <c r="DX14" s="84"/>
      <c r="DY14" s="84"/>
    </row>
    <row r="15" spans="2:129" x14ac:dyDescent="0.2">
      <c r="C15" s="6" t="s">
        <v>36</v>
      </c>
      <c r="D15" s="7"/>
      <c r="E15" s="7" t="s">
        <v>77</v>
      </c>
      <c r="F15" s="7" t="s">
        <v>64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/>
      <c r="R15" s="6" t="s">
        <v>36</v>
      </c>
      <c r="S15" s="7"/>
      <c r="T15" s="7" t="s">
        <v>77</v>
      </c>
      <c r="U15" s="7" t="s">
        <v>64</v>
      </c>
      <c r="V15" s="7" t="s">
        <v>84</v>
      </c>
      <c r="W15" s="7" t="s">
        <v>84</v>
      </c>
      <c r="X15" s="7" t="s">
        <v>84</v>
      </c>
      <c r="Y15" s="7" t="s">
        <v>84</v>
      </c>
      <c r="Z15" s="7" t="s">
        <v>84</v>
      </c>
      <c r="AA15" s="7" t="s">
        <v>84</v>
      </c>
      <c r="AB15" s="7" t="s">
        <v>84</v>
      </c>
      <c r="AC15" s="7" t="s">
        <v>84</v>
      </c>
      <c r="AD15" s="7"/>
      <c r="AI15" s="6" t="s">
        <v>36</v>
      </c>
      <c r="AJ15" s="7"/>
      <c r="AK15" s="7" t="s">
        <v>77</v>
      </c>
      <c r="AL15" s="7" t="s">
        <v>64</v>
      </c>
      <c r="AM15" s="7" t="s">
        <v>78</v>
      </c>
      <c r="AN15" s="7" t="s">
        <v>78</v>
      </c>
      <c r="AO15" s="7" t="s">
        <v>78</v>
      </c>
      <c r="AP15" s="7" t="s">
        <v>78</v>
      </c>
      <c r="AQ15" s="7" t="s">
        <v>78</v>
      </c>
      <c r="AR15" s="7" t="s">
        <v>78</v>
      </c>
      <c r="AS15" s="7" t="s">
        <v>78</v>
      </c>
      <c r="AT15" s="7" t="s">
        <v>78</v>
      </c>
      <c r="AU15" s="7"/>
      <c r="AX15" s="6" t="s">
        <v>36</v>
      </c>
      <c r="AY15" s="7"/>
      <c r="AZ15" s="7" t="s">
        <v>77</v>
      </c>
      <c r="BA15" s="7" t="s">
        <v>64</v>
      </c>
      <c r="BB15" s="7" t="s">
        <v>84</v>
      </c>
      <c r="BC15" s="7" t="s">
        <v>84</v>
      </c>
      <c r="BD15" s="7" t="s">
        <v>84</v>
      </c>
      <c r="BE15" s="7" t="s">
        <v>84</v>
      </c>
      <c r="BF15" s="7" t="s">
        <v>84</v>
      </c>
      <c r="BG15" s="7" t="s">
        <v>84</v>
      </c>
      <c r="BH15" s="7" t="s">
        <v>84</v>
      </c>
      <c r="BI15" s="7" t="s">
        <v>84</v>
      </c>
      <c r="BJ15" s="7"/>
      <c r="BN15" s="84"/>
      <c r="BO15" s="71" t="s">
        <v>36</v>
      </c>
      <c r="BP15" s="74"/>
      <c r="BQ15" s="74" t="s">
        <v>77</v>
      </c>
      <c r="BR15" s="74" t="s">
        <v>64</v>
      </c>
      <c r="BS15" s="74" t="s">
        <v>78</v>
      </c>
      <c r="BT15" s="74" t="s">
        <v>78</v>
      </c>
      <c r="BU15" s="74" t="s">
        <v>78</v>
      </c>
      <c r="BV15" s="74" t="s">
        <v>78</v>
      </c>
      <c r="BW15" s="74" t="s">
        <v>78</v>
      </c>
      <c r="BX15" s="74" t="s">
        <v>78</v>
      </c>
      <c r="BY15" s="74" t="s">
        <v>78</v>
      </c>
      <c r="BZ15" s="74" t="s">
        <v>78</v>
      </c>
      <c r="CA15" s="74"/>
      <c r="CB15" s="84"/>
      <c r="CC15" s="84"/>
      <c r="CD15" s="71" t="s">
        <v>36</v>
      </c>
      <c r="CE15" s="74"/>
      <c r="CF15" s="74" t="s">
        <v>77</v>
      </c>
      <c r="CG15" s="74" t="s">
        <v>64</v>
      </c>
      <c r="CH15" s="74" t="s">
        <v>84</v>
      </c>
      <c r="CI15" s="74" t="s">
        <v>84</v>
      </c>
      <c r="CJ15" s="74" t="s">
        <v>84</v>
      </c>
      <c r="CK15" s="74" t="s">
        <v>84</v>
      </c>
      <c r="CL15" s="74" t="s">
        <v>84</v>
      </c>
      <c r="CM15" s="74" t="s">
        <v>84</v>
      </c>
      <c r="CN15" s="74" t="s">
        <v>84</v>
      </c>
      <c r="CO15" s="74" t="s">
        <v>84</v>
      </c>
      <c r="CP15" s="74"/>
      <c r="CQ15" s="84"/>
      <c r="CR15" s="84"/>
      <c r="CT15" s="84"/>
      <c r="CU15" s="71" t="s">
        <v>36</v>
      </c>
      <c r="CV15" s="74"/>
      <c r="CW15" s="74" t="s">
        <v>77</v>
      </c>
      <c r="CX15" s="74" t="s">
        <v>64</v>
      </c>
      <c r="CY15" s="74" t="s">
        <v>78</v>
      </c>
      <c r="CZ15" s="74" t="s">
        <v>78</v>
      </c>
      <c r="DA15" s="74" t="s">
        <v>78</v>
      </c>
      <c r="DB15" s="74" t="s">
        <v>78</v>
      </c>
      <c r="DC15" s="74" t="s">
        <v>78</v>
      </c>
      <c r="DD15" s="74" t="s">
        <v>78</v>
      </c>
      <c r="DE15" s="74" t="s">
        <v>78</v>
      </c>
      <c r="DF15" s="74" t="s">
        <v>78</v>
      </c>
      <c r="DG15" s="74"/>
      <c r="DH15" s="84"/>
      <c r="DI15" s="84"/>
      <c r="DJ15" s="71" t="s">
        <v>36</v>
      </c>
      <c r="DK15" s="74"/>
      <c r="DL15" s="74" t="s">
        <v>77</v>
      </c>
      <c r="DM15" s="74" t="s">
        <v>64</v>
      </c>
      <c r="DN15" s="74" t="s">
        <v>84</v>
      </c>
      <c r="DO15" s="74" t="s">
        <v>84</v>
      </c>
      <c r="DP15" s="74" t="s">
        <v>84</v>
      </c>
      <c r="DQ15" s="74" t="s">
        <v>84</v>
      </c>
      <c r="DR15" s="74" t="s">
        <v>84</v>
      </c>
      <c r="DS15" s="74" t="s">
        <v>84</v>
      </c>
      <c r="DT15" s="74" t="s">
        <v>84</v>
      </c>
      <c r="DU15" s="74" t="s">
        <v>84</v>
      </c>
      <c r="DV15" s="74"/>
      <c r="DW15" s="84"/>
      <c r="DX15" s="84"/>
      <c r="DY15" s="84"/>
    </row>
    <row r="16" spans="2:129" x14ac:dyDescent="0.2">
      <c r="C16" s="6" t="s">
        <v>39</v>
      </c>
      <c r="D16" s="7"/>
      <c r="E16" s="7" t="s">
        <v>77</v>
      </c>
      <c r="F16" s="7" t="s">
        <v>64</v>
      </c>
      <c r="G16" s="7" t="s">
        <v>79</v>
      </c>
      <c r="H16" s="7" t="s">
        <v>79</v>
      </c>
      <c r="I16" s="7" t="s">
        <v>79</v>
      </c>
      <c r="J16" s="7" t="s">
        <v>79</v>
      </c>
      <c r="K16" s="7" t="s">
        <v>79</v>
      </c>
      <c r="L16" s="7" t="s">
        <v>79</v>
      </c>
      <c r="M16" s="7" t="s">
        <v>79</v>
      </c>
      <c r="N16" s="7" t="s">
        <v>79</v>
      </c>
      <c r="O16" s="7"/>
      <c r="R16" s="6" t="s">
        <v>39</v>
      </c>
      <c r="S16" s="7"/>
      <c r="T16" s="7" t="s">
        <v>77</v>
      </c>
      <c r="U16" s="7" t="s">
        <v>64</v>
      </c>
      <c r="V16" s="7" t="s">
        <v>85</v>
      </c>
      <c r="W16" s="7" t="s">
        <v>85</v>
      </c>
      <c r="X16" s="7" t="s">
        <v>85</v>
      </c>
      <c r="Y16" s="7" t="s">
        <v>85</v>
      </c>
      <c r="Z16" s="7" t="s">
        <v>85</v>
      </c>
      <c r="AA16" s="7" t="s">
        <v>85</v>
      </c>
      <c r="AB16" s="7" t="s">
        <v>85</v>
      </c>
      <c r="AC16" s="7" t="s">
        <v>85</v>
      </c>
      <c r="AD16" s="7"/>
      <c r="AI16" s="6" t="s">
        <v>39</v>
      </c>
      <c r="AJ16" s="7"/>
      <c r="AK16" s="7" t="s">
        <v>77</v>
      </c>
      <c r="AL16" s="7" t="s">
        <v>64</v>
      </c>
      <c r="AM16" s="7" t="s">
        <v>79</v>
      </c>
      <c r="AN16" s="7" t="s">
        <v>79</v>
      </c>
      <c r="AO16" s="7" t="s">
        <v>79</v>
      </c>
      <c r="AP16" s="7" t="s">
        <v>79</v>
      </c>
      <c r="AQ16" s="7" t="s">
        <v>79</v>
      </c>
      <c r="AR16" s="7" t="s">
        <v>79</v>
      </c>
      <c r="AS16" s="7" t="s">
        <v>79</v>
      </c>
      <c r="AT16" s="7" t="s">
        <v>79</v>
      </c>
      <c r="AU16" s="7"/>
      <c r="AX16" s="6" t="s">
        <v>39</v>
      </c>
      <c r="AY16" s="7"/>
      <c r="AZ16" s="7" t="s">
        <v>77</v>
      </c>
      <c r="BA16" s="7" t="s">
        <v>64</v>
      </c>
      <c r="BB16" s="7" t="s">
        <v>85</v>
      </c>
      <c r="BC16" s="7" t="s">
        <v>85</v>
      </c>
      <c r="BD16" s="7" t="s">
        <v>85</v>
      </c>
      <c r="BE16" s="7" t="s">
        <v>85</v>
      </c>
      <c r="BF16" s="7" t="s">
        <v>85</v>
      </c>
      <c r="BG16" s="7" t="s">
        <v>85</v>
      </c>
      <c r="BH16" s="7" t="s">
        <v>85</v>
      </c>
      <c r="BI16" s="7" t="s">
        <v>85</v>
      </c>
      <c r="BJ16" s="7"/>
      <c r="BN16" s="84"/>
      <c r="BO16" s="71" t="s">
        <v>39</v>
      </c>
      <c r="BP16" s="74"/>
      <c r="BQ16" s="74" t="s">
        <v>77</v>
      </c>
      <c r="BR16" s="74" t="s">
        <v>64</v>
      </c>
      <c r="BS16" s="74" t="s">
        <v>79</v>
      </c>
      <c r="BT16" s="74" t="s">
        <v>79</v>
      </c>
      <c r="BU16" s="74" t="s">
        <v>79</v>
      </c>
      <c r="BV16" s="74" t="s">
        <v>79</v>
      </c>
      <c r="BW16" s="74" t="s">
        <v>79</v>
      </c>
      <c r="BX16" s="74" t="s">
        <v>79</v>
      </c>
      <c r="BY16" s="74" t="s">
        <v>79</v>
      </c>
      <c r="BZ16" s="74" t="s">
        <v>79</v>
      </c>
      <c r="CA16" s="74"/>
      <c r="CB16" s="84"/>
      <c r="CC16" s="84"/>
      <c r="CD16" s="71" t="s">
        <v>39</v>
      </c>
      <c r="CE16" s="74"/>
      <c r="CF16" s="74" t="s">
        <v>77</v>
      </c>
      <c r="CG16" s="74" t="s">
        <v>64</v>
      </c>
      <c r="CH16" s="74" t="s">
        <v>85</v>
      </c>
      <c r="CI16" s="74" t="s">
        <v>85</v>
      </c>
      <c r="CJ16" s="74" t="s">
        <v>85</v>
      </c>
      <c r="CK16" s="74" t="s">
        <v>85</v>
      </c>
      <c r="CL16" s="74" t="s">
        <v>85</v>
      </c>
      <c r="CM16" s="74" t="s">
        <v>85</v>
      </c>
      <c r="CN16" s="74" t="s">
        <v>85</v>
      </c>
      <c r="CO16" s="74" t="s">
        <v>85</v>
      </c>
      <c r="CP16" s="74"/>
      <c r="CQ16" s="84"/>
      <c r="CR16" s="84"/>
      <c r="CT16" s="84"/>
      <c r="CU16" s="71" t="s">
        <v>39</v>
      </c>
      <c r="CV16" s="74"/>
      <c r="CW16" s="74" t="s">
        <v>77</v>
      </c>
      <c r="CX16" s="74" t="s">
        <v>64</v>
      </c>
      <c r="CY16" s="74" t="s">
        <v>79</v>
      </c>
      <c r="CZ16" s="74" t="s">
        <v>79</v>
      </c>
      <c r="DA16" s="74" t="s">
        <v>79</v>
      </c>
      <c r="DB16" s="74" t="s">
        <v>79</v>
      </c>
      <c r="DC16" s="74" t="s">
        <v>79</v>
      </c>
      <c r="DD16" s="74" t="s">
        <v>79</v>
      </c>
      <c r="DE16" s="74" t="s">
        <v>79</v>
      </c>
      <c r="DF16" s="74" t="s">
        <v>79</v>
      </c>
      <c r="DG16" s="74"/>
      <c r="DH16" s="84"/>
      <c r="DI16" s="84"/>
      <c r="DJ16" s="71" t="s">
        <v>39</v>
      </c>
      <c r="DK16" s="74"/>
      <c r="DL16" s="74" t="s">
        <v>77</v>
      </c>
      <c r="DM16" s="74" t="s">
        <v>64</v>
      </c>
      <c r="DN16" s="74" t="s">
        <v>85</v>
      </c>
      <c r="DO16" s="74" t="s">
        <v>85</v>
      </c>
      <c r="DP16" s="74" t="s">
        <v>85</v>
      </c>
      <c r="DQ16" s="74" t="s">
        <v>85</v>
      </c>
      <c r="DR16" s="74" t="s">
        <v>85</v>
      </c>
      <c r="DS16" s="74" t="s">
        <v>85</v>
      </c>
      <c r="DT16" s="74" t="s">
        <v>85</v>
      </c>
      <c r="DU16" s="74" t="s">
        <v>85</v>
      </c>
      <c r="DV16" s="74"/>
      <c r="DW16" s="84"/>
      <c r="DX16" s="84"/>
      <c r="DY16" s="84"/>
    </row>
    <row r="17" spans="2:129" x14ac:dyDescent="0.2">
      <c r="C17" s="6" t="s">
        <v>42</v>
      </c>
      <c r="D17" s="7"/>
      <c r="E17" s="7" t="s">
        <v>77</v>
      </c>
      <c r="F17" s="7" t="s">
        <v>64</v>
      </c>
      <c r="G17" s="7" t="s">
        <v>80</v>
      </c>
      <c r="H17" s="7" t="s">
        <v>80</v>
      </c>
      <c r="I17" s="7" t="s">
        <v>80</v>
      </c>
      <c r="J17" s="7" t="s">
        <v>80</v>
      </c>
      <c r="K17" s="7" t="s">
        <v>80</v>
      </c>
      <c r="L17" s="7" t="s">
        <v>80</v>
      </c>
      <c r="M17" s="7" t="s">
        <v>80</v>
      </c>
      <c r="N17" s="7" t="s">
        <v>80</v>
      </c>
      <c r="O17" s="7"/>
      <c r="R17" s="6" t="s">
        <v>42</v>
      </c>
      <c r="S17" s="7"/>
      <c r="T17" s="7" t="s">
        <v>77</v>
      </c>
      <c r="U17" s="7" t="s">
        <v>64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/>
      <c r="AI17" s="6" t="s">
        <v>42</v>
      </c>
      <c r="AJ17" s="7"/>
      <c r="AK17" s="7" t="s">
        <v>77</v>
      </c>
      <c r="AL17" s="7" t="s">
        <v>64</v>
      </c>
      <c r="AM17" s="7" t="s">
        <v>80</v>
      </c>
      <c r="AN17" s="7" t="s">
        <v>80</v>
      </c>
      <c r="AO17" s="7" t="s">
        <v>80</v>
      </c>
      <c r="AP17" s="7" t="s">
        <v>80</v>
      </c>
      <c r="AQ17" s="7" t="s">
        <v>80</v>
      </c>
      <c r="AR17" s="7" t="s">
        <v>80</v>
      </c>
      <c r="AS17" s="7" t="s">
        <v>80</v>
      </c>
      <c r="AT17" s="7" t="s">
        <v>80</v>
      </c>
      <c r="AU17" s="7"/>
      <c r="AX17" s="6" t="s">
        <v>42</v>
      </c>
      <c r="AY17" s="7"/>
      <c r="AZ17" s="7" t="s">
        <v>77</v>
      </c>
      <c r="BA17" s="7" t="s">
        <v>64</v>
      </c>
      <c r="BB17" s="7">
        <v>1</v>
      </c>
      <c r="BC17" s="7">
        <v>1</v>
      </c>
      <c r="BD17" s="7">
        <v>1</v>
      </c>
      <c r="BE17" s="7">
        <v>1</v>
      </c>
      <c r="BF17" s="7">
        <v>1</v>
      </c>
      <c r="BG17" s="7">
        <v>1</v>
      </c>
      <c r="BH17" s="7">
        <v>1</v>
      </c>
      <c r="BI17" s="7">
        <v>1</v>
      </c>
      <c r="BJ17" s="7"/>
      <c r="BN17" s="84"/>
      <c r="BO17" s="71" t="s">
        <v>42</v>
      </c>
      <c r="BP17" s="74"/>
      <c r="BQ17" s="74" t="s">
        <v>77</v>
      </c>
      <c r="BR17" s="74" t="s">
        <v>64</v>
      </c>
      <c r="BS17" s="74" t="s">
        <v>80</v>
      </c>
      <c r="BT17" s="74" t="s">
        <v>80</v>
      </c>
      <c r="BU17" s="74" t="s">
        <v>80</v>
      </c>
      <c r="BV17" s="74" t="s">
        <v>80</v>
      </c>
      <c r="BW17" s="74" t="s">
        <v>80</v>
      </c>
      <c r="BX17" s="74" t="s">
        <v>80</v>
      </c>
      <c r="BY17" s="74" t="s">
        <v>80</v>
      </c>
      <c r="BZ17" s="74" t="s">
        <v>80</v>
      </c>
      <c r="CA17" s="74"/>
      <c r="CB17" s="84"/>
      <c r="CC17" s="84"/>
      <c r="CD17" s="71" t="s">
        <v>42</v>
      </c>
      <c r="CE17" s="74"/>
      <c r="CF17" s="74" t="s">
        <v>77</v>
      </c>
      <c r="CG17" s="74" t="s">
        <v>64</v>
      </c>
      <c r="CH17" s="74">
        <v>1</v>
      </c>
      <c r="CI17" s="74">
        <v>1</v>
      </c>
      <c r="CJ17" s="74">
        <v>1</v>
      </c>
      <c r="CK17" s="74">
        <v>1</v>
      </c>
      <c r="CL17" s="74">
        <v>1</v>
      </c>
      <c r="CM17" s="74">
        <v>1</v>
      </c>
      <c r="CN17" s="74">
        <v>1</v>
      </c>
      <c r="CO17" s="74">
        <v>1</v>
      </c>
      <c r="CP17" s="74"/>
      <c r="CQ17" s="84"/>
      <c r="CR17" s="84"/>
      <c r="CT17" s="84"/>
      <c r="CU17" s="71" t="s">
        <v>42</v>
      </c>
      <c r="CV17" s="74"/>
      <c r="CW17" s="74" t="s">
        <v>77</v>
      </c>
      <c r="CX17" s="74" t="s">
        <v>64</v>
      </c>
      <c r="CY17" s="74" t="s">
        <v>80</v>
      </c>
      <c r="CZ17" s="74" t="s">
        <v>80</v>
      </c>
      <c r="DA17" s="74" t="s">
        <v>80</v>
      </c>
      <c r="DB17" s="74" t="s">
        <v>80</v>
      </c>
      <c r="DC17" s="74" t="s">
        <v>80</v>
      </c>
      <c r="DD17" s="74" t="s">
        <v>80</v>
      </c>
      <c r="DE17" s="74" t="s">
        <v>80</v>
      </c>
      <c r="DF17" s="74" t="s">
        <v>80</v>
      </c>
      <c r="DG17" s="74"/>
      <c r="DH17" s="84"/>
      <c r="DI17" s="84"/>
      <c r="DJ17" s="71" t="s">
        <v>42</v>
      </c>
      <c r="DK17" s="74"/>
      <c r="DL17" s="74" t="s">
        <v>77</v>
      </c>
      <c r="DM17" s="74" t="s">
        <v>64</v>
      </c>
      <c r="DN17" s="74">
        <v>1</v>
      </c>
      <c r="DO17" s="74">
        <v>1</v>
      </c>
      <c r="DP17" s="74">
        <v>1</v>
      </c>
      <c r="DQ17" s="74">
        <v>1</v>
      </c>
      <c r="DR17" s="74">
        <v>1</v>
      </c>
      <c r="DS17" s="74">
        <v>1</v>
      </c>
      <c r="DT17" s="74">
        <v>1</v>
      </c>
      <c r="DU17" s="74">
        <v>1</v>
      </c>
      <c r="DV17" s="74"/>
      <c r="DW17" s="84"/>
      <c r="DX17" s="84"/>
      <c r="DY17" s="84"/>
    </row>
    <row r="18" spans="2:129" x14ac:dyDescent="0.2">
      <c r="C18" s="6" t="s">
        <v>43</v>
      </c>
      <c r="D18" s="7"/>
      <c r="E18" s="7" t="s">
        <v>77</v>
      </c>
      <c r="F18" s="7" t="s">
        <v>64</v>
      </c>
      <c r="G18" s="7" t="s">
        <v>81</v>
      </c>
      <c r="H18" s="7" t="s">
        <v>81</v>
      </c>
      <c r="I18" s="7" t="s">
        <v>81</v>
      </c>
      <c r="J18" s="7" t="s">
        <v>81</v>
      </c>
      <c r="K18" s="7" t="s">
        <v>81</v>
      </c>
      <c r="L18" s="7" t="s">
        <v>81</v>
      </c>
      <c r="M18" s="7" t="s">
        <v>81</v>
      </c>
      <c r="N18" s="7" t="s">
        <v>81</v>
      </c>
      <c r="O18" s="7"/>
      <c r="R18" s="6" t="s">
        <v>43</v>
      </c>
      <c r="S18" s="7"/>
      <c r="T18" s="7" t="s">
        <v>77</v>
      </c>
      <c r="U18" s="7" t="s">
        <v>64</v>
      </c>
      <c r="V18" s="7">
        <v>2</v>
      </c>
      <c r="W18" s="7">
        <v>2</v>
      </c>
      <c r="X18" s="7">
        <v>2</v>
      </c>
      <c r="Y18" s="7">
        <v>2</v>
      </c>
      <c r="Z18" s="7">
        <v>2</v>
      </c>
      <c r="AA18" s="7">
        <v>2</v>
      </c>
      <c r="AB18" s="7">
        <v>2</v>
      </c>
      <c r="AC18" s="7">
        <v>2</v>
      </c>
      <c r="AD18" s="7"/>
      <c r="AI18" s="6" t="s">
        <v>43</v>
      </c>
      <c r="AJ18" s="7"/>
      <c r="AK18" s="7" t="s">
        <v>77</v>
      </c>
      <c r="AL18" s="7" t="s">
        <v>64</v>
      </c>
      <c r="AM18" s="7" t="s">
        <v>81</v>
      </c>
      <c r="AN18" s="7" t="s">
        <v>81</v>
      </c>
      <c r="AO18" s="7" t="s">
        <v>81</v>
      </c>
      <c r="AP18" s="7" t="s">
        <v>81</v>
      </c>
      <c r="AQ18" s="7" t="s">
        <v>81</v>
      </c>
      <c r="AR18" s="7" t="s">
        <v>81</v>
      </c>
      <c r="AS18" s="7" t="s">
        <v>81</v>
      </c>
      <c r="AT18" s="7" t="s">
        <v>81</v>
      </c>
      <c r="AU18" s="7"/>
      <c r="AX18" s="6" t="s">
        <v>43</v>
      </c>
      <c r="AY18" s="7"/>
      <c r="AZ18" s="7" t="s">
        <v>77</v>
      </c>
      <c r="BA18" s="7" t="s">
        <v>64</v>
      </c>
      <c r="BB18" s="7">
        <v>2</v>
      </c>
      <c r="BC18" s="7">
        <v>2</v>
      </c>
      <c r="BD18" s="7">
        <v>2</v>
      </c>
      <c r="BE18" s="7">
        <v>2</v>
      </c>
      <c r="BF18" s="7">
        <v>2</v>
      </c>
      <c r="BG18" s="7">
        <v>2</v>
      </c>
      <c r="BH18" s="7">
        <v>2</v>
      </c>
      <c r="BI18" s="7">
        <v>2</v>
      </c>
      <c r="BJ18" s="7"/>
      <c r="BN18" s="84"/>
      <c r="BO18" s="71" t="s">
        <v>43</v>
      </c>
      <c r="BP18" s="74"/>
      <c r="BQ18" s="74" t="s">
        <v>77</v>
      </c>
      <c r="BR18" s="74" t="s">
        <v>64</v>
      </c>
      <c r="BS18" s="74" t="s">
        <v>81</v>
      </c>
      <c r="BT18" s="74" t="s">
        <v>81</v>
      </c>
      <c r="BU18" s="74" t="s">
        <v>81</v>
      </c>
      <c r="BV18" s="74" t="s">
        <v>81</v>
      </c>
      <c r="BW18" s="74" t="s">
        <v>81</v>
      </c>
      <c r="BX18" s="74" t="s">
        <v>81</v>
      </c>
      <c r="BY18" s="74" t="s">
        <v>81</v>
      </c>
      <c r="BZ18" s="74" t="s">
        <v>81</v>
      </c>
      <c r="CA18" s="74"/>
      <c r="CB18" s="84"/>
      <c r="CC18" s="84"/>
      <c r="CD18" s="71" t="s">
        <v>43</v>
      </c>
      <c r="CE18" s="74"/>
      <c r="CF18" s="74" t="s">
        <v>77</v>
      </c>
      <c r="CG18" s="74" t="s">
        <v>64</v>
      </c>
      <c r="CH18" s="74">
        <v>2</v>
      </c>
      <c r="CI18" s="74">
        <v>2</v>
      </c>
      <c r="CJ18" s="74">
        <v>2</v>
      </c>
      <c r="CK18" s="74">
        <v>2</v>
      </c>
      <c r="CL18" s="74">
        <v>2</v>
      </c>
      <c r="CM18" s="74">
        <v>2</v>
      </c>
      <c r="CN18" s="74">
        <v>2</v>
      </c>
      <c r="CO18" s="74">
        <v>2</v>
      </c>
      <c r="CP18" s="74"/>
      <c r="CQ18" s="84"/>
      <c r="CR18" s="84"/>
      <c r="CT18" s="84"/>
      <c r="CU18" s="71" t="s">
        <v>43</v>
      </c>
      <c r="CV18" s="74"/>
      <c r="CW18" s="74" t="s">
        <v>77</v>
      </c>
      <c r="CX18" s="74" t="s">
        <v>64</v>
      </c>
      <c r="CY18" s="74" t="s">
        <v>81</v>
      </c>
      <c r="CZ18" s="74" t="s">
        <v>81</v>
      </c>
      <c r="DA18" s="74" t="s">
        <v>81</v>
      </c>
      <c r="DB18" s="74" t="s">
        <v>81</v>
      </c>
      <c r="DC18" s="74" t="s">
        <v>81</v>
      </c>
      <c r="DD18" s="74" t="s">
        <v>81</v>
      </c>
      <c r="DE18" s="74" t="s">
        <v>81</v>
      </c>
      <c r="DF18" s="74" t="s">
        <v>81</v>
      </c>
      <c r="DG18" s="74"/>
      <c r="DH18" s="84"/>
      <c r="DI18" s="84"/>
      <c r="DJ18" s="71" t="s">
        <v>43</v>
      </c>
      <c r="DK18" s="74"/>
      <c r="DL18" s="74" t="s">
        <v>77</v>
      </c>
      <c r="DM18" s="74" t="s">
        <v>64</v>
      </c>
      <c r="DN18" s="74">
        <v>2</v>
      </c>
      <c r="DO18" s="74">
        <v>2</v>
      </c>
      <c r="DP18" s="74">
        <v>2</v>
      </c>
      <c r="DQ18" s="74">
        <v>2</v>
      </c>
      <c r="DR18" s="74">
        <v>2</v>
      </c>
      <c r="DS18" s="74">
        <v>2</v>
      </c>
      <c r="DT18" s="74">
        <v>2</v>
      </c>
      <c r="DU18" s="74">
        <v>2</v>
      </c>
      <c r="DV18" s="74"/>
      <c r="DW18" s="84"/>
      <c r="DX18" s="84"/>
      <c r="DY18" s="84"/>
    </row>
    <row r="19" spans="2:129" x14ac:dyDescent="0.2">
      <c r="C19" s="6" t="s">
        <v>44</v>
      </c>
      <c r="D19" s="7"/>
      <c r="E19" s="7" t="s">
        <v>77</v>
      </c>
      <c r="F19" s="7" t="s">
        <v>64</v>
      </c>
      <c r="G19" s="7" t="s">
        <v>82</v>
      </c>
      <c r="H19" s="7" t="s">
        <v>82</v>
      </c>
      <c r="I19" s="7" t="s">
        <v>82</v>
      </c>
      <c r="J19" s="7" t="s">
        <v>82</v>
      </c>
      <c r="K19" s="7" t="s">
        <v>82</v>
      </c>
      <c r="L19" s="7" t="s">
        <v>82</v>
      </c>
      <c r="M19" s="7" t="s">
        <v>82</v>
      </c>
      <c r="N19" s="7" t="s">
        <v>82</v>
      </c>
      <c r="O19" s="7"/>
      <c r="R19" s="6" t="s">
        <v>44</v>
      </c>
      <c r="S19" s="7"/>
      <c r="T19" s="7" t="s">
        <v>77</v>
      </c>
      <c r="U19" s="7" t="s">
        <v>64</v>
      </c>
      <c r="V19" s="7">
        <v>5</v>
      </c>
      <c r="W19" s="7">
        <v>5</v>
      </c>
      <c r="X19" s="7">
        <v>5</v>
      </c>
      <c r="Y19" s="7">
        <v>5</v>
      </c>
      <c r="Z19" s="7">
        <v>5</v>
      </c>
      <c r="AA19" s="7">
        <v>5</v>
      </c>
      <c r="AB19" s="7">
        <v>5</v>
      </c>
      <c r="AC19" s="7">
        <v>5</v>
      </c>
      <c r="AD19" s="7"/>
      <c r="AI19" s="6" t="s">
        <v>44</v>
      </c>
      <c r="AJ19" s="7"/>
      <c r="AK19" s="7" t="s">
        <v>77</v>
      </c>
      <c r="AL19" s="7" t="s">
        <v>64</v>
      </c>
      <c r="AM19" s="7" t="s">
        <v>82</v>
      </c>
      <c r="AN19" s="7" t="s">
        <v>82</v>
      </c>
      <c r="AO19" s="7" t="s">
        <v>82</v>
      </c>
      <c r="AP19" s="7" t="s">
        <v>82</v>
      </c>
      <c r="AQ19" s="7" t="s">
        <v>82</v>
      </c>
      <c r="AR19" s="7" t="s">
        <v>82</v>
      </c>
      <c r="AS19" s="7" t="s">
        <v>82</v>
      </c>
      <c r="AT19" s="7" t="s">
        <v>82</v>
      </c>
      <c r="AU19" s="7"/>
      <c r="AX19" s="6" t="s">
        <v>44</v>
      </c>
      <c r="AY19" s="7"/>
      <c r="AZ19" s="7" t="s">
        <v>77</v>
      </c>
      <c r="BA19" s="7" t="s">
        <v>64</v>
      </c>
      <c r="BB19" s="7">
        <v>5</v>
      </c>
      <c r="BC19" s="7">
        <v>5</v>
      </c>
      <c r="BD19" s="7">
        <v>5</v>
      </c>
      <c r="BE19" s="7">
        <v>5</v>
      </c>
      <c r="BF19" s="7">
        <v>5</v>
      </c>
      <c r="BG19" s="7">
        <v>5</v>
      </c>
      <c r="BH19" s="7">
        <v>5</v>
      </c>
      <c r="BI19" s="7">
        <v>5</v>
      </c>
      <c r="BJ19" s="7"/>
      <c r="BN19" s="84"/>
      <c r="BO19" s="71" t="s">
        <v>44</v>
      </c>
      <c r="BP19" s="74"/>
      <c r="BQ19" s="74" t="s">
        <v>77</v>
      </c>
      <c r="BR19" s="74" t="s">
        <v>64</v>
      </c>
      <c r="BS19" s="74" t="s">
        <v>82</v>
      </c>
      <c r="BT19" s="74" t="s">
        <v>82</v>
      </c>
      <c r="BU19" s="74" t="s">
        <v>82</v>
      </c>
      <c r="BV19" s="74" t="s">
        <v>82</v>
      </c>
      <c r="BW19" s="74" t="s">
        <v>82</v>
      </c>
      <c r="BX19" s="74" t="s">
        <v>82</v>
      </c>
      <c r="BY19" s="74" t="s">
        <v>82</v>
      </c>
      <c r="BZ19" s="74" t="s">
        <v>82</v>
      </c>
      <c r="CA19" s="74"/>
      <c r="CB19" s="84"/>
      <c r="CC19" s="84"/>
      <c r="CD19" s="71" t="s">
        <v>44</v>
      </c>
      <c r="CE19" s="74"/>
      <c r="CF19" s="74" t="s">
        <v>77</v>
      </c>
      <c r="CG19" s="74" t="s">
        <v>64</v>
      </c>
      <c r="CH19" s="74">
        <v>5</v>
      </c>
      <c r="CI19" s="74">
        <v>5</v>
      </c>
      <c r="CJ19" s="74">
        <v>5</v>
      </c>
      <c r="CK19" s="74">
        <v>5</v>
      </c>
      <c r="CL19" s="74">
        <v>5</v>
      </c>
      <c r="CM19" s="74">
        <v>5</v>
      </c>
      <c r="CN19" s="74">
        <v>5</v>
      </c>
      <c r="CO19" s="74">
        <v>5</v>
      </c>
      <c r="CP19" s="74"/>
      <c r="CQ19" s="84"/>
      <c r="CR19" s="84"/>
      <c r="CT19" s="84"/>
      <c r="CU19" s="71" t="s">
        <v>44</v>
      </c>
      <c r="CV19" s="74"/>
      <c r="CW19" s="74" t="s">
        <v>77</v>
      </c>
      <c r="CX19" s="74" t="s">
        <v>64</v>
      </c>
      <c r="CY19" s="74" t="s">
        <v>82</v>
      </c>
      <c r="CZ19" s="74" t="s">
        <v>82</v>
      </c>
      <c r="DA19" s="74" t="s">
        <v>82</v>
      </c>
      <c r="DB19" s="74" t="s">
        <v>82</v>
      </c>
      <c r="DC19" s="74" t="s">
        <v>82</v>
      </c>
      <c r="DD19" s="74" t="s">
        <v>82</v>
      </c>
      <c r="DE19" s="74" t="s">
        <v>82</v>
      </c>
      <c r="DF19" s="74" t="s">
        <v>82</v>
      </c>
      <c r="DG19" s="74"/>
      <c r="DH19" s="84"/>
      <c r="DI19" s="84"/>
      <c r="DJ19" s="71" t="s">
        <v>44</v>
      </c>
      <c r="DK19" s="74"/>
      <c r="DL19" s="74" t="s">
        <v>77</v>
      </c>
      <c r="DM19" s="74" t="s">
        <v>64</v>
      </c>
      <c r="DN19" s="74">
        <v>5</v>
      </c>
      <c r="DO19" s="74">
        <v>5</v>
      </c>
      <c r="DP19" s="74">
        <v>5</v>
      </c>
      <c r="DQ19" s="74">
        <v>5</v>
      </c>
      <c r="DR19" s="74">
        <v>5</v>
      </c>
      <c r="DS19" s="74">
        <v>5</v>
      </c>
      <c r="DT19" s="74">
        <v>5</v>
      </c>
      <c r="DU19" s="74">
        <v>5</v>
      </c>
      <c r="DV19" s="74"/>
      <c r="DW19" s="84"/>
      <c r="DX19" s="84"/>
      <c r="DY19" s="84"/>
    </row>
    <row r="20" spans="2:129" x14ac:dyDescent="0.2">
      <c r="C20" s="6" t="s">
        <v>45</v>
      </c>
      <c r="D20" s="7"/>
      <c r="E20" s="7"/>
      <c r="F20" s="7"/>
      <c r="G20" s="7"/>
      <c r="H20" s="14"/>
      <c r="I20" s="14"/>
      <c r="J20" s="14"/>
      <c r="K20" s="7"/>
      <c r="L20" s="7"/>
      <c r="M20" s="7"/>
      <c r="N20" s="7"/>
      <c r="O20" s="7"/>
      <c r="R20" s="6" t="s">
        <v>45</v>
      </c>
      <c r="S20" s="7"/>
      <c r="T20" s="7"/>
      <c r="U20" s="7"/>
      <c r="V20" s="7"/>
      <c r="W20" s="14"/>
      <c r="X20" s="14"/>
      <c r="Y20" s="14"/>
      <c r="Z20" s="7"/>
      <c r="AA20" s="7"/>
      <c r="AB20" s="7"/>
      <c r="AC20" s="7"/>
      <c r="AD20" s="7"/>
      <c r="AI20" s="6" t="s">
        <v>45</v>
      </c>
      <c r="AJ20" s="7"/>
      <c r="AK20" s="7"/>
      <c r="AL20" s="7"/>
      <c r="AM20" s="7"/>
      <c r="AN20" s="14"/>
      <c r="AO20" s="14"/>
      <c r="AP20" s="14"/>
      <c r="AQ20" s="7"/>
      <c r="AR20" s="7"/>
      <c r="AS20" s="7"/>
      <c r="AT20" s="7"/>
      <c r="AU20" s="7"/>
      <c r="AX20" s="6" t="s">
        <v>45</v>
      </c>
      <c r="AY20" s="7"/>
      <c r="AZ20" s="7"/>
      <c r="BA20" s="7"/>
      <c r="BB20" s="7"/>
      <c r="BC20" s="14"/>
      <c r="BD20" s="14"/>
      <c r="BE20" s="14"/>
      <c r="BF20" s="7"/>
      <c r="BG20" s="7"/>
      <c r="BH20" s="7"/>
      <c r="BI20" s="7"/>
      <c r="BJ20" s="7"/>
      <c r="BN20" s="84"/>
      <c r="BO20" s="71" t="s">
        <v>45</v>
      </c>
      <c r="BP20" s="74"/>
      <c r="BQ20" s="74"/>
      <c r="BR20" s="74"/>
      <c r="BS20" s="74"/>
      <c r="BT20" s="14"/>
      <c r="BU20" s="14"/>
      <c r="BV20" s="14"/>
      <c r="BW20" s="74"/>
      <c r="BX20" s="74"/>
      <c r="BY20" s="74"/>
      <c r="BZ20" s="74"/>
      <c r="CA20" s="74"/>
      <c r="CB20" s="84"/>
      <c r="CC20" s="84"/>
      <c r="CD20" s="71" t="s">
        <v>45</v>
      </c>
      <c r="CE20" s="74"/>
      <c r="CF20" s="74"/>
      <c r="CG20" s="74"/>
      <c r="CH20" s="74"/>
      <c r="CI20" s="14"/>
      <c r="CJ20" s="14"/>
      <c r="CK20" s="14"/>
      <c r="CL20" s="74"/>
      <c r="CM20" s="74"/>
      <c r="CN20" s="74"/>
      <c r="CO20" s="74"/>
      <c r="CP20" s="74"/>
      <c r="CQ20" s="84"/>
      <c r="CR20" s="84"/>
      <c r="CT20" s="84"/>
      <c r="CU20" s="71" t="s">
        <v>45</v>
      </c>
      <c r="CV20" s="74"/>
      <c r="CW20" s="74"/>
      <c r="CX20" s="74"/>
      <c r="CY20" s="74"/>
      <c r="CZ20" s="14"/>
      <c r="DA20" s="14"/>
      <c r="DB20" s="14"/>
      <c r="DC20" s="74"/>
      <c r="DD20" s="74"/>
      <c r="DE20" s="74"/>
      <c r="DF20" s="74"/>
      <c r="DG20" s="74"/>
      <c r="DH20" s="84"/>
      <c r="DI20" s="84"/>
      <c r="DJ20" s="71" t="s">
        <v>45</v>
      </c>
      <c r="DK20" s="74"/>
      <c r="DL20" s="74"/>
      <c r="DM20" s="74"/>
      <c r="DN20" s="74"/>
      <c r="DO20" s="14"/>
      <c r="DP20" s="14"/>
      <c r="DQ20" s="14"/>
      <c r="DR20" s="74"/>
      <c r="DS20" s="74"/>
      <c r="DT20" s="74"/>
      <c r="DU20" s="74"/>
      <c r="DV20" s="74"/>
      <c r="DW20" s="84"/>
      <c r="DX20" s="84"/>
      <c r="DY20" s="84"/>
    </row>
    <row r="21" spans="2:129" x14ac:dyDescent="0.2"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</row>
    <row r="22" spans="2:129" x14ac:dyDescent="0.2">
      <c r="B22" t="s">
        <v>0</v>
      </c>
      <c r="C22" t="s">
        <v>1</v>
      </c>
      <c r="R22" t="s">
        <v>0</v>
      </c>
      <c r="S22" t="s">
        <v>1</v>
      </c>
      <c r="AH22" t="s">
        <v>0</v>
      </c>
      <c r="AI22" t="s">
        <v>1</v>
      </c>
      <c r="AX22" t="s">
        <v>0</v>
      </c>
      <c r="AY22" t="s">
        <v>1</v>
      </c>
      <c r="BN22" s="84" t="s">
        <v>0</v>
      </c>
      <c r="BO22" s="84" t="s">
        <v>1</v>
      </c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 t="s">
        <v>0</v>
      </c>
      <c r="CE22" s="84" t="s">
        <v>1</v>
      </c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T22" s="84" t="s">
        <v>0</v>
      </c>
      <c r="CU22" s="84" t="s">
        <v>1</v>
      </c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 t="s">
        <v>0</v>
      </c>
      <c r="DK22" s="84" t="s">
        <v>1</v>
      </c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</row>
    <row r="23" spans="2:129" x14ac:dyDescent="0.2"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</row>
    <row r="24" spans="2:129" x14ac:dyDescent="0.2">
      <c r="B24" t="s">
        <v>2</v>
      </c>
      <c r="C24" t="s">
        <v>97</v>
      </c>
      <c r="R24" t="s">
        <v>2</v>
      </c>
      <c r="S24" t="s">
        <v>97</v>
      </c>
      <c r="AH24" t="s">
        <v>2</v>
      </c>
      <c r="AI24" t="s">
        <v>118</v>
      </c>
      <c r="AX24" t="s">
        <v>2</v>
      </c>
      <c r="AY24" t="s">
        <v>118</v>
      </c>
      <c r="BN24" s="84" t="s">
        <v>2</v>
      </c>
      <c r="BO24" s="84" t="s">
        <v>123</v>
      </c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 t="s">
        <v>2</v>
      </c>
      <c r="CE24" s="84" t="s">
        <v>123</v>
      </c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T24" s="84" t="s">
        <v>2</v>
      </c>
      <c r="CU24" s="84" t="s">
        <v>195</v>
      </c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 t="s">
        <v>2</v>
      </c>
      <c r="DK24" s="84" t="s">
        <v>195</v>
      </c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</row>
    <row r="25" spans="2:129" x14ac:dyDescent="0.2">
      <c r="B25" t="s">
        <v>3</v>
      </c>
      <c r="C25" t="s">
        <v>98</v>
      </c>
      <c r="R25" t="s">
        <v>3</v>
      </c>
      <c r="S25" t="s">
        <v>98</v>
      </c>
      <c r="AH25" t="s">
        <v>3</v>
      </c>
      <c r="AI25" t="s">
        <v>98</v>
      </c>
      <c r="AX25" t="s">
        <v>3</v>
      </c>
      <c r="AY25" t="s">
        <v>98</v>
      </c>
      <c r="BN25" s="84" t="s">
        <v>3</v>
      </c>
      <c r="BO25" s="84" t="s">
        <v>98</v>
      </c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 t="s">
        <v>3</v>
      </c>
      <c r="CE25" s="84" t="s">
        <v>98</v>
      </c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T25" s="84" t="s">
        <v>3</v>
      </c>
      <c r="CU25" s="84" t="s">
        <v>98</v>
      </c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 t="s">
        <v>3</v>
      </c>
      <c r="DK25" s="84" t="s">
        <v>98</v>
      </c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</row>
    <row r="26" spans="2:129" x14ac:dyDescent="0.2">
      <c r="B26" t="s">
        <v>4</v>
      </c>
      <c r="C26" t="s">
        <v>5</v>
      </c>
      <c r="R26" t="s">
        <v>4</v>
      </c>
      <c r="S26" t="s">
        <v>107</v>
      </c>
      <c r="AH26" t="s">
        <v>4</v>
      </c>
      <c r="AI26" t="s">
        <v>5</v>
      </c>
      <c r="AX26" t="s">
        <v>4</v>
      </c>
      <c r="AY26" t="s">
        <v>107</v>
      </c>
      <c r="BN26" s="84" t="s">
        <v>4</v>
      </c>
      <c r="BO26" s="84" t="s">
        <v>5</v>
      </c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 t="s">
        <v>4</v>
      </c>
      <c r="CE26" s="84" t="s">
        <v>107</v>
      </c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T26" s="84" t="s">
        <v>4</v>
      </c>
      <c r="CU26" s="84" t="s">
        <v>5</v>
      </c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 t="s">
        <v>4</v>
      </c>
      <c r="DK26" s="84" t="s">
        <v>107</v>
      </c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</row>
    <row r="27" spans="2:129" x14ac:dyDescent="0.2">
      <c r="B27" t="s">
        <v>6</v>
      </c>
      <c r="C27" s="1">
        <v>45679</v>
      </c>
      <c r="R27" t="s">
        <v>6</v>
      </c>
      <c r="S27" s="1">
        <v>45679</v>
      </c>
      <c r="AH27" t="s">
        <v>6</v>
      </c>
      <c r="AI27" s="1">
        <v>45681</v>
      </c>
      <c r="AX27" t="s">
        <v>6</v>
      </c>
      <c r="AY27" s="1">
        <v>45681</v>
      </c>
      <c r="BN27" s="84" t="s">
        <v>6</v>
      </c>
      <c r="BO27" s="80">
        <v>45684</v>
      </c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 t="s">
        <v>6</v>
      </c>
      <c r="CE27" s="80">
        <v>45684</v>
      </c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T27" s="84" t="s">
        <v>6</v>
      </c>
      <c r="CU27" s="80">
        <v>45686</v>
      </c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 t="s">
        <v>6</v>
      </c>
      <c r="DK27" s="80">
        <v>45686</v>
      </c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</row>
    <row r="28" spans="2:129" x14ac:dyDescent="0.2">
      <c r="B28" t="s">
        <v>7</v>
      </c>
      <c r="C28" s="2">
        <v>0.57074074074074077</v>
      </c>
      <c r="R28" t="s">
        <v>7</v>
      </c>
      <c r="S28" s="2">
        <v>0.57656249999999998</v>
      </c>
      <c r="AH28" t="s">
        <v>7</v>
      </c>
      <c r="AI28" s="2">
        <v>0.56630787037037034</v>
      </c>
      <c r="AX28" t="s">
        <v>7</v>
      </c>
      <c r="AY28" s="2">
        <v>0.57150462962962967</v>
      </c>
      <c r="BN28" s="84" t="s">
        <v>7</v>
      </c>
      <c r="BO28" s="81">
        <v>0.57374999999999998</v>
      </c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 t="s">
        <v>7</v>
      </c>
      <c r="CE28" s="81">
        <v>0.58557870370370368</v>
      </c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T28" s="84" t="s">
        <v>7</v>
      </c>
      <c r="CU28" s="81">
        <v>0.57672453703703697</v>
      </c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 t="s">
        <v>7</v>
      </c>
      <c r="DK28" s="81">
        <v>0.58379629629629626</v>
      </c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</row>
    <row r="29" spans="2:129" x14ac:dyDescent="0.2">
      <c r="B29" t="s">
        <v>8</v>
      </c>
      <c r="C29" t="s">
        <v>9</v>
      </c>
      <c r="R29" t="s">
        <v>8</v>
      </c>
      <c r="S29" t="s">
        <v>9</v>
      </c>
      <c r="AH29" t="s">
        <v>8</v>
      </c>
      <c r="AI29" t="s">
        <v>9</v>
      </c>
      <c r="AX29" t="s">
        <v>8</v>
      </c>
      <c r="AY29" t="s">
        <v>9</v>
      </c>
      <c r="BN29" s="84" t="s">
        <v>8</v>
      </c>
      <c r="BO29" s="84" t="s">
        <v>9</v>
      </c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 t="s">
        <v>8</v>
      </c>
      <c r="CE29" s="84" t="s">
        <v>9</v>
      </c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T29" s="84" t="s">
        <v>8</v>
      </c>
      <c r="CU29" s="84" t="s">
        <v>9</v>
      </c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 t="s">
        <v>8</v>
      </c>
      <c r="DK29" s="84" t="s">
        <v>9</v>
      </c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</row>
    <row r="30" spans="2:129" x14ac:dyDescent="0.2">
      <c r="B30" t="s">
        <v>10</v>
      </c>
      <c r="C30" t="s">
        <v>11</v>
      </c>
      <c r="R30" t="s">
        <v>10</v>
      </c>
      <c r="S30" t="s">
        <v>11</v>
      </c>
      <c r="AH30" t="s">
        <v>10</v>
      </c>
      <c r="AI30" t="s">
        <v>11</v>
      </c>
      <c r="AX30" t="s">
        <v>10</v>
      </c>
      <c r="AY30" t="s">
        <v>11</v>
      </c>
      <c r="BN30" s="84" t="s">
        <v>10</v>
      </c>
      <c r="BO30" s="84" t="s">
        <v>11</v>
      </c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 t="s">
        <v>10</v>
      </c>
      <c r="CE30" s="84" t="s">
        <v>11</v>
      </c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T30" s="84" t="s">
        <v>10</v>
      </c>
      <c r="CU30" s="84" t="s">
        <v>11</v>
      </c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 t="s">
        <v>10</v>
      </c>
      <c r="DK30" s="84" t="s">
        <v>11</v>
      </c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</row>
    <row r="31" spans="2:129" x14ac:dyDescent="0.2">
      <c r="B31" t="s">
        <v>12</v>
      </c>
      <c r="C31" t="s">
        <v>13</v>
      </c>
      <c r="R31" t="s">
        <v>12</v>
      </c>
      <c r="S31" t="s">
        <v>13</v>
      </c>
      <c r="AH31" t="s">
        <v>12</v>
      </c>
      <c r="AI31" t="s">
        <v>13</v>
      </c>
      <c r="AX31" t="s">
        <v>12</v>
      </c>
      <c r="AY31" t="s">
        <v>13</v>
      </c>
      <c r="BN31" s="84" t="s">
        <v>12</v>
      </c>
      <c r="BO31" s="84" t="s">
        <v>13</v>
      </c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 t="s">
        <v>12</v>
      </c>
      <c r="CE31" s="84" t="s">
        <v>13</v>
      </c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T31" s="84" t="s">
        <v>12</v>
      </c>
      <c r="CU31" s="84" t="s">
        <v>13</v>
      </c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 t="s">
        <v>12</v>
      </c>
      <c r="DK31" s="84" t="s">
        <v>13</v>
      </c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</row>
    <row r="32" spans="2:129" x14ac:dyDescent="0.2"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</row>
    <row r="33" spans="2:129" ht="25.5" x14ac:dyDescent="0.2">
      <c r="B33" s="3" t="s">
        <v>14</v>
      </c>
      <c r="C33" s="4"/>
      <c r="R33" s="3" t="s">
        <v>14</v>
      </c>
      <c r="S33" s="4"/>
      <c r="AH33" s="3" t="s">
        <v>14</v>
      </c>
      <c r="AI33" s="4"/>
      <c r="AX33" s="3" t="s">
        <v>14</v>
      </c>
      <c r="AY33" s="4"/>
      <c r="BN33" s="82" t="s">
        <v>14</v>
      </c>
      <c r="BO33" s="83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2" t="s">
        <v>14</v>
      </c>
      <c r="CE33" s="83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T33" s="82" t="s">
        <v>14</v>
      </c>
      <c r="CU33" s="83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2" t="s">
        <v>14</v>
      </c>
      <c r="DK33" s="83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</row>
    <row r="34" spans="2:129" x14ac:dyDescent="0.2">
      <c r="B34" t="s">
        <v>15</v>
      </c>
      <c r="C34" t="s">
        <v>16</v>
      </c>
      <c r="R34" t="s">
        <v>15</v>
      </c>
      <c r="S34" t="s">
        <v>16</v>
      </c>
      <c r="AH34" t="s">
        <v>15</v>
      </c>
      <c r="AI34" t="s">
        <v>16</v>
      </c>
      <c r="AX34" t="s">
        <v>15</v>
      </c>
      <c r="AY34" t="s">
        <v>16</v>
      </c>
      <c r="BN34" s="84" t="s">
        <v>15</v>
      </c>
      <c r="BO34" s="84" t="s">
        <v>16</v>
      </c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 t="s">
        <v>15</v>
      </c>
      <c r="CE34" s="84" t="s">
        <v>16</v>
      </c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T34" s="84" t="s">
        <v>15</v>
      </c>
      <c r="CU34" s="84" t="s">
        <v>16</v>
      </c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 t="s">
        <v>15</v>
      </c>
      <c r="DK34" s="84" t="s">
        <v>16</v>
      </c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</row>
    <row r="35" spans="2:129" x14ac:dyDescent="0.2">
      <c r="B35" t="s">
        <v>17</v>
      </c>
      <c r="R35" t="s">
        <v>17</v>
      </c>
      <c r="AH35" t="s">
        <v>17</v>
      </c>
      <c r="AX35" t="s">
        <v>17</v>
      </c>
      <c r="BN35" s="84" t="s">
        <v>17</v>
      </c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 t="s">
        <v>17</v>
      </c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T35" s="84" t="s">
        <v>17</v>
      </c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 t="s">
        <v>17</v>
      </c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</row>
    <row r="36" spans="2:129" x14ac:dyDescent="0.2">
      <c r="B36" t="s">
        <v>67</v>
      </c>
      <c r="C36" t="s">
        <v>68</v>
      </c>
      <c r="R36" t="s">
        <v>67</v>
      </c>
      <c r="S36" t="s">
        <v>68</v>
      </c>
      <c r="AH36" t="s">
        <v>67</v>
      </c>
      <c r="AI36" t="s">
        <v>68</v>
      </c>
      <c r="AX36" t="s">
        <v>67</v>
      </c>
      <c r="AY36" t="s">
        <v>68</v>
      </c>
      <c r="BN36" s="84" t="s">
        <v>67</v>
      </c>
      <c r="BO36" s="84" t="s">
        <v>68</v>
      </c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 t="s">
        <v>67</v>
      </c>
      <c r="CE36" s="84" t="s">
        <v>68</v>
      </c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T36" s="84" t="s">
        <v>67</v>
      </c>
      <c r="CU36" s="84" t="s">
        <v>68</v>
      </c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 t="s">
        <v>67</v>
      </c>
      <c r="DK36" s="84" t="s">
        <v>68</v>
      </c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</row>
    <row r="37" spans="2:129" x14ac:dyDescent="0.2">
      <c r="C37" t="s">
        <v>69</v>
      </c>
      <c r="S37" t="s">
        <v>69</v>
      </c>
      <c r="AI37" t="s">
        <v>69</v>
      </c>
      <c r="AY37" t="s">
        <v>69</v>
      </c>
      <c r="BN37" s="84"/>
      <c r="BO37" s="84" t="s">
        <v>69</v>
      </c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 t="s">
        <v>69</v>
      </c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T37" s="84"/>
      <c r="CU37" s="84" t="s">
        <v>69</v>
      </c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 t="s">
        <v>69</v>
      </c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</row>
    <row r="38" spans="2:129" x14ac:dyDescent="0.2">
      <c r="B38" t="s">
        <v>18</v>
      </c>
      <c r="C38" t="s">
        <v>19</v>
      </c>
      <c r="R38" t="s">
        <v>18</v>
      </c>
      <c r="S38" t="s">
        <v>19</v>
      </c>
      <c r="AH38" t="s">
        <v>18</v>
      </c>
      <c r="AI38" t="s">
        <v>19</v>
      </c>
      <c r="AX38" t="s">
        <v>18</v>
      </c>
      <c r="AY38" t="s">
        <v>19</v>
      </c>
      <c r="BN38" s="84" t="s">
        <v>18</v>
      </c>
      <c r="BO38" s="84" t="s">
        <v>19</v>
      </c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 t="s">
        <v>18</v>
      </c>
      <c r="CE38" s="84" t="s">
        <v>19</v>
      </c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T38" s="84" t="s">
        <v>18</v>
      </c>
      <c r="CU38" s="84" t="s">
        <v>19</v>
      </c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 t="s">
        <v>18</v>
      </c>
      <c r="DK38" s="84" t="s">
        <v>19</v>
      </c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</row>
    <row r="39" spans="2:129" x14ac:dyDescent="0.2">
      <c r="C39" t="s">
        <v>20</v>
      </c>
      <c r="S39" t="s">
        <v>20</v>
      </c>
      <c r="AI39" t="s">
        <v>20</v>
      </c>
      <c r="AY39" t="s">
        <v>20</v>
      </c>
      <c r="BN39" s="84"/>
      <c r="BO39" s="84" t="s">
        <v>20</v>
      </c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 t="s">
        <v>20</v>
      </c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T39" s="84"/>
      <c r="CU39" s="84" t="s">
        <v>20</v>
      </c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 t="s">
        <v>20</v>
      </c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</row>
    <row r="40" spans="2:129" x14ac:dyDescent="0.2">
      <c r="C40" t="s">
        <v>21</v>
      </c>
      <c r="S40" t="s">
        <v>21</v>
      </c>
      <c r="AI40" t="s">
        <v>21</v>
      </c>
      <c r="AY40" t="s">
        <v>21</v>
      </c>
      <c r="BN40" s="84"/>
      <c r="BO40" s="84" t="s">
        <v>21</v>
      </c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 t="s">
        <v>21</v>
      </c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T40" s="84"/>
      <c r="CU40" s="84" t="s">
        <v>21</v>
      </c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 t="s">
        <v>21</v>
      </c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</row>
    <row r="41" spans="2:129" x14ac:dyDescent="0.2">
      <c r="C41" t="s">
        <v>22</v>
      </c>
      <c r="S41" t="s">
        <v>22</v>
      </c>
      <c r="AI41" t="s">
        <v>22</v>
      </c>
      <c r="AY41" t="s">
        <v>22</v>
      </c>
      <c r="BN41" s="84"/>
      <c r="BO41" s="84" t="s">
        <v>22</v>
      </c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 t="s">
        <v>22</v>
      </c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T41" s="84"/>
      <c r="CU41" s="84" t="s">
        <v>22</v>
      </c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 t="s">
        <v>22</v>
      </c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</row>
    <row r="42" spans="2:129" x14ac:dyDescent="0.2">
      <c r="C42" t="s">
        <v>23</v>
      </c>
      <c r="S42" t="s">
        <v>23</v>
      </c>
      <c r="AI42" t="s">
        <v>23</v>
      </c>
      <c r="AY42" t="s">
        <v>23</v>
      </c>
      <c r="BN42" s="84"/>
      <c r="BO42" s="84" t="s">
        <v>23</v>
      </c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 t="s">
        <v>23</v>
      </c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T42" s="84"/>
      <c r="CU42" s="84" t="s">
        <v>23</v>
      </c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 t="s">
        <v>23</v>
      </c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</row>
    <row r="43" spans="2:129" x14ac:dyDescent="0.2">
      <c r="C43" t="s">
        <v>24</v>
      </c>
      <c r="S43" t="s">
        <v>24</v>
      </c>
      <c r="AI43" t="s">
        <v>24</v>
      </c>
      <c r="AY43" t="s">
        <v>24</v>
      </c>
      <c r="BN43" s="84"/>
      <c r="BO43" s="84" t="s">
        <v>24</v>
      </c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 t="s">
        <v>24</v>
      </c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T43" s="84"/>
      <c r="CU43" s="84" t="s">
        <v>24</v>
      </c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 t="s">
        <v>24</v>
      </c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</row>
    <row r="44" spans="2:129" x14ac:dyDescent="0.2">
      <c r="C44" t="s">
        <v>25</v>
      </c>
      <c r="S44" t="s">
        <v>25</v>
      </c>
      <c r="AI44" t="s">
        <v>25</v>
      </c>
      <c r="AY44" t="s">
        <v>25</v>
      </c>
      <c r="BN44" s="84"/>
      <c r="BO44" s="84" t="s">
        <v>25</v>
      </c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 t="s">
        <v>25</v>
      </c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T44" s="84"/>
      <c r="CU44" s="84" t="s">
        <v>25</v>
      </c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 t="s">
        <v>25</v>
      </c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</row>
    <row r="45" spans="2:129" x14ac:dyDescent="0.2">
      <c r="C45" t="s">
        <v>26</v>
      </c>
      <c r="S45" t="s">
        <v>26</v>
      </c>
      <c r="AI45" t="s">
        <v>26</v>
      </c>
      <c r="AY45" t="s">
        <v>26</v>
      </c>
      <c r="BN45" s="84"/>
      <c r="BO45" s="84" t="s">
        <v>26</v>
      </c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 t="s">
        <v>26</v>
      </c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T45" s="84"/>
      <c r="CU45" s="84" t="s">
        <v>26</v>
      </c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 t="s">
        <v>26</v>
      </c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</row>
    <row r="46" spans="2:129" x14ac:dyDescent="0.2">
      <c r="C46" t="s">
        <v>27</v>
      </c>
      <c r="S46" t="s">
        <v>27</v>
      </c>
      <c r="AI46" t="s">
        <v>27</v>
      </c>
      <c r="AY46" t="s">
        <v>27</v>
      </c>
      <c r="BN46" s="84"/>
      <c r="BO46" s="84" t="s">
        <v>27</v>
      </c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 t="s">
        <v>27</v>
      </c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T46" s="84"/>
      <c r="CU46" s="84" t="s">
        <v>27</v>
      </c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 t="s">
        <v>27</v>
      </c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</row>
    <row r="47" spans="2:129" x14ac:dyDescent="0.2"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</row>
    <row r="48" spans="2:129" ht="25.5" x14ac:dyDescent="0.2">
      <c r="B48" s="3" t="s">
        <v>47</v>
      </c>
      <c r="C48" s="4"/>
      <c r="R48" s="3" t="s">
        <v>47</v>
      </c>
      <c r="S48" s="4"/>
      <c r="AH48" s="3" t="s">
        <v>47</v>
      </c>
      <c r="AI48" s="4"/>
      <c r="AX48" s="3" t="s">
        <v>47</v>
      </c>
      <c r="AY48" s="4"/>
      <c r="BN48" s="82" t="s">
        <v>47</v>
      </c>
      <c r="BO48" s="83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2" t="s">
        <v>47</v>
      </c>
      <c r="CE48" s="83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T48" s="82" t="s">
        <v>47</v>
      </c>
      <c r="CU48" s="83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2" t="s">
        <v>47</v>
      </c>
      <c r="DK48" s="83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</row>
    <row r="49" spans="2:129" x14ac:dyDescent="0.2">
      <c r="B49" t="s">
        <v>48</v>
      </c>
      <c r="C49">
        <v>37</v>
      </c>
      <c r="R49" t="s">
        <v>48</v>
      </c>
      <c r="S49">
        <v>37</v>
      </c>
      <c r="AH49" t="s">
        <v>48</v>
      </c>
      <c r="AI49">
        <v>37</v>
      </c>
      <c r="AX49" t="s">
        <v>48</v>
      </c>
      <c r="AY49">
        <v>37</v>
      </c>
      <c r="BN49" s="84" t="s">
        <v>48</v>
      </c>
      <c r="BO49" s="84">
        <v>37</v>
      </c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 t="s">
        <v>48</v>
      </c>
      <c r="CE49" s="84">
        <v>37</v>
      </c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T49" s="84" t="s">
        <v>48</v>
      </c>
      <c r="CU49" s="84">
        <v>37</v>
      </c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 t="s">
        <v>48</v>
      </c>
      <c r="DK49" s="84">
        <v>37</v>
      </c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</row>
    <row r="50" spans="2:129" x14ac:dyDescent="0.2"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</row>
    <row r="51" spans="2:129" x14ac:dyDescent="0.2">
      <c r="C51" s="5"/>
      <c r="D51" s="6">
        <v>1</v>
      </c>
      <c r="E51" s="6">
        <v>2</v>
      </c>
      <c r="F51" s="6">
        <v>3</v>
      </c>
      <c r="G51" s="6">
        <v>4</v>
      </c>
      <c r="H51" s="6">
        <v>5</v>
      </c>
      <c r="I51" s="6">
        <v>6</v>
      </c>
      <c r="J51" s="6">
        <v>7</v>
      </c>
      <c r="K51" s="6">
        <v>8</v>
      </c>
      <c r="L51" s="6">
        <v>9</v>
      </c>
      <c r="M51" s="6">
        <v>10</v>
      </c>
      <c r="N51" s="6">
        <v>11</v>
      </c>
      <c r="O51" s="6">
        <v>12</v>
      </c>
      <c r="S51" s="5"/>
      <c r="T51" s="6">
        <v>1</v>
      </c>
      <c r="U51" s="6">
        <v>2</v>
      </c>
      <c r="V51" s="6">
        <v>3</v>
      </c>
      <c r="W51" s="6">
        <v>4</v>
      </c>
      <c r="X51" s="6">
        <v>5</v>
      </c>
      <c r="Y51" s="6">
        <v>6</v>
      </c>
      <c r="Z51" s="6">
        <v>7</v>
      </c>
      <c r="AA51" s="6">
        <v>8</v>
      </c>
      <c r="AB51" s="6">
        <v>9</v>
      </c>
      <c r="AC51" s="6">
        <v>10</v>
      </c>
      <c r="AD51" s="6">
        <v>11</v>
      </c>
      <c r="AE51" s="6">
        <v>12</v>
      </c>
      <c r="AI51" s="5"/>
      <c r="AJ51" s="6">
        <v>1</v>
      </c>
      <c r="AK51" s="6">
        <v>2</v>
      </c>
      <c r="AL51" s="6">
        <v>3</v>
      </c>
      <c r="AM51" s="6">
        <v>4</v>
      </c>
      <c r="AN51" s="6">
        <v>5</v>
      </c>
      <c r="AO51" s="6">
        <v>6</v>
      </c>
      <c r="AP51" s="6">
        <v>7</v>
      </c>
      <c r="AQ51" s="6">
        <v>8</v>
      </c>
      <c r="AR51" s="6">
        <v>9</v>
      </c>
      <c r="AS51" s="6">
        <v>10</v>
      </c>
      <c r="AT51" s="6">
        <v>11</v>
      </c>
      <c r="AU51" s="6">
        <v>12</v>
      </c>
      <c r="AY51" s="5"/>
      <c r="AZ51" s="6">
        <v>1</v>
      </c>
      <c r="BA51" s="6">
        <v>2</v>
      </c>
      <c r="BB51" s="6">
        <v>3</v>
      </c>
      <c r="BC51" s="6">
        <v>4</v>
      </c>
      <c r="BD51" s="6">
        <v>5</v>
      </c>
      <c r="BE51" s="6">
        <v>6</v>
      </c>
      <c r="BF51" s="6">
        <v>7</v>
      </c>
      <c r="BG51" s="6">
        <v>8</v>
      </c>
      <c r="BH51" s="6">
        <v>9</v>
      </c>
      <c r="BI51" s="6">
        <v>10</v>
      </c>
      <c r="BJ51" s="6">
        <v>11</v>
      </c>
      <c r="BK51" s="6">
        <v>12</v>
      </c>
      <c r="BN51" s="84"/>
      <c r="BO51" s="70"/>
      <c r="BP51" s="71">
        <v>1</v>
      </c>
      <c r="BQ51" s="71">
        <v>2</v>
      </c>
      <c r="BR51" s="71">
        <v>3</v>
      </c>
      <c r="BS51" s="71">
        <v>4</v>
      </c>
      <c r="BT51" s="71">
        <v>5</v>
      </c>
      <c r="BU51" s="71">
        <v>6</v>
      </c>
      <c r="BV51" s="71">
        <v>7</v>
      </c>
      <c r="BW51" s="71">
        <v>8</v>
      </c>
      <c r="BX51" s="71">
        <v>9</v>
      </c>
      <c r="BY51" s="71">
        <v>10</v>
      </c>
      <c r="BZ51" s="71">
        <v>11</v>
      </c>
      <c r="CA51" s="71">
        <v>12</v>
      </c>
      <c r="CB51" s="84"/>
      <c r="CC51" s="84"/>
      <c r="CD51" s="84"/>
      <c r="CE51" s="70"/>
      <c r="CF51" s="71">
        <v>1</v>
      </c>
      <c r="CG51" s="71">
        <v>2</v>
      </c>
      <c r="CH51" s="71">
        <v>3</v>
      </c>
      <c r="CI51" s="71">
        <v>4</v>
      </c>
      <c r="CJ51" s="71">
        <v>5</v>
      </c>
      <c r="CK51" s="71">
        <v>6</v>
      </c>
      <c r="CL51" s="71">
        <v>7</v>
      </c>
      <c r="CM51" s="71">
        <v>8</v>
      </c>
      <c r="CN51" s="71">
        <v>9</v>
      </c>
      <c r="CO51" s="71">
        <v>10</v>
      </c>
      <c r="CP51" s="71">
        <v>11</v>
      </c>
      <c r="CQ51" s="71">
        <v>12</v>
      </c>
      <c r="CR51" s="84"/>
      <c r="CT51" s="84"/>
      <c r="CU51" s="70"/>
      <c r="CV51" s="71">
        <v>1</v>
      </c>
      <c r="CW51" s="71">
        <v>2</v>
      </c>
      <c r="CX51" s="71">
        <v>3</v>
      </c>
      <c r="CY51" s="71">
        <v>4</v>
      </c>
      <c r="CZ51" s="71">
        <v>5</v>
      </c>
      <c r="DA51" s="71">
        <v>6</v>
      </c>
      <c r="DB51" s="71">
        <v>7</v>
      </c>
      <c r="DC51" s="71">
        <v>8</v>
      </c>
      <c r="DD51" s="71">
        <v>9</v>
      </c>
      <c r="DE51" s="71">
        <v>10</v>
      </c>
      <c r="DF51" s="71">
        <v>11</v>
      </c>
      <c r="DG51" s="71">
        <v>12</v>
      </c>
      <c r="DH51" s="84"/>
      <c r="DI51" s="84"/>
      <c r="DJ51" s="84"/>
      <c r="DK51" s="70"/>
      <c r="DL51" s="71">
        <v>1</v>
      </c>
      <c r="DM51" s="71">
        <v>2</v>
      </c>
      <c r="DN51" s="71">
        <v>3</v>
      </c>
      <c r="DO51" s="71">
        <v>4</v>
      </c>
      <c r="DP51" s="71">
        <v>5</v>
      </c>
      <c r="DQ51" s="71">
        <v>6</v>
      </c>
      <c r="DR51" s="71">
        <v>7</v>
      </c>
      <c r="DS51" s="71">
        <v>8</v>
      </c>
      <c r="DT51" s="71">
        <v>9</v>
      </c>
      <c r="DU51" s="71">
        <v>10</v>
      </c>
      <c r="DV51" s="71">
        <v>11</v>
      </c>
      <c r="DW51" s="71">
        <v>12</v>
      </c>
      <c r="DX51" s="84"/>
      <c r="DY51" s="84"/>
    </row>
    <row r="52" spans="2:129" ht="18" x14ac:dyDescent="0.2">
      <c r="C52" s="6" t="s">
        <v>29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8" t="s">
        <v>47</v>
      </c>
      <c r="Q52" s="8"/>
      <c r="S52" s="6" t="s">
        <v>29</v>
      </c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8" t="s">
        <v>47</v>
      </c>
      <c r="AI52" s="6" t="s">
        <v>29</v>
      </c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8" t="s">
        <v>47</v>
      </c>
      <c r="AW52" s="8"/>
      <c r="AY52" s="6" t="s">
        <v>29</v>
      </c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8" t="s">
        <v>47</v>
      </c>
      <c r="BN52" s="84"/>
      <c r="BO52" s="71" t="s">
        <v>29</v>
      </c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3" t="s">
        <v>47</v>
      </c>
      <c r="CC52" s="73"/>
      <c r="CD52" s="84"/>
      <c r="CE52" s="71" t="s">
        <v>29</v>
      </c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3" t="s">
        <v>47</v>
      </c>
      <c r="CT52" s="84"/>
      <c r="CU52" s="71" t="s">
        <v>29</v>
      </c>
      <c r="CV52" s="72"/>
      <c r="CW52" s="72"/>
      <c r="CX52" s="72"/>
      <c r="CY52" s="72"/>
      <c r="CZ52" s="72"/>
      <c r="DA52" s="72"/>
      <c r="DB52" s="72"/>
      <c r="DC52" s="72"/>
      <c r="DD52" s="72"/>
      <c r="DE52" s="72"/>
      <c r="DF52" s="72"/>
      <c r="DG52" s="72"/>
      <c r="DH52" s="73" t="s">
        <v>47</v>
      </c>
      <c r="DI52" s="73"/>
      <c r="DJ52" s="84"/>
      <c r="DK52" s="71" t="s">
        <v>29</v>
      </c>
      <c r="DL52" s="72"/>
      <c r="DM52" s="72"/>
      <c r="DN52" s="72"/>
      <c r="DO52" s="72"/>
      <c r="DP52" s="72"/>
      <c r="DQ52" s="72"/>
      <c r="DR52" s="72"/>
      <c r="DS52" s="72"/>
      <c r="DT52" s="72"/>
      <c r="DU52" s="72"/>
      <c r="DV52" s="72"/>
      <c r="DW52" s="72"/>
      <c r="DX52" s="73" t="s">
        <v>47</v>
      </c>
      <c r="DY52" s="84"/>
    </row>
    <row r="53" spans="2:129" ht="18" x14ac:dyDescent="0.2">
      <c r="C53" s="6" t="s">
        <v>33</v>
      </c>
      <c r="D53" s="15"/>
      <c r="E53" s="13">
        <v>19066</v>
      </c>
      <c r="F53" s="12">
        <v>779522</v>
      </c>
      <c r="G53" s="13">
        <v>35069</v>
      </c>
      <c r="H53" s="13">
        <v>32583</v>
      </c>
      <c r="I53" s="13">
        <v>33231</v>
      </c>
      <c r="J53" s="13">
        <v>32340</v>
      </c>
      <c r="K53" s="13">
        <v>33508</v>
      </c>
      <c r="L53" s="13">
        <v>32741</v>
      </c>
      <c r="M53" s="13">
        <v>33183</v>
      </c>
      <c r="N53" s="13">
        <v>35810</v>
      </c>
      <c r="O53" s="15"/>
      <c r="P53" s="8" t="s">
        <v>47</v>
      </c>
      <c r="Q53" s="8"/>
      <c r="S53" s="6" t="s">
        <v>33</v>
      </c>
      <c r="T53" s="15"/>
      <c r="U53" s="13">
        <v>19455</v>
      </c>
      <c r="V53" s="12">
        <v>793572</v>
      </c>
      <c r="W53" s="13">
        <v>39953</v>
      </c>
      <c r="X53" s="13">
        <v>38349</v>
      </c>
      <c r="Y53" s="13">
        <v>38793</v>
      </c>
      <c r="Z53" s="13">
        <v>36189</v>
      </c>
      <c r="AA53" s="13">
        <v>39512</v>
      </c>
      <c r="AB53" s="13">
        <v>40396</v>
      </c>
      <c r="AC53" s="13">
        <v>41324</v>
      </c>
      <c r="AD53" s="13">
        <v>37152</v>
      </c>
      <c r="AE53" s="15"/>
      <c r="AF53" s="8" t="s">
        <v>47</v>
      </c>
      <c r="AI53" s="6" t="s">
        <v>33</v>
      </c>
      <c r="AJ53" s="15"/>
      <c r="AK53" s="13">
        <v>21370</v>
      </c>
      <c r="AL53" s="12">
        <v>812277</v>
      </c>
      <c r="AM53" s="11">
        <v>76294</v>
      </c>
      <c r="AN53" s="13">
        <v>58643</v>
      </c>
      <c r="AO53" s="13">
        <v>59672</v>
      </c>
      <c r="AP53" s="11">
        <v>65764</v>
      </c>
      <c r="AQ53" s="11">
        <v>80781</v>
      </c>
      <c r="AR53" s="11">
        <v>71603</v>
      </c>
      <c r="AS53" s="11">
        <v>92164</v>
      </c>
      <c r="AT53" s="11">
        <v>91578</v>
      </c>
      <c r="AU53" s="15"/>
      <c r="AV53" s="8" t="s">
        <v>47</v>
      </c>
      <c r="AW53" s="8"/>
      <c r="AY53" s="6" t="s">
        <v>33</v>
      </c>
      <c r="AZ53" s="15"/>
      <c r="BA53" s="13">
        <v>23384</v>
      </c>
      <c r="BB53" s="12">
        <v>820704</v>
      </c>
      <c r="BC53" s="13">
        <v>50064</v>
      </c>
      <c r="BD53" s="13">
        <v>51284</v>
      </c>
      <c r="BE53" s="13">
        <v>51499</v>
      </c>
      <c r="BF53" s="13">
        <v>51253</v>
      </c>
      <c r="BG53" s="11">
        <v>61382</v>
      </c>
      <c r="BH53" s="13">
        <v>55735</v>
      </c>
      <c r="BI53" s="13">
        <v>54759</v>
      </c>
      <c r="BJ53" s="13">
        <v>58013</v>
      </c>
      <c r="BK53" s="15"/>
      <c r="BL53" s="8" t="s">
        <v>47</v>
      </c>
      <c r="BN53" s="84"/>
      <c r="BO53" s="71" t="s">
        <v>33</v>
      </c>
      <c r="BP53" s="72"/>
      <c r="BQ53" s="85">
        <v>20098</v>
      </c>
      <c r="BR53" s="86">
        <v>845351</v>
      </c>
      <c r="BS53" s="89">
        <v>235018</v>
      </c>
      <c r="BT53" s="88">
        <v>174425</v>
      </c>
      <c r="BU53" s="89">
        <v>223708</v>
      </c>
      <c r="BV53" s="90">
        <v>253583</v>
      </c>
      <c r="BW53" s="91">
        <v>304156</v>
      </c>
      <c r="BX53" s="90">
        <v>293992</v>
      </c>
      <c r="BY53" s="91">
        <v>333003</v>
      </c>
      <c r="BZ53" s="92">
        <v>372974</v>
      </c>
      <c r="CA53" s="72"/>
      <c r="CB53" s="73" t="s">
        <v>47</v>
      </c>
      <c r="CC53" s="73"/>
      <c r="CD53" s="84"/>
      <c r="CE53" s="71" t="s">
        <v>33</v>
      </c>
      <c r="CF53" s="72"/>
      <c r="CG53" s="85">
        <v>24622</v>
      </c>
      <c r="CH53" s="86">
        <v>822734</v>
      </c>
      <c r="CI53" s="85">
        <v>35014</v>
      </c>
      <c r="CJ53" s="85">
        <v>32515</v>
      </c>
      <c r="CK53" s="85">
        <v>32390</v>
      </c>
      <c r="CL53" s="85">
        <v>32288</v>
      </c>
      <c r="CM53" s="85">
        <v>37165</v>
      </c>
      <c r="CN53" s="85">
        <v>38620</v>
      </c>
      <c r="CO53" s="85">
        <v>36804</v>
      </c>
      <c r="CP53" s="85">
        <v>43607</v>
      </c>
      <c r="CQ53" s="72"/>
      <c r="CR53" s="73" t="s">
        <v>47</v>
      </c>
      <c r="CT53" s="84"/>
      <c r="CU53" s="71" t="s">
        <v>33</v>
      </c>
      <c r="CV53" s="72"/>
      <c r="CW53" s="85">
        <v>24247</v>
      </c>
      <c r="CX53" s="86">
        <v>815758</v>
      </c>
      <c r="CY53" s="93">
        <v>524432</v>
      </c>
      <c r="CZ53" s="94">
        <v>429251</v>
      </c>
      <c r="DA53" s="93">
        <v>503098</v>
      </c>
      <c r="DB53" s="95">
        <v>563169</v>
      </c>
      <c r="DC53" s="95">
        <v>565832</v>
      </c>
      <c r="DD53" s="95">
        <v>582717</v>
      </c>
      <c r="DE53" s="96">
        <v>620011</v>
      </c>
      <c r="DF53" s="96">
        <v>627361</v>
      </c>
      <c r="DG53" s="72"/>
      <c r="DH53" s="73" t="s">
        <v>47</v>
      </c>
      <c r="DI53" s="73"/>
      <c r="DJ53" s="84"/>
      <c r="DK53" s="71" t="s">
        <v>33</v>
      </c>
      <c r="DL53" s="72"/>
      <c r="DM53" s="85">
        <v>23343</v>
      </c>
      <c r="DN53" s="86">
        <v>821036</v>
      </c>
      <c r="DO53" s="85">
        <v>26360</v>
      </c>
      <c r="DP53" s="85">
        <v>26077</v>
      </c>
      <c r="DQ53" s="85">
        <v>26507</v>
      </c>
      <c r="DR53" s="85">
        <v>26691</v>
      </c>
      <c r="DS53" s="85">
        <v>28132</v>
      </c>
      <c r="DT53" s="85">
        <v>28963</v>
      </c>
      <c r="DU53" s="85">
        <v>29247</v>
      </c>
      <c r="DV53" s="85">
        <v>35571</v>
      </c>
      <c r="DW53" s="72"/>
      <c r="DX53" s="73" t="s">
        <v>47</v>
      </c>
      <c r="DY53" s="84"/>
    </row>
    <row r="54" spans="2:129" ht="18" x14ac:dyDescent="0.2">
      <c r="C54" s="6" t="s">
        <v>36</v>
      </c>
      <c r="D54" s="15"/>
      <c r="E54" s="13">
        <v>18656</v>
      </c>
      <c r="F54" s="12">
        <v>788169</v>
      </c>
      <c r="G54" s="13">
        <v>36133</v>
      </c>
      <c r="H54" s="13">
        <v>34680</v>
      </c>
      <c r="I54" s="13">
        <v>33389</v>
      </c>
      <c r="J54" s="13">
        <v>34570</v>
      </c>
      <c r="K54" s="13">
        <v>35800</v>
      </c>
      <c r="L54" s="13">
        <v>36262</v>
      </c>
      <c r="M54" s="13">
        <v>35412</v>
      </c>
      <c r="N54" s="13">
        <v>35543</v>
      </c>
      <c r="O54" s="15"/>
      <c r="P54" s="8" t="s">
        <v>47</v>
      </c>
      <c r="Q54" s="8"/>
      <c r="S54" s="6" t="s">
        <v>36</v>
      </c>
      <c r="T54" s="15"/>
      <c r="U54" s="13">
        <v>19137</v>
      </c>
      <c r="V54" s="12">
        <v>789632</v>
      </c>
      <c r="W54" s="13">
        <v>42077</v>
      </c>
      <c r="X54" s="13">
        <v>40278</v>
      </c>
      <c r="Y54" s="13">
        <v>39655</v>
      </c>
      <c r="Z54" s="13">
        <v>40889</v>
      </c>
      <c r="AA54" s="13">
        <v>40992</v>
      </c>
      <c r="AB54" s="13">
        <v>41147</v>
      </c>
      <c r="AC54" s="13">
        <v>39102</v>
      </c>
      <c r="AD54" s="13">
        <v>38906</v>
      </c>
      <c r="AE54" s="15"/>
      <c r="AF54" s="8" t="s">
        <v>47</v>
      </c>
      <c r="AI54" s="6" t="s">
        <v>36</v>
      </c>
      <c r="AJ54" s="15"/>
      <c r="AK54" s="13">
        <v>22160</v>
      </c>
      <c r="AL54" s="12">
        <v>813879</v>
      </c>
      <c r="AM54" s="11">
        <v>84256</v>
      </c>
      <c r="AN54" s="11">
        <v>67215</v>
      </c>
      <c r="AO54" s="11">
        <v>70421</v>
      </c>
      <c r="AP54" s="11">
        <v>73338</v>
      </c>
      <c r="AQ54" s="11">
        <v>74151</v>
      </c>
      <c r="AR54" s="11">
        <v>65440</v>
      </c>
      <c r="AS54" s="11">
        <v>81933</v>
      </c>
      <c r="AT54" s="11">
        <v>79958</v>
      </c>
      <c r="AU54" s="15"/>
      <c r="AV54" s="8" t="s">
        <v>47</v>
      </c>
      <c r="AW54" s="8"/>
      <c r="AY54" s="6" t="s">
        <v>36</v>
      </c>
      <c r="AZ54" s="15"/>
      <c r="BA54" s="13">
        <v>23222</v>
      </c>
      <c r="BB54" s="12">
        <v>825864</v>
      </c>
      <c r="BC54" s="13">
        <v>54075</v>
      </c>
      <c r="BD54" s="13">
        <v>46364</v>
      </c>
      <c r="BE54" s="13">
        <v>47494</v>
      </c>
      <c r="BF54" s="13">
        <v>47242</v>
      </c>
      <c r="BG54" s="13">
        <v>51666</v>
      </c>
      <c r="BH54" s="13">
        <v>49279</v>
      </c>
      <c r="BI54" s="11">
        <v>63470</v>
      </c>
      <c r="BJ54" s="11">
        <v>64271</v>
      </c>
      <c r="BK54" s="15"/>
      <c r="BL54" s="8" t="s">
        <v>47</v>
      </c>
      <c r="BN54" s="84"/>
      <c r="BO54" s="71" t="s">
        <v>36</v>
      </c>
      <c r="BP54" s="72"/>
      <c r="BQ54" s="85">
        <v>19832</v>
      </c>
      <c r="BR54" s="86">
        <v>835165</v>
      </c>
      <c r="BS54" s="88">
        <v>163642</v>
      </c>
      <c r="BT54" s="89">
        <v>208036</v>
      </c>
      <c r="BU54" s="88">
        <v>180887</v>
      </c>
      <c r="BV54" s="89">
        <v>197393</v>
      </c>
      <c r="BW54" s="89">
        <v>191755</v>
      </c>
      <c r="BX54" s="89">
        <v>195476</v>
      </c>
      <c r="BY54" s="90">
        <v>245193</v>
      </c>
      <c r="BZ54" s="90">
        <v>244543</v>
      </c>
      <c r="CA54" s="72"/>
      <c r="CB54" s="73" t="s">
        <v>47</v>
      </c>
      <c r="CC54" s="73"/>
      <c r="CD54" s="84"/>
      <c r="CE54" s="71" t="s">
        <v>36</v>
      </c>
      <c r="CF54" s="72"/>
      <c r="CG54" s="85">
        <v>23946</v>
      </c>
      <c r="CH54" s="86">
        <v>832252</v>
      </c>
      <c r="CI54" s="85">
        <v>35518</v>
      </c>
      <c r="CJ54" s="85">
        <v>33131</v>
      </c>
      <c r="CK54" s="85">
        <v>32611</v>
      </c>
      <c r="CL54" s="85">
        <v>39554</v>
      </c>
      <c r="CM54" s="85">
        <v>40042</v>
      </c>
      <c r="CN54" s="85">
        <v>36867</v>
      </c>
      <c r="CO54" s="85">
        <v>39621</v>
      </c>
      <c r="CP54" s="85">
        <v>38302</v>
      </c>
      <c r="CQ54" s="72"/>
      <c r="CR54" s="73" t="s">
        <v>47</v>
      </c>
      <c r="CT54" s="84"/>
      <c r="CU54" s="71" t="s">
        <v>36</v>
      </c>
      <c r="CV54" s="72"/>
      <c r="CW54" s="85">
        <v>23608</v>
      </c>
      <c r="CX54" s="86">
        <v>810929</v>
      </c>
      <c r="CY54" s="94">
        <v>415711</v>
      </c>
      <c r="CZ54" s="94">
        <v>439163</v>
      </c>
      <c r="DA54" s="93">
        <v>488492</v>
      </c>
      <c r="DB54" s="93">
        <v>474259</v>
      </c>
      <c r="DC54" s="94">
        <v>428466</v>
      </c>
      <c r="DD54" s="93">
        <v>511146</v>
      </c>
      <c r="DE54" s="93">
        <v>495645</v>
      </c>
      <c r="DF54" s="94">
        <v>451558</v>
      </c>
      <c r="DG54" s="72"/>
      <c r="DH54" s="73" t="s">
        <v>47</v>
      </c>
      <c r="DI54" s="73"/>
      <c r="DJ54" s="84"/>
      <c r="DK54" s="71" t="s">
        <v>36</v>
      </c>
      <c r="DL54" s="72"/>
      <c r="DM54" s="85">
        <v>23016</v>
      </c>
      <c r="DN54" s="86">
        <v>818070</v>
      </c>
      <c r="DO54" s="85">
        <v>24979</v>
      </c>
      <c r="DP54" s="85">
        <v>25011</v>
      </c>
      <c r="DQ54" s="85">
        <v>23985</v>
      </c>
      <c r="DR54" s="85">
        <v>24468</v>
      </c>
      <c r="DS54" s="85">
        <v>24225</v>
      </c>
      <c r="DT54" s="85">
        <v>24213</v>
      </c>
      <c r="DU54" s="85">
        <v>25737</v>
      </c>
      <c r="DV54" s="85">
        <v>27121</v>
      </c>
      <c r="DW54" s="72"/>
      <c r="DX54" s="73" t="s">
        <v>47</v>
      </c>
      <c r="DY54" s="84"/>
    </row>
    <row r="55" spans="2:129" ht="18" x14ac:dyDescent="0.2">
      <c r="C55" s="6" t="s">
        <v>39</v>
      </c>
      <c r="D55" s="15"/>
      <c r="E55" s="13">
        <v>18119</v>
      </c>
      <c r="F55" s="12">
        <v>791368</v>
      </c>
      <c r="G55" s="13">
        <v>34605</v>
      </c>
      <c r="H55" s="13">
        <v>35998</v>
      </c>
      <c r="I55" s="13">
        <v>36293</v>
      </c>
      <c r="J55" s="13">
        <v>36606</v>
      </c>
      <c r="K55" s="13">
        <v>36062</v>
      </c>
      <c r="L55" s="13">
        <v>33037</v>
      </c>
      <c r="M55" s="13">
        <v>36138</v>
      </c>
      <c r="N55" s="13">
        <v>38694</v>
      </c>
      <c r="O55" s="15"/>
      <c r="P55" s="8" t="s">
        <v>47</v>
      </c>
      <c r="Q55" s="8"/>
      <c r="S55" s="6" t="s">
        <v>39</v>
      </c>
      <c r="T55" s="15"/>
      <c r="U55" s="13">
        <v>19094</v>
      </c>
      <c r="V55" s="12">
        <v>792861</v>
      </c>
      <c r="W55" s="13">
        <v>42378</v>
      </c>
      <c r="X55" s="13">
        <v>40936</v>
      </c>
      <c r="Y55" s="13">
        <v>41613</v>
      </c>
      <c r="Z55" s="13">
        <v>40412</v>
      </c>
      <c r="AA55" s="13">
        <v>37731</v>
      </c>
      <c r="AB55" s="13">
        <v>38794</v>
      </c>
      <c r="AC55" s="13">
        <v>40584</v>
      </c>
      <c r="AD55" s="13">
        <v>41244</v>
      </c>
      <c r="AE55" s="15"/>
      <c r="AF55" s="8" t="s">
        <v>47</v>
      </c>
      <c r="AI55" s="6" t="s">
        <v>39</v>
      </c>
      <c r="AJ55" s="15"/>
      <c r="AK55" s="13">
        <v>21376</v>
      </c>
      <c r="AL55" s="12">
        <v>813951</v>
      </c>
      <c r="AM55" s="11">
        <v>83756</v>
      </c>
      <c r="AN55" s="11">
        <v>83907</v>
      </c>
      <c r="AO55" s="11">
        <v>74405</v>
      </c>
      <c r="AP55" s="11">
        <v>70517</v>
      </c>
      <c r="AQ55" s="11">
        <v>70206</v>
      </c>
      <c r="AR55" s="11">
        <v>75245</v>
      </c>
      <c r="AS55" s="11">
        <v>84120</v>
      </c>
      <c r="AT55" s="11">
        <v>83599</v>
      </c>
      <c r="AU55" s="15"/>
      <c r="AV55" s="8" t="s">
        <v>47</v>
      </c>
      <c r="AW55" s="8"/>
      <c r="AY55" s="6" t="s">
        <v>39</v>
      </c>
      <c r="AZ55" s="15"/>
      <c r="BA55" s="13">
        <v>23114</v>
      </c>
      <c r="BB55" s="12">
        <v>812102</v>
      </c>
      <c r="BC55" s="13">
        <v>52617</v>
      </c>
      <c r="BD55" s="13">
        <v>43939</v>
      </c>
      <c r="BE55" s="13">
        <v>43581</v>
      </c>
      <c r="BF55" s="13">
        <v>45826</v>
      </c>
      <c r="BG55" s="13">
        <v>47788</v>
      </c>
      <c r="BH55" s="13">
        <v>51561</v>
      </c>
      <c r="BI55" s="13">
        <v>44696</v>
      </c>
      <c r="BJ55" s="13">
        <v>45664</v>
      </c>
      <c r="BK55" s="15"/>
      <c r="BL55" s="8" t="s">
        <v>47</v>
      </c>
      <c r="BN55" s="84"/>
      <c r="BO55" s="71" t="s">
        <v>39</v>
      </c>
      <c r="BP55" s="72"/>
      <c r="BQ55" s="85">
        <v>19394</v>
      </c>
      <c r="BR55" s="86">
        <v>834409</v>
      </c>
      <c r="BS55" s="87">
        <v>115344</v>
      </c>
      <c r="BT55" s="87">
        <v>110096</v>
      </c>
      <c r="BU55" s="87">
        <v>96730</v>
      </c>
      <c r="BV55" s="87">
        <v>115568</v>
      </c>
      <c r="BW55" s="88">
        <v>151474</v>
      </c>
      <c r="BX55" s="88">
        <v>129867</v>
      </c>
      <c r="BY55" s="88">
        <v>131593</v>
      </c>
      <c r="BZ55" s="88">
        <v>179145</v>
      </c>
      <c r="CA55" s="72"/>
      <c r="CB55" s="73" t="s">
        <v>47</v>
      </c>
      <c r="CC55" s="73"/>
      <c r="CD55" s="84"/>
      <c r="CE55" s="71" t="s">
        <v>39</v>
      </c>
      <c r="CF55" s="72"/>
      <c r="CG55" s="85">
        <v>24348</v>
      </c>
      <c r="CH55" s="86">
        <v>828745</v>
      </c>
      <c r="CI55" s="85">
        <v>33853</v>
      </c>
      <c r="CJ55" s="85">
        <v>30442</v>
      </c>
      <c r="CK55" s="85">
        <v>30068</v>
      </c>
      <c r="CL55" s="85">
        <v>29443</v>
      </c>
      <c r="CM55" s="85">
        <v>30097</v>
      </c>
      <c r="CN55" s="85">
        <v>36241</v>
      </c>
      <c r="CO55" s="85">
        <v>39097</v>
      </c>
      <c r="CP55" s="85">
        <v>35333</v>
      </c>
      <c r="CQ55" s="72"/>
      <c r="CR55" s="73" t="s">
        <v>47</v>
      </c>
      <c r="CT55" s="84"/>
      <c r="CU55" s="71" t="s">
        <v>39</v>
      </c>
      <c r="CV55" s="72"/>
      <c r="CW55" s="85">
        <v>23677</v>
      </c>
      <c r="CX55" s="86">
        <v>818696</v>
      </c>
      <c r="CY55" s="89">
        <v>203289</v>
      </c>
      <c r="CZ55" s="90">
        <v>255791</v>
      </c>
      <c r="DA55" s="90">
        <v>278677</v>
      </c>
      <c r="DB55" s="89">
        <v>227242</v>
      </c>
      <c r="DC55" s="90">
        <v>276889</v>
      </c>
      <c r="DD55" s="91">
        <v>333453</v>
      </c>
      <c r="DE55" s="90">
        <v>268611</v>
      </c>
      <c r="DF55" s="92">
        <v>378976</v>
      </c>
      <c r="DG55" s="72"/>
      <c r="DH55" s="73" t="s">
        <v>47</v>
      </c>
      <c r="DI55" s="73"/>
      <c r="DJ55" s="84"/>
      <c r="DK55" s="71" t="s">
        <v>39</v>
      </c>
      <c r="DL55" s="72"/>
      <c r="DM55" s="85">
        <v>23009</v>
      </c>
      <c r="DN55" s="86">
        <v>814219</v>
      </c>
      <c r="DO55" s="85">
        <v>24084</v>
      </c>
      <c r="DP55" s="85">
        <v>24365</v>
      </c>
      <c r="DQ55" s="85">
        <v>24140</v>
      </c>
      <c r="DR55" s="85">
        <v>24155</v>
      </c>
      <c r="DS55" s="85">
        <v>25660</v>
      </c>
      <c r="DT55" s="85">
        <v>25781</v>
      </c>
      <c r="DU55" s="85">
        <v>26426</v>
      </c>
      <c r="DV55" s="85">
        <v>25467</v>
      </c>
      <c r="DW55" s="72"/>
      <c r="DX55" s="73" t="s">
        <v>47</v>
      </c>
      <c r="DY55" s="84"/>
    </row>
    <row r="56" spans="2:129" ht="18" x14ac:dyDescent="0.2">
      <c r="C56" s="6" t="s">
        <v>42</v>
      </c>
      <c r="D56" s="15"/>
      <c r="E56" s="13">
        <v>18677</v>
      </c>
      <c r="F56" s="12">
        <v>786933</v>
      </c>
      <c r="G56" s="13">
        <v>33575</v>
      </c>
      <c r="H56" s="13">
        <v>34768</v>
      </c>
      <c r="I56" s="13">
        <v>33342</v>
      </c>
      <c r="J56" s="13">
        <v>36436</v>
      </c>
      <c r="K56" s="13">
        <v>35637</v>
      </c>
      <c r="L56" s="13">
        <v>35104</v>
      </c>
      <c r="M56" s="13">
        <v>38274</v>
      </c>
      <c r="N56" s="13">
        <v>36139</v>
      </c>
      <c r="O56" s="15"/>
      <c r="P56" s="8" t="s">
        <v>47</v>
      </c>
      <c r="Q56" s="8"/>
      <c r="S56" s="6" t="s">
        <v>42</v>
      </c>
      <c r="T56" s="15"/>
      <c r="U56" s="13">
        <v>19267</v>
      </c>
      <c r="V56" s="12">
        <v>794612</v>
      </c>
      <c r="W56" s="13">
        <v>44094</v>
      </c>
      <c r="X56" s="13">
        <v>42471</v>
      </c>
      <c r="Y56" s="13">
        <v>39956</v>
      </c>
      <c r="Z56" s="13">
        <v>40307</v>
      </c>
      <c r="AA56" s="13">
        <v>38408</v>
      </c>
      <c r="AB56" s="13">
        <v>41139</v>
      </c>
      <c r="AC56" s="13">
        <v>42213</v>
      </c>
      <c r="AD56" s="13">
        <v>42293</v>
      </c>
      <c r="AE56" s="15"/>
      <c r="AF56" s="8" t="s">
        <v>47</v>
      </c>
      <c r="AI56" s="6" t="s">
        <v>42</v>
      </c>
      <c r="AJ56" s="15"/>
      <c r="AK56" s="13">
        <v>21969</v>
      </c>
      <c r="AL56" s="12">
        <v>808738</v>
      </c>
      <c r="AM56" s="11">
        <v>65998</v>
      </c>
      <c r="AN56" s="11">
        <v>74808</v>
      </c>
      <c r="AO56" s="11">
        <v>74706</v>
      </c>
      <c r="AP56" s="11">
        <v>62290</v>
      </c>
      <c r="AQ56" s="11">
        <v>66811</v>
      </c>
      <c r="AR56" s="11">
        <v>63189</v>
      </c>
      <c r="AS56" s="11">
        <v>79378</v>
      </c>
      <c r="AT56" s="11">
        <v>74895</v>
      </c>
      <c r="AU56" s="15"/>
      <c r="AV56" s="8" t="s">
        <v>47</v>
      </c>
      <c r="AW56" s="8"/>
      <c r="AY56" s="6" t="s">
        <v>42</v>
      </c>
      <c r="AZ56" s="15"/>
      <c r="BA56" s="13">
        <v>22913</v>
      </c>
      <c r="BB56" s="12">
        <v>817262</v>
      </c>
      <c r="BC56" s="13">
        <v>46722</v>
      </c>
      <c r="BD56" s="13">
        <v>47978</v>
      </c>
      <c r="BE56" s="13">
        <v>43831</v>
      </c>
      <c r="BF56" s="13">
        <v>44670</v>
      </c>
      <c r="BG56" s="13">
        <v>45664</v>
      </c>
      <c r="BH56" s="13">
        <v>46350</v>
      </c>
      <c r="BI56" s="13">
        <v>44706</v>
      </c>
      <c r="BJ56" s="13">
        <v>50932</v>
      </c>
      <c r="BK56" s="15"/>
      <c r="BL56" s="8" t="s">
        <v>47</v>
      </c>
      <c r="BN56" s="84"/>
      <c r="BO56" s="71" t="s">
        <v>42</v>
      </c>
      <c r="BP56" s="72"/>
      <c r="BQ56" s="85">
        <v>19950</v>
      </c>
      <c r="BR56" s="86">
        <v>826211</v>
      </c>
      <c r="BS56" s="87">
        <v>79988</v>
      </c>
      <c r="BT56" s="87">
        <v>62810</v>
      </c>
      <c r="BU56" s="87">
        <v>66815</v>
      </c>
      <c r="BV56" s="87">
        <v>65735</v>
      </c>
      <c r="BW56" s="87">
        <v>89683</v>
      </c>
      <c r="BX56" s="87">
        <v>76230</v>
      </c>
      <c r="BY56" s="87">
        <v>63570</v>
      </c>
      <c r="BZ56" s="87">
        <v>88637</v>
      </c>
      <c r="CA56" s="72"/>
      <c r="CB56" s="73" t="s">
        <v>47</v>
      </c>
      <c r="CC56" s="73"/>
      <c r="CD56" s="84"/>
      <c r="CE56" s="71" t="s">
        <v>42</v>
      </c>
      <c r="CF56" s="72"/>
      <c r="CG56" s="85">
        <v>24605</v>
      </c>
      <c r="CH56" s="86">
        <v>825807</v>
      </c>
      <c r="CI56" s="85">
        <v>29866</v>
      </c>
      <c r="CJ56" s="85">
        <v>30701</v>
      </c>
      <c r="CK56" s="85">
        <v>29672</v>
      </c>
      <c r="CL56" s="85">
        <v>30120</v>
      </c>
      <c r="CM56" s="85">
        <v>27921</v>
      </c>
      <c r="CN56" s="85">
        <v>29758</v>
      </c>
      <c r="CO56" s="85">
        <v>30902</v>
      </c>
      <c r="CP56" s="85">
        <v>36694</v>
      </c>
      <c r="CQ56" s="72"/>
      <c r="CR56" s="73" t="s">
        <v>47</v>
      </c>
      <c r="CT56" s="84"/>
      <c r="CU56" s="71" t="s">
        <v>42</v>
      </c>
      <c r="CV56" s="72"/>
      <c r="CW56" s="85">
        <v>23376</v>
      </c>
      <c r="CX56" s="86">
        <v>819140</v>
      </c>
      <c r="CY56" s="87">
        <v>97557</v>
      </c>
      <c r="CZ56" s="87">
        <v>92973</v>
      </c>
      <c r="DA56" s="87">
        <v>93840</v>
      </c>
      <c r="DB56" s="87">
        <v>112637</v>
      </c>
      <c r="DC56" s="87">
        <v>114742</v>
      </c>
      <c r="DD56" s="88">
        <v>138603</v>
      </c>
      <c r="DE56" s="88">
        <v>133483</v>
      </c>
      <c r="DF56" s="88">
        <v>143860</v>
      </c>
      <c r="DG56" s="72"/>
      <c r="DH56" s="73" t="s">
        <v>47</v>
      </c>
      <c r="DI56" s="73"/>
      <c r="DJ56" s="84"/>
      <c r="DK56" s="71" t="s">
        <v>42</v>
      </c>
      <c r="DL56" s="72"/>
      <c r="DM56" s="85">
        <v>23244</v>
      </c>
      <c r="DN56" s="86">
        <v>819656</v>
      </c>
      <c r="DO56" s="85">
        <v>24223</v>
      </c>
      <c r="DP56" s="85">
        <v>24415</v>
      </c>
      <c r="DQ56" s="85">
        <v>24471</v>
      </c>
      <c r="DR56" s="85">
        <v>24801</v>
      </c>
      <c r="DS56" s="85">
        <v>24525</v>
      </c>
      <c r="DT56" s="85">
        <v>24132</v>
      </c>
      <c r="DU56" s="85">
        <v>24561</v>
      </c>
      <c r="DV56" s="85">
        <v>24944</v>
      </c>
      <c r="DW56" s="72"/>
      <c r="DX56" s="73" t="s">
        <v>47</v>
      </c>
      <c r="DY56" s="84"/>
    </row>
    <row r="57" spans="2:129" ht="18" x14ac:dyDescent="0.2">
      <c r="C57" s="6" t="s">
        <v>43</v>
      </c>
      <c r="D57" s="15"/>
      <c r="E57" s="13">
        <v>18514</v>
      </c>
      <c r="F57" s="12">
        <v>788745</v>
      </c>
      <c r="G57" s="13">
        <v>33490</v>
      </c>
      <c r="H57" s="13">
        <v>34259</v>
      </c>
      <c r="I57" s="13">
        <v>34118</v>
      </c>
      <c r="J57" s="13">
        <v>34046</v>
      </c>
      <c r="K57" s="13">
        <v>33601</v>
      </c>
      <c r="L57" s="13">
        <v>34306</v>
      </c>
      <c r="M57" s="13">
        <v>33952</v>
      </c>
      <c r="N57" s="13">
        <v>35925</v>
      </c>
      <c r="O57" s="15"/>
      <c r="P57" s="8" t="s">
        <v>47</v>
      </c>
      <c r="Q57" s="8"/>
      <c r="S57" s="6" t="s">
        <v>43</v>
      </c>
      <c r="T57" s="15"/>
      <c r="U57" s="13">
        <v>19115</v>
      </c>
      <c r="V57" s="12">
        <v>787410</v>
      </c>
      <c r="W57" s="13">
        <v>40786</v>
      </c>
      <c r="X57" s="13">
        <v>42046</v>
      </c>
      <c r="Y57" s="13">
        <v>38758</v>
      </c>
      <c r="Z57" s="13">
        <v>42404</v>
      </c>
      <c r="AA57" s="13">
        <v>43091</v>
      </c>
      <c r="AB57" s="13">
        <v>41577</v>
      </c>
      <c r="AC57" s="13">
        <v>39996</v>
      </c>
      <c r="AD57" s="13">
        <v>40412</v>
      </c>
      <c r="AE57" s="15"/>
      <c r="AF57" s="8" t="s">
        <v>47</v>
      </c>
      <c r="AI57" s="6" t="s">
        <v>43</v>
      </c>
      <c r="AJ57" s="15"/>
      <c r="AK57" s="13">
        <v>21868</v>
      </c>
      <c r="AL57" s="12">
        <v>816701</v>
      </c>
      <c r="AM57" s="13">
        <v>47092</v>
      </c>
      <c r="AN57" s="13">
        <v>43234</v>
      </c>
      <c r="AO57" s="13">
        <v>60289</v>
      </c>
      <c r="AP57" s="13">
        <v>49030</v>
      </c>
      <c r="AQ57" s="13">
        <v>54780</v>
      </c>
      <c r="AR57" s="13">
        <v>54909</v>
      </c>
      <c r="AS57" s="13">
        <v>51354</v>
      </c>
      <c r="AT57" s="13">
        <v>55123</v>
      </c>
      <c r="AU57" s="15"/>
      <c r="AV57" s="8" t="s">
        <v>47</v>
      </c>
      <c r="AW57" s="8"/>
      <c r="AY57" s="6" t="s">
        <v>43</v>
      </c>
      <c r="AZ57" s="15"/>
      <c r="BA57" s="13">
        <v>22639</v>
      </c>
      <c r="BB57" s="12">
        <v>815417</v>
      </c>
      <c r="BC57" s="13">
        <v>39383</v>
      </c>
      <c r="BD57" s="13">
        <v>45071</v>
      </c>
      <c r="BE57" s="13">
        <v>41966</v>
      </c>
      <c r="BF57" s="13">
        <v>43984</v>
      </c>
      <c r="BG57" s="13">
        <v>41901</v>
      </c>
      <c r="BH57" s="13">
        <v>42252</v>
      </c>
      <c r="BI57" s="13">
        <v>42514</v>
      </c>
      <c r="BJ57" s="13">
        <v>43554</v>
      </c>
      <c r="BK57" s="15"/>
      <c r="BL57" s="8" t="s">
        <v>47</v>
      </c>
      <c r="BN57" s="84"/>
      <c r="BO57" s="71" t="s">
        <v>43</v>
      </c>
      <c r="BP57" s="72"/>
      <c r="BQ57" s="85">
        <v>19981</v>
      </c>
      <c r="BR57" s="86">
        <v>835941</v>
      </c>
      <c r="BS57" s="85">
        <v>33806</v>
      </c>
      <c r="BT57" s="85">
        <v>42738</v>
      </c>
      <c r="BU57" s="87">
        <v>64530</v>
      </c>
      <c r="BV57" s="85">
        <v>53934</v>
      </c>
      <c r="BW57" s="85">
        <v>53817</v>
      </c>
      <c r="BX57" s="87">
        <v>61532</v>
      </c>
      <c r="BY57" s="85">
        <v>58527</v>
      </c>
      <c r="BZ57" s="87">
        <v>62815</v>
      </c>
      <c r="CA57" s="72"/>
      <c r="CB57" s="73" t="s">
        <v>47</v>
      </c>
      <c r="CC57" s="73"/>
      <c r="CD57" s="84"/>
      <c r="CE57" s="71" t="s">
        <v>43</v>
      </c>
      <c r="CF57" s="72"/>
      <c r="CG57" s="85">
        <v>24947</v>
      </c>
      <c r="CH57" s="86">
        <v>829234</v>
      </c>
      <c r="CI57" s="85">
        <v>27042</v>
      </c>
      <c r="CJ57" s="85">
        <v>28757</v>
      </c>
      <c r="CK57" s="85">
        <v>28755</v>
      </c>
      <c r="CL57" s="85">
        <v>31894</v>
      </c>
      <c r="CM57" s="85">
        <v>31132</v>
      </c>
      <c r="CN57" s="85">
        <v>32205</v>
      </c>
      <c r="CO57" s="85">
        <v>32514</v>
      </c>
      <c r="CP57" s="85">
        <v>33927</v>
      </c>
      <c r="CQ57" s="72"/>
      <c r="CR57" s="73" t="s">
        <v>47</v>
      </c>
      <c r="CT57" s="84"/>
      <c r="CU57" s="71" t="s">
        <v>43</v>
      </c>
      <c r="CV57" s="72"/>
      <c r="CW57" s="85">
        <v>24218</v>
      </c>
      <c r="CX57" s="86">
        <v>821604</v>
      </c>
      <c r="CY57" s="85">
        <v>42596</v>
      </c>
      <c r="CZ57" s="85">
        <v>37143</v>
      </c>
      <c r="DA57" s="85">
        <v>46591</v>
      </c>
      <c r="DB57" s="85">
        <v>43215</v>
      </c>
      <c r="DC57" s="85">
        <v>42828</v>
      </c>
      <c r="DD57" s="85">
        <v>45381</v>
      </c>
      <c r="DE57" s="85">
        <v>45500</v>
      </c>
      <c r="DF57" s="85">
        <v>45580</v>
      </c>
      <c r="DG57" s="72"/>
      <c r="DH57" s="73" t="s">
        <v>47</v>
      </c>
      <c r="DI57" s="73"/>
      <c r="DJ57" s="84"/>
      <c r="DK57" s="71" t="s">
        <v>43</v>
      </c>
      <c r="DL57" s="72"/>
      <c r="DM57" s="85">
        <v>23029</v>
      </c>
      <c r="DN57" s="86">
        <v>821614</v>
      </c>
      <c r="DO57" s="85">
        <v>24321</v>
      </c>
      <c r="DP57" s="85">
        <v>24108</v>
      </c>
      <c r="DQ57" s="85">
        <v>24534</v>
      </c>
      <c r="DR57" s="85">
        <v>24622</v>
      </c>
      <c r="DS57" s="85">
        <v>25246</v>
      </c>
      <c r="DT57" s="85">
        <v>24605</v>
      </c>
      <c r="DU57" s="85">
        <v>26076</v>
      </c>
      <c r="DV57" s="85">
        <v>26372</v>
      </c>
      <c r="DW57" s="72"/>
      <c r="DX57" s="73" t="s">
        <v>47</v>
      </c>
      <c r="DY57" s="84"/>
    </row>
    <row r="58" spans="2:129" ht="18" x14ac:dyDescent="0.2">
      <c r="C58" s="6" t="s">
        <v>44</v>
      </c>
      <c r="D58" s="15"/>
      <c r="E58" s="13">
        <v>18646</v>
      </c>
      <c r="F58" s="12">
        <v>795330</v>
      </c>
      <c r="G58" s="13">
        <v>32154</v>
      </c>
      <c r="H58" s="13">
        <v>32906</v>
      </c>
      <c r="I58" s="13">
        <v>33265</v>
      </c>
      <c r="J58" s="13">
        <v>34766</v>
      </c>
      <c r="K58" s="13">
        <v>32787</v>
      </c>
      <c r="L58" s="13">
        <v>33931</v>
      </c>
      <c r="M58" s="13">
        <v>33804</v>
      </c>
      <c r="N58" s="13">
        <v>36095</v>
      </c>
      <c r="O58" s="15"/>
      <c r="P58" s="8" t="s">
        <v>47</v>
      </c>
      <c r="Q58" s="8"/>
      <c r="S58" s="6" t="s">
        <v>44</v>
      </c>
      <c r="T58" s="15"/>
      <c r="U58" s="13">
        <v>19260</v>
      </c>
      <c r="V58" s="12">
        <v>787968</v>
      </c>
      <c r="W58" s="13">
        <v>41590</v>
      </c>
      <c r="X58" s="13">
        <v>40534</v>
      </c>
      <c r="Y58" s="13">
        <v>40242</v>
      </c>
      <c r="Z58" s="13">
        <v>38282</v>
      </c>
      <c r="AA58" s="13">
        <v>40229</v>
      </c>
      <c r="AB58" s="13">
        <v>39352</v>
      </c>
      <c r="AC58" s="13">
        <v>39753</v>
      </c>
      <c r="AD58" s="13">
        <v>39163</v>
      </c>
      <c r="AE58" s="15"/>
      <c r="AF58" s="8" t="s">
        <v>47</v>
      </c>
      <c r="AI58" s="6" t="s">
        <v>44</v>
      </c>
      <c r="AJ58" s="15"/>
      <c r="AK58" s="13">
        <v>21674</v>
      </c>
      <c r="AL58" s="12">
        <v>855166</v>
      </c>
      <c r="AM58" s="13">
        <v>45637</v>
      </c>
      <c r="AN58" s="13">
        <v>52359</v>
      </c>
      <c r="AO58" s="13">
        <v>51349</v>
      </c>
      <c r="AP58" s="13">
        <v>52037</v>
      </c>
      <c r="AQ58" s="13">
        <v>46004</v>
      </c>
      <c r="AR58" s="13">
        <v>50169</v>
      </c>
      <c r="AS58" s="13">
        <v>49335</v>
      </c>
      <c r="AT58" s="13">
        <v>48112</v>
      </c>
      <c r="AU58" s="15"/>
      <c r="AV58" s="8" t="s">
        <v>47</v>
      </c>
      <c r="AW58" s="8"/>
      <c r="AY58" s="6" t="s">
        <v>44</v>
      </c>
      <c r="AZ58" s="15"/>
      <c r="BA58" s="13">
        <v>23299</v>
      </c>
      <c r="BB58" s="12">
        <v>808159</v>
      </c>
      <c r="BC58" s="13">
        <v>37136</v>
      </c>
      <c r="BD58" s="13">
        <v>45116</v>
      </c>
      <c r="BE58" s="13">
        <v>41967</v>
      </c>
      <c r="BF58" s="13">
        <v>38019</v>
      </c>
      <c r="BG58" s="13">
        <v>42058</v>
      </c>
      <c r="BH58" s="13">
        <v>42821</v>
      </c>
      <c r="BI58" s="13">
        <v>36448</v>
      </c>
      <c r="BJ58" s="13">
        <v>40074</v>
      </c>
      <c r="BK58" s="15"/>
      <c r="BL58" s="8" t="s">
        <v>47</v>
      </c>
      <c r="BN58" s="84"/>
      <c r="BO58" s="71" t="s">
        <v>44</v>
      </c>
      <c r="BP58" s="72"/>
      <c r="BQ58" s="85">
        <v>19777</v>
      </c>
      <c r="BR58" s="86">
        <v>840414</v>
      </c>
      <c r="BS58" s="85">
        <v>43176</v>
      </c>
      <c r="BT58" s="85">
        <v>40466</v>
      </c>
      <c r="BU58" s="85">
        <v>49353</v>
      </c>
      <c r="BV58" s="85">
        <v>38520</v>
      </c>
      <c r="BW58" s="85">
        <v>47690</v>
      </c>
      <c r="BX58" s="85">
        <v>48097</v>
      </c>
      <c r="BY58" s="85">
        <v>55568</v>
      </c>
      <c r="BZ58" s="85">
        <v>45409</v>
      </c>
      <c r="CA58" s="72"/>
      <c r="CB58" s="73" t="s">
        <v>47</v>
      </c>
      <c r="CC58" s="73"/>
      <c r="CD58" s="84"/>
      <c r="CE58" s="71" t="s">
        <v>44</v>
      </c>
      <c r="CF58" s="72"/>
      <c r="CG58" s="85">
        <v>23531</v>
      </c>
      <c r="CH58" s="86">
        <v>822886</v>
      </c>
      <c r="CI58" s="85">
        <v>30229</v>
      </c>
      <c r="CJ58" s="85">
        <v>34906</v>
      </c>
      <c r="CK58" s="85">
        <v>30317</v>
      </c>
      <c r="CL58" s="85">
        <v>33747</v>
      </c>
      <c r="CM58" s="85">
        <v>34363</v>
      </c>
      <c r="CN58" s="85">
        <v>34736</v>
      </c>
      <c r="CO58" s="85">
        <v>37168</v>
      </c>
      <c r="CP58" s="85">
        <v>42235</v>
      </c>
      <c r="CQ58" s="72"/>
      <c r="CR58" s="73" t="s">
        <v>47</v>
      </c>
      <c r="CT58" s="84"/>
      <c r="CU58" s="71" t="s">
        <v>44</v>
      </c>
      <c r="CV58" s="72"/>
      <c r="CW58" s="85">
        <v>23890</v>
      </c>
      <c r="CX58" s="86">
        <v>821173</v>
      </c>
      <c r="CY58" s="85">
        <v>28969</v>
      </c>
      <c r="CZ58" s="85">
        <v>33374</v>
      </c>
      <c r="DA58" s="85">
        <v>32290</v>
      </c>
      <c r="DB58" s="85">
        <v>33015</v>
      </c>
      <c r="DC58" s="85">
        <v>34143</v>
      </c>
      <c r="DD58" s="85">
        <v>33997</v>
      </c>
      <c r="DE58" s="85">
        <v>34600</v>
      </c>
      <c r="DF58" s="85">
        <v>36370</v>
      </c>
      <c r="DG58" s="72"/>
      <c r="DH58" s="73" t="s">
        <v>47</v>
      </c>
      <c r="DI58" s="73"/>
      <c r="DJ58" s="84"/>
      <c r="DK58" s="71" t="s">
        <v>44</v>
      </c>
      <c r="DL58" s="72"/>
      <c r="DM58" s="85">
        <v>22878</v>
      </c>
      <c r="DN58" s="86">
        <v>816161</v>
      </c>
      <c r="DO58" s="85">
        <v>25198</v>
      </c>
      <c r="DP58" s="85">
        <v>25765</v>
      </c>
      <c r="DQ58" s="85">
        <v>26177</v>
      </c>
      <c r="DR58" s="85">
        <v>25755</v>
      </c>
      <c r="DS58" s="85">
        <v>25940</v>
      </c>
      <c r="DT58" s="85">
        <v>25944</v>
      </c>
      <c r="DU58" s="85">
        <v>26364</v>
      </c>
      <c r="DV58" s="85">
        <v>27325</v>
      </c>
      <c r="DW58" s="72"/>
      <c r="DX58" s="73" t="s">
        <v>47</v>
      </c>
      <c r="DY58" s="84"/>
    </row>
    <row r="59" spans="2:129" ht="18" x14ac:dyDescent="0.2">
      <c r="C59" s="6" t="s">
        <v>45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8" t="s">
        <v>47</v>
      </c>
      <c r="Q59" s="8"/>
      <c r="S59" s="6" t="s">
        <v>45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8" t="s">
        <v>47</v>
      </c>
      <c r="AI59" s="6" t="s">
        <v>45</v>
      </c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8" t="s">
        <v>47</v>
      </c>
      <c r="AW59" s="8"/>
      <c r="AY59" s="6" t="s">
        <v>45</v>
      </c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8" t="s">
        <v>47</v>
      </c>
      <c r="BN59" s="84"/>
      <c r="BO59" s="71" t="s">
        <v>45</v>
      </c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3" t="s">
        <v>47</v>
      </c>
      <c r="CC59" s="73"/>
      <c r="CD59" s="84"/>
      <c r="CE59" s="71" t="s">
        <v>45</v>
      </c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3" t="s">
        <v>47</v>
      </c>
      <c r="CT59" s="84"/>
      <c r="CU59" s="71" t="s">
        <v>45</v>
      </c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3" t="s">
        <v>47</v>
      </c>
      <c r="DI59" s="73"/>
      <c r="DJ59" s="84"/>
      <c r="DK59" s="71" t="s">
        <v>45</v>
      </c>
      <c r="DL59" s="72"/>
      <c r="DM59" s="72"/>
      <c r="DN59" s="72"/>
      <c r="DO59" s="72"/>
      <c r="DP59" s="72"/>
      <c r="DQ59" s="72"/>
      <c r="DR59" s="72"/>
      <c r="DS59" s="72"/>
      <c r="DT59" s="72"/>
      <c r="DU59" s="72"/>
      <c r="DV59" s="72"/>
      <c r="DW59" s="72"/>
      <c r="DX59" s="73" t="s">
        <v>47</v>
      </c>
      <c r="DY59" s="84"/>
    </row>
    <row r="60" spans="2:129" x14ac:dyDescent="0.2"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</row>
    <row r="61" spans="2:129" ht="38.25" x14ac:dyDescent="0.2">
      <c r="B61" s="3" t="s">
        <v>49</v>
      </c>
      <c r="C61" s="4"/>
      <c r="R61" s="3" t="s">
        <v>49</v>
      </c>
      <c r="S61" s="4"/>
      <c r="AH61" s="3" t="s">
        <v>49</v>
      </c>
      <c r="AI61" s="4"/>
      <c r="AX61" s="3" t="s">
        <v>49</v>
      </c>
      <c r="AY61" s="4"/>
      <c r="BN61" s="82" t="s">
        <v>49</v>
      </c>
      <c r="BO61" s="83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2" t="s">
        <v>49</v>
      </c>
      <c r="CE61" s="83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T61" s="82" t="s">
        <v>49</v>
      </c>
      <c r="CU61" s="83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2" t="s">
        <v>49</v>
      </c>
      <c r="DK61" s="83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</row>
    <row r="62" spans="2:129" x14ac:dyDescent="0.2"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</row>
    <row r="63" spans="2:129" x14ac:dyDescent="0.2">
      <c r="C63" s="5"/>
      <c r="D63" s="6">
        <v>1</v>
      </c>
      <c r="E63" s="6">
        <v>2</v>
      </c>
      <c r="F63" s="6">
        <v>3</v>
      </c>
      <c r="G63" s="6">
        <v>4</v>
      </c>
      <c r="H63" s="6">
        <v>5</v>
      </c>
      <c r="I63" s="6">
        <v>6</v>
      </c>
      <c r="J63" s="6">
        <v>7</v>
      </c>
      <c r="K63" s="6">
        <v>8</v>
      </c>
      <c r="L63" s="6">
        <v>9</v>
      </c>
      <c r="M63" s="6">
        <v>10</v>
      </c>
      <c r="N63" s="6">
        <v>11</v>
      </c>
      <c r="O63" s="6">
        <v>12</v>
      </c>
      <c r="S63" s="5"/>
      <c r="T63" s="6">
        <v>1</v>
      </c>
      <c r="U63" s="6">
        <v>2</v>
      </c>
      <c r="V63" s="6">
        <v>3</v>
      </c>
      <c r="W63" s="6">
        <v>4</v>
      </c>
      <c r="X63" s="6">
        <v>5</v>
      </c>
      <c r="Y63" s="6">
        <v>6</v>
      </c>
      <c r="Z63" s="6">
        <v>7</v>
      </c>
      <c r="AA63" s="6">
        <v>8</v>
      </c>
      <c r="AB63" s="6">
        <v>9</v>
      </c>
      <c r="AC63" s="6">
        <v>10</v>
      </c>
      <c r="AD63" s="6">
        <v>11</v>
      </c>
      <c r="AE63" s="6">
        <v>12</v>
      </c>
      <c r="AI63" s="5"/>
      <c r="AJ63" s="6">
        <v>1</v>
      </c>
      <c r="AK63" s="6">
        <v>2</v>
      </c>
      <c r="AL63" s="6">
        <v>3</v>
      </c>
      <c r="AM63" s="6">
        <v>4</v>
      </c>
      <c r="AN63" s="6">
        <v>5</v>
      </c>
      <c r="AO63" s="6">
        <v>6</v>
      </c>
      <c r="AP63" s="6">
        <v>7</v>
      </c>
      <c r="AQ63" s="6">
        <v>8</v>
      </c>
      <c r="AR63" s="6">
        <v>9</v>
      </c>
      <c r="AS63" s="6">
        <v>10</v>
      </c>
      <c r="AT63" s="6">
        <v>11</v>
      </c>
      <c r="AU63" s="6">
        <v>12</v>
      </c>
      <c r="AY63" s="5"/>
      <c r="AZ63" s="6">
        <v>1</v>
      </c>
      <c r="BA63" s="6">
        <v>2</v>
      </c>
      <c r="BB63" s="6">
        <v>3</v>
      </c>
      <c r="BC63" s="6">
        <v>4</v>
      </c>
      <c r="BD63" s="6">
        <v>5</v>
      </c>
      <c r="BE63" s="6">
        <v>6</v>
      </c>
      <c r="BF63" s="6">
        <v>7</v>
      </c>
      <c r="BG63" s="6">
        <v>8</v>
      </c>
      <c r="BH63" s="6">
        <v>9</v>
      </c>
      <c r="BI63" s="6">
        <v>10</v>
      </c>
      <c r="BJ63" s="6">
        <v>11</v>
      </c>
      <c r="BK63" s="6">
        <v>12</v>
      </c>
      <c r="BN63" s="84"/>
      <c r="BO63" s="70"/>
      <c r="BP63" s="71">
        <v>1</v>
      </c>
      <c r="BQ63" s="71">
        <v>2</v>
      </c>
      <c r="BR63" s="71">
        <v>3</v>
      </c>
      <c r="BS63" s="71">
        <v>4</v>
      </c>
      <c r="BT63" s="71">
        <v>5</v>
      </c>
      <c r="BU63" s="71">
        <v>6</v>
      </c>
      <c r="BV63" s="71">
        <v>7</v>
      </c>
      <c r="BW63" s="71">
        <v>8</v>
      </c>
      <c r="BX63" s="71">
        <v>9</v>
      </c>
      <c r="BY63" s="71">
        <v>10</v>
      </c>
      <c r="BZ63" s="71">
        <v>11</v>
      </c>
      <c r="CA63" s="71">
        <v>12</v>
      </c>
      <c r="CB63" s="84"/>
      <c r="CC63" s="84"/>
      <c r="CD63" s="84"/>
      <c r="CE63" s="70"/>
      <c r="CF63" s="71">
        <v>1</v>
      </c>
      <c r="CG63" s="71">
        <v>2</v>
      </c>
      <c r="CH63" s="71">
        <v>3</v>
      </c>
      <c r="CI63" s="71">
        <v>4</v>
      </c>
      <c r="CJ63" s="71">
        <v>5</v>
      </c>
      <c r="CK63" s="71">
        <v>6</v>
      </c>
      <c r="CL63" s="71">
        <v>7</v>
      </c>
      <c r="CM63" s="71">
        <v>8</v>
      </c>
      <c r="CN63" s="71">
        <v>9</v>
      </c>
      <c r="CO63" s="71">
        <v>10</v>
      </c>
      <c r="CP63" s="71">
        <v>11</v>
      </c>
      <c r="CQ63" s="71">
        <v>12</v>
      </c>
      <c r="CR63" s="84"/>
      <c r="CT63" s="84"/>
      <c r="CU63" s="70"/>
      <c r="CV63" s="71">
        <v>1</v>
      </c>
      <c r="CW63" s="71">
        <v>2</v>
      </c>
      <c r="CX63" s="71">
        <v>3</v>
      </c>
      <c r="CY63" s="71">
        <v>4</v>
      </c>
      <c r="CZ63" s="71">
        <v>5</v>
      </c>
      <c r="DA63" s="71">
        <v>6</v>
      </c>
      <c r="DB63" s="71">
        <v>7</v>
      </c>
      <c r="DC63" s="71">
        <v>8</v>
      </c>
      <c r="DD63" s="71">
        <v>9</v>
      </c>
      <c r="DE63" s="71">
        <v>10</v>
      </c>
      <c r="DF63" s="71">
        <v>11</v>
      </c>
      <c r="DG63" s="71">
        <v>12</v>
      </c>
      <c r="DH63" s="84"/>
      <c r="DI63" s="84"/>
      <c r="DJ63" s="84"/>
      <c r="DK63" s="70"/>
      <c r="DL63" s="71">
        <v>1</v>
      </c>
      <c r="DM63" s="71">
        <v>2</v>
      </c>
      <c r="DN63" s="71">
        <v>3</v>
      </c>
      <c r="DO63" s="71">
        <v>4</v>
      </c>
      <c r="DP63" s="71">
        <v>5</v>
      </c>
      <c r="DQ63" s="71">
        <v>6</v>
      </c>
      <c r="DR63" s="71">
        <v>7</v>
      </c>
      <c r="DS63" s="71">
        <v>8</v>
      </c>
      <c r="DT63" s="71">
        <v>9</v>
      </c>
      <c r="DU63" s="71">
        <v>10</v>
      </c>
      <c r="DV63" s="71">
        <v>11</v>
      </c>
      <c r="DW63" s="71">
        <v>12</v>
      </c>
      <c r="DX63" s="84"/>
      <c r="DY63" s="84"/>
    </row>
    <row r="64" spans="2:129" ht="27" x14ac:dyDescent="0.2">
      <c r="C64" s="6" t="s">
        <v>29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8" t="s">
        <v>49</v>
      </c>
      <c r="S64" s="6" t="s">
        <v>29</v>
      </c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8" t="s">
        <v>49</v>
      </c>
      <c r="AI64" s="6" t="s">
        <v>29</v>
      </c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8" t="s">
        <v>49</v>
      </c>
      <c r="AY64" s="6" t="s">
        <v>29</v>
      </c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8" t="s">
        <v>49</v>
      </c>
      <c r="BN64" s="84"/>
      <c r="BO64" s="71" t="s">
        <v>29</v>
      </c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3" t="s">
        <v>49</v>
      </c>
      <c r="CC64" s="84"/>
      <c r="CD64" s="84"/>
      <c r="CE64" s="71" t="s">
        <v>29</v>
      </c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3" t="s">
        <v>49</v>
      </c>
      <c r="CT64" s="84"/>
      <c r="CU64" s="71" t="s">
        <v>29</v>
      </c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3" t="s">
        <v>49</v>
      </c>
      <c r="DI64" s="84"/>
      <c r="DJ64" s="84"/>
      <c r="DK64" s="71" t="s">
        <v>29</v>
      </c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3" t="s">
        <v>49</v>
      </c>
      <c r="DY64" s="84"/>
    </row>
    <row r="65" spans="2:129" ht="27" x14ac:dyDescent="0.2">
      <c r="C65" s="6" t="s">
        <v>33</v>
      </c>
      <c r="D65" s="15"/>
      <c r="E65" s="13">
        <f>E53-ROUND(AVERAGE($E$53:$E$58),0)</f>
        <v>453</v>
      </c>
      <c r="F65" s="13">
        <f>F53-ROUND(AVERAGE($E$53:$E$58),0)</f>
        <v>760909</v>
      </c>
      <c r="G65" s="13">
        <f t="shared" ref="G65:N65" si="0">G53-ROUND(AVERAGE($E$53:$E$58),0)</f>
        <v>16456</v>
      </c>
      <c r="H65" s="13">
        <f t="shared" si="0"/>
        <v>13970</v>
      </c>
      <c r="I65" s="13">
        <f t="shared" si="0"/>
        <v>14618</v>
      </c>
      <c r="J65" s="13">
        <f t="shared" si="0"/>
        <v>13727</v>
      </c>
      <c r="K65" s="13">
        <f t="shared" si="0"/>
        <v>14895</v>
      </c>
      <c r="L65" s="13">
        <f t="shared" si="0"/>
        <v>14128</v>
      </c>
      <c r="M65" s="13">
        <f t="shared" si="0"/>
        <v>14570</v>
      </c>
      <c r="N65" s="13">
        <f t="shared" si="0"/>
        <v>17197</v>
      </c>
      <c r="O65" s="15"/>
      <c r="P65" s="8" t="s">
        <v>49</v>
      </c>
      <c r="S65" s="6" t="s">
        <v>33</v>
      </c>
      <c r="T65" s="15"/>
      <c r="U65" s="13">
        <f>U53-ROUND(AVERAGE($U$53:$U$58),0)</f>
        <v>234</v>
      </c>
      <c r="V65" s="13">
        <f>V53-ROUND(AVERAGE($U$53:$U$58),0)</f>
        <v>774351</v>
      </c>
      <c r="W65" s="13">
        <f>W53-ROUND(AVERAGE($U$53:$U$58),0)</f>
        <v>20732</v>
      </c>
      <c r="X65" s="13">
        <f t="shared" ref="X65:AD65" si="1">X53-ROUND(AVERAGE($U$53:$U$58),0)</f>
        <v>19128</v>
      </c>
      <c r="Y65" s="13">
        <f t="shared" si="1"/>
        <v>19572</v>
      </c>
      <c r="Z65" s="13">
        <f t="shared" si="1"/>
        <v>16968</v>
      </c>
      <c r="AA65" s="13">
        <f t="shared" si="1"/>
        <v>20291</v>
      </c>
      <c r="AB65" s="13">
        <f t="shared" si="1"/>
        <v>21175</v>
      </c>
      <c r="AC65" s="13">
        <f t="shared" si="1"/>
        <v>22103</v>
      </c>
      <c r="AD65" s="13">
        <f t="shared" si="1"/>
        <v>17931</v>
      </c>
      <c r="AE65" s="15"/>
      <c r="AF65" s="8" t="s">
        <v>49</v>
      </c>
      <c r="AI65" s="6" t="s">
        <v>33</v>
      </c>
      <c r="AJ65" s="15"/>
      <c r="AK65" s="13">
        <f>AK53-ROUND(AVERAGE($AK$53:$AK$58),0)</f>
        <v>-366</v>
      </c>
      <c r="AL65" s="85">
        <f t="shared" ref="AL65:AT65" si="2">AL53-ROUND(AVERAGE($AK$53:$AK$58),0)</f>
        <v>790541</v>
      </c>
      <c r="AM65" s="85">
        <f t="shared" si="2"/>
        <v>54558</v>
      </c>
      <c r="AN65" s="85">
        <f t="shared" si="2"/>
        <v>36907</v>
      </c>
      <c r="AO65" s="85">
        <f t="shared" si="2"/>
        <v>37936</v>
      </c>
      <c r="AP65" s="85">
        <f t="shared" si="2"/>
        <v>44028</v>
      </c>
      <c r="AQ65" s="85">
        <f t="shared" si="2"/>
        <v>59045</v>
      </c>
      <c r="AR65" s="85">
        <f t="shared" si="2"/>
        <v>49867</v>
      </c>
      <c r="AS65" s="85">
        <f t="shared" si="2"/>
        <v>70428</v>
      </c>
      <c r="AT65" s="85">
        <f t="shared" si="2"/>
        <v>69842</v>
      </c>
      <c r="AU65" s="15"/>
      <c r="AV65" s="8" t="s">
        <v>49</v>
      </c>
      <c r="AY65" s="6" t="s">
        <v>33</v>
      </c>
      <c r="AZ65" s="15"/>
      <c r="BA65" s="13">
        <f>BA53-ROUND(AVERAGE($BA$53:$BA$58),0)</f>
        <v>289</v>
      </c>
      <c r="BB65" s="85">
        <f t="shared" ref="BB65:BJ65" si="3">BB53-ROUND(AVERAGE($BA$53:$BA$58),0)</f>
        <v>797609</v>
      </c>
      <c r="BC65" s="85">
        <f t="shared" si="3"/>
        <v>26969</v>
      </c>
      <c r="BD65" s="85">
        <f t="shared" si="3"/>
        <v>28189</v>
      </c>
      <c r="BE65" s="85">
        <f t="shared" si="3"/>
        <v>28404</v>
      </c>
      <c r="BF65" s="85">
        <f t="shared" si="3"/>
        <v>28158</v>
      </c>
      <c r="BG65" s="85">
        <f t="shared" si="3"/>
        <v>38287</v>
      </c>
      <c r="BH65" s="85">
        <f t="shared" si="3"/>
        <v>32640</v>
      </c>
      <c r="BI65" s="85">
        <f t="shared" si="3"/>
        <v>31664</v>
      </c>
      <c r="BJ65" s="85">
        <f t="shared" si="3"/>
        <v>34918</v>
      </c>
      <c r="BK65" s="15"/>
      <c r="BL65" s="8" t="s">
        <v>49</v>
      </c>
      <c r="BN65" s="84"/>
      <c r="BO65" s="71" t="s">
        <v>33</v>
      </c>
      <c r="BP65" s="72"/>
      <c r="BQ65" s="85">
        <f>BQ53-ROUND(AVERAGE($BQ$53:$BQ$58),0)</f>
        <v>259</v>
      </c>
      <c r="BR65" s="85">
        <f t="shared" ref="BR65:BZ65" si="4">BR53-ROUND(AVERAGE($BQ$53:$BQ$58),0)</f>
        <v>825512</v>
      </c>
      <c r="BS65" s="85">
        <f t="shared" si="4"/>
        <v>215179</v>
      </c>
      <c r="BT65" s="85">
        <f t="shared" si="4"/>
        <v>154586</v>
      </c>
      <c r="BU65" s="85">
        <f t="shared" si="4"/>
        <v>203869</v>
      </c>
      <c r="BV65" s="85">
        <f t="shared" si="4"/>
        <v>233744</v>
      </c>
      <c r="BW65" s="85">
        <f t="shared" si="4"/>
        <v>284317</v>
      </c>
      <c r="BX65" s="85">
        <f t="shared" si="4"/>
        <v>274153</v>
      </c>
      <c r="BY65" s="85">
        <f t="shared" si="4"/>
        <v>313164</v>
      </c>
      <c r="BZ65" s="85">
        <f t="shared" si="4"/>
        <v>353135</v>
      </c>
      <c r="CA65" s="72"/>
      <c r="CB65" s="73" t="s">
        <v>49</v>
      </c>
      <c r="CC65" s="84"/>
      <c r="CD65" s="84"/>
      <c r="CE65" s="71" t="s">
        <v>33</v>
      </c>
      <c r="CF65" s="72"/>
      <c r="CG65" s="85">
        <f>CG53-ROUND(AVERAGE($CG$53:$CG$58),0)</f>
        <v>289</v>
      </c>
      <c r="CH65" s="85">
        <f t="shared" ref="CH65:CP65" si="5">CH53-ROUND(AVERAGE($CG$53:$CG$58),0)</f>
        <v>798401</v>
      </c>
      <c r="CI65" s="85">
        <f t="shared" si="5"/>
        <v>10681</v>
      </c>
      <c r="CJ65" s="85">
        <f t="shared" si="5"/>
        <v>8182</v>
      </c>
      <c r="CK65" s="85">
        <f t="shared" si="5"/>
        <v>8057</v>
      </c>
      <c r="CL65" s="85">
        <f t="shared" si="5"/>
        <v>7955</v>
      </c>
      <c r="CM65" s="85">
        <f t="shared" si="5"/>
        <v>12832</v>
      </c>
      <c r="CN65" s="85">
        <f t="shared" si="5"/>
        <v>14287</v>
      </c>
      <c r="CO65" s="85">
        <f t="shared" si="5"/>
        <v>12471</v>
      </c>
      <c r="CP65" s="85">
        <f t="shared" si="5"/>
        <v>19274</v>
      </c>
      <c r="CQ65" s="72"/>
      <c r="CR65" s="73" t="s">
        <v>49</v>
      </c>
      <c r="CT65" s="84"/>
      <c r="CU65" s="71" t="s">
        <v>33</v>
      </c>
      <c r="CV65" s="72"/>
      <c r="CW65" s="85">
        <f>CW53-ROUND(AVERAGE($CW$53:$CW$58),0)</f>
        <v>411</v>
      </c>
      <c r="CX65" s="85">
        <f t="shared" ref="CX65:DF65" si="6">CX53-ROUND(AVERAGE($CW$53:$CW$58),0)</f>
        <v>791922</v>
      </c>
      <c r="CY65" s="85">
        <f t="shared" si="6"/>
        <v>500596</v>
      </c>
      <c r="CZ65" s="85">
        <f t="shared" si="6"/>
        <v>405415</v>
      </c>
      <c r="DA65" s="85">
        <f t="shared" si="6"/>
        <v>479262</v>
      </c>
      <c r="DB65" s="85">
        <f t="shared" si="6"/>
        <v>539333</v>
      </c>
      <c r="DC65" s="85">
        <f t="shared" si="6"/>
        <v>541996</v>
      </c>
      <c r="DD65" s="85">
        <f t="shared" si="6"/>
        <v>558881</v>
      </c>
      <c r="DE65" s="85">
        <f t="shared" si="6"/>
        <v>596175</v>
      </c>
      <c r="DF65" s="85">
        <f t="shared" si="6"/>
        <v>603525</v>
      </c>
      <c r="DG65" s="72"/>
      <c r="DH65" s="73" t="s">
        <v>49</v>
      </c>
      <c r="DI65" s="84"/>
      <c r="DJ65" s="84"/>
      <c r="DK65" s="71" t="s">
        <v>33</v>
      </c>
      <c r="DL65" s="72"/>
      <c r="DM65" s="85">
        <f>DM53-ROUND(AVERAGE($DM$53:$DM$58),0)</f>
        <v>256</v>
      </c>
      <c r="DN65" s="85">
        <f t="shared" ref="DN65:DV65" si="7">DN53-ROUND(AVERAGE($DM$53:$DM$58),0)</f>
        <v>797949</v>
      </c>
      <c r="DO65" s="85">
        <f t="shared" si="7"/>
        <v>3273</v>
      </c>
      <c r="DP65" s="85">
        <f t="shared" si="7"/>
        <v>2990</v>
      </c>
      <c r="DQ65" s="85">
        <f t="shared" si="7"/>
        <v>3420</v>
      </c>
      <c r="DR65" s="85">
        <f t="shared" si="7"/>
        <v>3604</v>
      </c>
      <c r="DS65" s="85">
        <f t="shared" si="7"/>
        <v>5045</v>
      </c>
      <c r="DT65" s="85">
        <f t="shared" si="7"/>
        <v>5876</v>
      </c>
      <c r="DU65" s="85">
        <f t="shared" si="7"/>
        <v>6160</v>
      </c>
      <c r="DV65" s="85">
        <f t="shared" si="7"/>
        <v>12484</v>
      </c>
      <c r="DW65" s="72"/>
      <c r="DX65" s="73" t="s">
        <v>49</v>
      </c>
      <c r="DY65" s="84"/>
    </row>
    <row r="66" spans="2:129" ht="27" x14ac:dyDescent="0.2">
      <c r="C66" s="6" t="s">
        <v>36</v>
      </c>
      <c r="D66" s="15"/>
      <c r="E66" s="13">
        <f t="shared" ref="E66:N69" si="8">E54-ROUND(AVERAGE($E$53:$E$58),0)</f>
        <v>43</v>
      </c>
      <c r="F66" s="13">
        <f t="shared" si="8"/>
        <v>769556</v>
      </c>
      <c r="G66" s="13">
        <f t="shared" si="8"/>
        <v>17520</v>
      </c>
      <c r="H66" s="13">
        <f t="shared" si="8"/>
        <v>16067</v>
      </c>
      <c r="I66" s="13">
        <f t="shared" si="8"/>
        <v>14776</v>
      </c>
      <c r="J66" s="13">
        <f t="shared" si="8"/>
        <v>15957</v>
      </c>
      <c r="K66" s="13">
        <f t="shared" si="8"/>
        <v>17187</v>
      </c>
      <c r="L66" s="13">
        <f t="shared" si="8"/>
        <v>17649</v>
      </c>
      <c r="M66" s="13">
        <f t="shared" si="8"/>
        <v>16799</v>
      </c>
      <c r="N66" s="13">
        <f t="shared" si="8"/>
        <v>16930</v>
      </c>
      <c r="O66" s="15"/>
      <c r="P66" s="8" t="s">
        <v>49</v>
      </c>
      <c r="S66" s="6" t="s">
        <v>36</v>
      </c>
      <c r="T66" s="15"/>
      <c r="U66" s="13">
        <f t="shared" ref="U66:AD70" si="9">U54-ROUND(AVERAGE($U$53:$U$58),0)</f>
        <v>-84</v>
      </c>
      <c r="V66" s="13">
        <f t="shared" si="9"/>
        <v>770411</v>
      </c>
      <c r="W66" s="13">
        <f t="shared" si="9"/>
        <v>22856</v>
      </c>
      <c r="X66" s="13">
        <f t="shared" si="9"/>
        <v>21057</v>
      </c>
      <c r="Y66" s="13">
        <f t="shared" si="9"/>
        <v>20434</v>
      </c>
      <c r="Z66" s="13">
        <f t="shared" si="9"/>
        <v>21668</v>
      </c>
      <c r="AA66" s="13">
        <f t="shared" si="9"/>
        <v>21771</v>
      </c>
      <c r="AB66" s="13">
        <f t="shared" si="9"/>
        <v>21926</v>
      </c>
      <c r="AC66" s="13">
        <f t="shared" si="9"/>
        <v>19881</v>
      </c>
      <c r="AD66" s="13">
        <f t="shared" si="9"/>
        <v>19685</v>
      </c>
      <c r="AE66" s="15"/>
      <c r="AF66" s="8" t="s">
        <v>49</v>
      </c>
      <c r="AI66" s="6" t="s">
        <v>36</v>
      </c>
      <c r="AJ66" s="15"/>
      <c r="AK66" s="85">
        <f t="shared" ref="AK66:AT70" si="10">AK54-ROUND(AVERAGE($AK$53:$AK$58),0)</f>
        <v>424</v>
      </c>
      <c r="AL66" s="85">
        <f t="shared" si="10"/>
        <v>792143</v>
      </c>
      <c r="AM66" s="85">
        <f t="shared" si="10"/>
        <v>62520</v>
      </c>
      <c r="AN66" s="85">
        <f t="shared" si="10"/>
        <v>45479</v>
      </c>
      <c r="AO66" s="85">
        <f t="shared" si="10"/>
        <v>48685</v>
      </c>
      <c r="AP66" s="85">
        <f t="shared" si="10"/>
        <v>51602</v>
      </c>
      <c r="AQ66" s="85">
        <f t="shared" si="10"/>
        <v>52415</v>
      </c>
      <c r="AR66" s="85">
        <f t="shared" si="10"/>
        <v>43704</v>
      </c>
      <c r="AS66" s="85">
        <f t="shared" si="10"/>
        <v>60197</v>
      </c>
      <c r="AT66" s="85">
        <f t="shared" si="10"/>
        <v>58222</v>
      </c>
      <c r="AU66" s="15"/>
      <c r="AV66" s="8" t="s">
        <v>49</v>
      </c>
      <c r="AY66" s="6" t="s">
        <v>36</v>
      </c>
      <c r="AZ66" s="15"/>
      <c r="BA66" s="85">
        <f t="shared" ref="BA66:BJ70" si="11">BA54-ROUND(AVERAGE($BA$53:$BA$58),0)</f>
        <v>127</v>
      </c>
      <c r="BB66" s="85">
        <f t="shared" si="11"/>
        <v>802769</v>
      </c>
      <c r="BC66" s="85">
        <f t="shared" si="11"/>
        <v>30980</v>
      </c>
      <c r="BD66" s="85">
        <f t="shared" si="11"/>
        <v>23269</v>
      </c>
      <c r="BE66" s="85">
        <f t="shared" si="11"/>
        <v>24399</v>
      </c>
      <c r="BF66" s="85">
        <f t="shared" si="11"/>
        <v>24147</v>
      </c>
      <c r="BG66" s="85">
        <f t="shared" si="11"/>
        <v>28571</v>
      </c>
      <c r="BH66" s="85">
        <f t="shared" si="11"/>
        <v>26184</v>
      </c>
      <c r="BI66" s="85">
        <f t="shared" si="11"/>
        <v>40375</v>
      </c>
      <c r="BJ66" s="85">
        <f t="shared" si="11"/>
        <v>41176</v>
      </c>
      <c r="BK66" s="15"/>
      <c r="BL66" s="8" t="s">
        <v>49</v>
      </c>
      <c r="BN66" s="84"/>
      <c r="BO66" s="71" t="s">
        <v>36</v>
      </c>
      <c r="BP66" s="72"/>
      <c r="BQ66" s="85">
        <f t="shared" ref="BQ66:BZ70" si="12">BQ54-ROUND(AVERAGE($BQ$53:$BQ$58),0)</f>
        <v>-7</v>
      </c>
      <c r="BR66" s="85">
        <f t="shared" si="12"/>
        <v>815326</v>
      </c>
      <c r="BS66" s="85">
        <f t="shared" si="12"/>
        <v>143803</v>
      </c>
      <c r="BT66" s="85">
        <f t="shared" si="12"/>
        <v>188197</v>
      </c>
      <c r="BU66" s="85">
        <f t="shared" si="12"/>
        <v>161048</v>
      </c>
      <c r="BV66" s="85">
        <f t="shared" si="12"/>
        <v>177554</v>
      </c>
      <c r="BW66" s="85">
        <f t="shared" si="12"/>
        <v>171916</v>
      </c>
      <c r="BX66" s="85">
        <f t="shared" si="12"/>
        <v>175637</v>
      </c>
      <c r="BY66" s="85">
        <f t="shared" si="12"/>
        <v>225354</v>
      </c>
      <c r="BZ66" s="85">
        <f t="shared" si="12"/>
        <v>224704</v>
      </c>
      <c r="CA66" s="72"/>
      <c r="CB66" s="73" t="s">
        <v>49</v>
      </c>
      <c r="CC66" s="84"/>
      <c r="CD66" s="84"/>
      <c r="CE66" s="71" t="s">
        <v>36</v>
      </c>
      <c r="CF66" s="72"/>
      <c r="CG66" s="85">
        <f t="shared" ref="CG66:CP66" si="13">CG54-ROUND(AVERAGE($CG$53:$CG$58),0)</f>
        <v>-387</v>
      </c>
      <c r="CH66" s="85">
        <f t="shared" si="13"/>
        <v>807919</v>
      </c>
      <c r="CI66" s="85">
        <f t="shared" si="13"/>
        <v>11185</v>
      </c>
      <c r="CJ66" s="85">
        <f t="shared" si="13"/>
        <v>8798</v>
      </c>
      <c r="CK66" s="85">
        <f t="shared" si="13"/>
        <v>8278</v>
      </c>
      <c r="CL66" s="85">
        <f t="shared" si="13"/>
        <v>15221</v>
      </c>
      <c r="CM66" s="85">
        <f t="shared" si="13"/>
        <v>15709</v>
      </c>
      <c r="CN66" s="85">
        <f t="shared" si="13"/>
        <v>12534</v>
      </c>
      <c r="CO66" s="85">
        <f t="shared" si="13"/>
        <v>15288</v>
      </c>
      <c r="CP66" s="85">
        <f t="shared" si="13"/>
        <v>13969</v>
      </c>
      <c r="CQ66" s="72"/>
      <c r="CR66" s="73" t="s">
        <v>49</v>
      </c>
      <c r="CT66" s="84"/>
      <c r="CU66" s="71" t="s">
        <v>36</v>
      </c>
      <c r="CV66" s="72"/>
      <c r="CW66" s="85">
        <f t="shared" ref="CW66:DF66" si="14">CW54-ROUND(AVERAGE($CW$53:$CW$58),0)</f>
        <v>-228</v>
      </c>
      <c r="CX66" s="85">
        <f t="shared" si="14"/>
        <v>787093</v>
      </c>
      <c r="CY66" s="85">
        <f t="shared" si="14"/>
        <v>391875</v>
      </c>
      <c r="CZ66" s="85">
        <f t="shared" si="14"/>
        <v>415327</v>
      </c>
      <c r="DA66" s="85">
        <f t="shared" si="14"/>
        <v>464656</v>
      </c>
      <c r="DB66" s="85">
        <f t="shared" si="14"/>
        <v>450423</v>
      </c>
      <c r="DC66" s="85">
        <f t="shared" si="14"/>
        <v>404630</v>
      </c>
      <c r="DD66" s="85">
        <f t="shared" si="14"/>
        <v>487310</v>
      </c>
      <c r="DE66" s="85">
        <f t="shared" si="14"/>
        <v>471809</v>
      </c>
      <c r="DF66" s="85">
        <f t="shared" si="14"/>
        <v>427722</v>
      </c>
      <c r="DG66" s="72"/>
      <c r="DH66" s="73" t="s">
        <v>49</v>
      </c>
      <c r="DI66" s="84"/>
      <c r="DJ66" s="84"/>
      <c r="DK66" s="71" t="s">
        <v>36</v>
      </c>
      <c r="DL66" s="72"/>
      <c r="DM66" s="85">
        <f t="shared" ref="DM66:DV66" si="15">DM54-ROUND(AVERAGE($DM$53:$DM$58),0)</f>
        <v>-71</v>
      </c>
      <c r="DN66" s="85">
        <f t="shared" si="15"/>
        <v>794983</v>
      </c>
      <c r="DO66" s="85">
        <f t="shared" si="15"/>
        <v>1892</v>
      </c>
      <c r="DP66" s="85">
        <f t="shared" si="15"/>
        <v>1924</v>
      </c>
      <c r="DQ66" s="85">
        <f t="shared" si="15"/>
        <v>898</v>
      </c>
      <c r="DR66" s="85">
        <f t="shared" si="15"/>
        <v>1381</v>
      </c>
      <c r="DS66" s="85">
        <f t="shared" si="15"/>
        <v>1138</v>
      </c>
      <c r="DT66" s="85">
        <f t="shared" si="15"/>
        <v>1126</v>
      </c>
      <c r="DU66" s="85">
        <f t="shared" si="15"/>
        <v>2650</v>
      </c>
      <c r="DV66" s="85">
        <f t="shared" si="15"/>
        <v>4034</v>
      </c>
      <c r="DW66" s="72"/>
      <c r="DX66" s="73" t="s">
        <v>49</v>
      </c>
      <c r="DY66" s="84"/>
    </row>
    <row r="67" spans="2:129" ht="27" x14ac:dyDescent="0.2">
      <c r="C67" s="6" t="s">
        <v>39</v>
      </c>
      <c r="D67" s="15"/>
      <c r="E67" s="13">
        <f t="shared" si="8"/>
        <v>-494</v>
      </c>
      <c r="F67" s="13">
        <f t="shared" si="8"/>
        <v>772755</v>
      </c>
      <c r="G67" s="13">
        <f t="shared" si="8"/>
        <v>15992</v>
      </c>
      <c r="H67" s="13">
        <f t="shared" si="8"/>
        <v>17385</v>
      </c>
      <c r="I67" s="13">
        <f t="shared" si="8"/>
        <v>17680</v>
      </c>
      <c r="J67" s="13">
        <f t="shared" si="8"/>
        <v>17993</v>
      </c>
      <c r="K67" s="13">
        <f t="shared" si="8"/>
        <v>17449</v>
      </c>
      <c r="L67" s="13">
        <f t="shared" si="8"/>
        <v>14424</v>
      </c>
      <c r="M67" s="13">
        <f t="shared" si="8"/>
        <v>17525</v>
      </c>
      <c r="N67" s="13">
        <f t="shared" si="8"/>
        <v>20081</v>
      </c>
      <c r="O67" s="15"/>
      <c r="P67" s="8" t="s">
        <v>49</v>
      </c>
      <c r="S67" s="6" t="s">
        <v>39</v>
      </c>
      <c r="T67" s="15"/>
      <c r="U67" s="13">
        <f t="shared" si="9"/>
        <v>-127</v>
      </c>
      <c r="V67" s="13">
        <f t="shared" si="9"/>
        <v>773640</v>
      </c>
      <c r="W67" s="13">
        <f t="shared" si="9"/>
        <v>23157</v>
      </c>
      <c r="X67" s="13">
        <f t="shared" si="9"/>
        <v>21715</v>
      </c>
      <c r="Y67" s="13">
        <f t="shared" si="9"/>
        <v>22392</v>
      </c>
      <c r="Z67" s="13">
        <f t="shared" si="9"/>
        <v>21191</v>
      </c>
      <c r="AA67" s="13">
        <f t="shared" si="9"/>
        <v>18510</v>
      </c>
      <c r="AB67" s="13">
        <f t="shared" si="9"/>
        <v>19573</v>
      </c>
      <c r="AC67" s="13">
        <f t="shared" si="9"/>
        <v>21363</v>
      </c>
      <c r="AD67" s="13">
        <f t="shared" si="9"/>
        <v>22023</v>
      </c>
      <c r="AE67" s="15"/>
      <c r="AF67" s="8" t="s">
        <v>49</v>
      </c>
      <c r="AI67" s="6" t="s">
        <v>39</v>
      </c>
      <c r="AJ67" s="15"/>
      <c r="AK67" s="85">
        <f t="shared" si="10"/>
        <v>-360</v>
      </c>
      <c r="AL67" s="85">
        <f t="shared" si="10"/>
        <v>792215</v>
      </c>
      <c r="AM67" s="85">
        <f t="shared" si="10"/>
        <v>62020</v>
      </c>
      <c r="AN67" s="85">
        <f t="shared" si="10"/>
        <v>62171</v>
      </c>
      <c r="AO67" s="85">
        <f t="shared" si="10"/>
        <v>52669</v>
      </c>
      <c r="AP67" s="85">
        <f t="shared" si="10"/>
        <v>48781</v>
      </c>
      <c r="AQ67" s="85">
        <f t="shared" si="10"/>
        <v>48470</v>
      </c>
      <c r="AR67" s="85">
        <f t="shared" si="10"/>
        <v>53509</v>
      </c>
      <c r="AS67" s="85">
        <f t="shared" si="10"/>
        <v>62384</v>
      </c>
      <c r="AT67" s="85">
        <f t="shared" si="10"/>
        <v>61863</v>
      </c>
      <c r="AU67" s="15"/>
      <c r="AV67" s="8" t="s">
        <v>49</v>
      </c>
      <c r="AY67" s="6" t="s">
        <v>39</v>
      </c>
      <c r="AZ67" s="15"/>
      <c r="BA67" s="85">
        <f t="shared" si="11"/>
        <v>19</v>
      </c>
      <c r="BB67" s="85">
        <f t="shared" si="11"/>
        <v>789007</v>
      </c>
      <c r="BC67" s="85">
        <f t="shared" si="11"/>
        <v>29522</v>
      </c>
      <c r="BD67" s="85">
        <f t="shared" si="11"/>
        <v>20844</v>
      </c>
      <c r="BE67" s="85">
        <f t="shared" si="11"/>
        <v>20486</v>
      </c>
      <c r="BF67" s="85">
        <f t="shared" si="11"/>
        <v>22731</v>
      </c>
      <c r="BG67" s="85">
        <f t="shared" si="11"/>
        <v>24693</v>
      </c>
      <c r="BH67" s="85">
        <f t="shared" si="11"/>
        <v>28466</v>
      </c>
      <c r="BI67" s="85">
        <f t="shared" si="11"/>
        <v>21601</v>
      </c>
      <c r="BJ67" s="85">
        <f t="shared" si="11"/>
        <v>22569</v>
      </c>
      <c r="BK67" s="15"/>
      <c r="BL67" s="8" t="s">
        <v>49</v>
      </c>
      <c r="BN67" s="84"/>
      <c r="BO67" s="71" t="s">
        <v>39</v>
      </c>
      <c r="BP67" s="72"/>
      <c r="BQ67" s="85">
        <f t="shared" si="12"/>
        <v>-445</v>
      </c>
      <c r="BR67" s="85">
        <f t="shared" si="12"/>
        <v>814570</v>
      </c>
      <c r="BS67" s="85">
        <f t="shared" si="12"/>
        <v>95505</v>
      </c>
      <c r="BT67" s="85">
        <f t="shared" si="12"/>
        <v>90257</v>
      </c>
      <c r="BU67" s="85">
        <f t="shared" si="12"/>
        <v>76891</v>
      </c>
      <c r="BV67" s="85">
        <f t="shared" si="12"/>
        <v>95729</v>
      </c>
      <c r="BW67" s="85">
        <f t="shared" si="12"/>
        <v>131635</v>
      </c>
      <c r="BX67" s="85">
        <f t="shared" si="12"/>
        <v>110028</v>
      </c>
      <c r="BY67" s="85">
        <f t="shared" si="12"/>
        <v>111754</v>
      </c>
      <c r="BZ67" s="85">
        <f t="shared" si="12"/>
        <v>159306</v>
      </c>
      <c r="CA67" s="72"/>
      <c r="CB67" s="73" t="s">
        <v>49</v>
      </c>
      <c r="CC67" s="84"/>
      <c r="CD67" s="84"/>
      <c r="CE67" s="71" t="s">
        <v>39</v>
      </c>
      <c r="CF67" s="72"/>
      <c r="CG67" s="85">
        <f t="shared" ref="CG67:CP67" si="16">CG55-ROUND(AVERAGE($CG$53:$CG$58),0)</f>
        <v>15</v>
      </c>
      <c r="CH67" s="85">
        <f t="shared" si="16"/>
        <v>804412</v>
      </c>
      <c r="CI67" s="85">
        <f t="shared" si="16"/>
        <v>9520</v>
      </c>
      <c r="CJ67" s="85">
        <f t="shared" si="16"/>
        <v>6109</v>
      </c>
      <c r="CK67" s="85">
        <f t="shared" si="16"/>
        <v>5735</v>
      </c>
      <c r="CL67" s="85">
        <f t="shared" si="16"/>
        <v>5110</v>
      </c>
      <c r="CM67" s="85">
        <f t="shared" si="16"/>
        <v>5764</v>
      </c>
      <c r="CN67" s="85">
        <f t="shared" si="16"/>
        <v>11908</v>
      </c>
      <c r="CO67" s="85">
        <f t="shared" si="16"/>
        <v>14764</v>
      </c>
      <c r="CP67" s="85">
        <f t="shared" si="16"/>
        <v>11000</v>
      </c>
      <c r="CQ67" s="72"/>
      <c r="CR67" s="73" t="s">
        <v>49</v>
      </c>
      <c r="CT67" s="84"/>
      <c r="CU67" s="71" t="s">
        <v>39</v>
      </c>
      <c r="CV67" s="72"/>
      <c r="CW67" s="85">
        <f t="shared" ref="CW67:DF67" si="17">CW55-ROUND(AVERAGE($CW$53:$CW$58),0)</f>
        <v>-159</v>
      </c>
      <c r="CX67" s="85">
        <f t="shared" si="17"/>
        <v>794860</v>
      </c>
      <c r="CY67" s="85">
        <f t="shared" si="17"/>
        <v>179453</v>
      </c>
      <c r="CZ67" s="85">
        <f t="shared" si="17"/>
        <v>231955</v>
      </c>
      <c r="DA67" s="85">
        <f t="shared" si="17"/>
        <v>254841</v>
      </c>
      <c r="DB67" s="85">
        <f t="shared" si="17"/>
        <v>203406</v>
      </c>
      <c r="DC67" s="85">
        <f t="shared" si="17"/>
        <v>253053</v>
      </c>
      <c r="DD67" s="85">
        <f t="shared" si="17"/>
        <v>309617</v>
      </c>
      <c r="DE67" s="85">
        <f t="shared" si="17"/>
        <v>244775</v>
      </c>
      <c r="DF67" s="85">
        <f t="shared" si="17"/>
        <v>355140</v>
      </c>
      <c r="DG67" s="72"/>
      <c r="DH67" s="73" t="s">
        <v>49</v>
      </c>
      <c r="DI67" s="84"/>
      <c r="DJ67" s="84"/>
      <c r="DK67" s="71" t="s">
        <v>39</v>
      </c>
      <c r="DL67" s="72"/>
      <c r="DM67" s="85">
        <f t="shared" ref="DM67:DV67" si="18">DM55-ROUND(AVERAGE($DM$53:$DM$58),0)</f>
        <v>-78</v>
      </c>
      <c r="DN67" s="85">
        <f t="shared" si="18"/>
        <v>791132</v>
      </c>
      <c r="DO67" s="85">
        <f t="shared" si="18"/>
        <v>997</v>
      </c>
      <c r="DP67" s="85">
        <f t="shared" si="18"/>
        <v>1278</v>
      </c>
      <c r="DQ67" s="85">
        <f t="shared" si="18"/>
        <v>1053</v>
      </c>
      <c r="DR67" s="85">
        <f t="shared" si="18"/>
        <v>1068</v>
      </c>
      <c r="DS67" s="85">
        <f t="shared" si="18"/>
        <v>2573</v>
      </c>
      <c r="DT67" s="85">
        <f t="shared" si="18"/>
        <v>2694</v>
      </c>
      <c r="DU67" s="85">
        <f t="shared" si="18"/>
        <v>3339</v>
      </c>
      <c r="DV67" s="85">
        <f t="shared" si="18"/>
        <v>2380</v>
      </c>
      <c r="DW67" s="72"/>
      <c r="DX67" s="73" t="s">
        <v>49</v>
      </c>
      <c r="DY67" s="84"/>
    </row>
    <row r="68" spans="2:129" ht="27" x14ac:dyDescent="0.2">
      <c r="C68" s="6" t="s">
        <v>42</v>
      </c>
      <c r="D68" s="15"/>
      <c r="E68" s="13">
        <f t="shared" si="8"/>
        <v>64</v>
      </c>
      <c r="F68" s="13">
        <f t="shared" si="8"/>
        <v>768320</v>
      </c>
      <c r="G68" s="13">
        <f t="shared" si="8"/>
        <v>14962</v>
      </c>
      <c r="H68" s="13">
        <f t="shared" si="8"/>
        <v>16155</v>
      </c>
      <c r="I68" s="13">
        <f t="shared" si="8"/>
        <v>14729</v>
      </c>
      <c r="J68" s="13">
        <f t="shared" si="8"/>
        <v>17823</v>
      </c>
      <c r="K68" s="13">
        <f t="shared" si="8"/>
        <v>17024</v>
      </c>
      <c r="L68" s="13">
        <f t="shared" si="8"/>
        <v>16491</v>
      </c>
      <c r="M68" s="13">
        <f t="shared" si="8"/>
        <v>19661</v>
      </c>
      <c r="N68" s="13">
        <f t="shared" si="8"/>
        <v>17526</v>
      </c>
      <c r="O68" s="15"/>
      <c r="P68" s="8" t="s">
        <v>49</v>
      </c>
      <c r="S68" s="6" t="s">
        <v>42</v>
      </c>
      <c r="T68" s="15"/>
      <c r="U68" s="13">
        <f t="shared" si="9"/>
        <v>46</v>
      </c>
      <c r="V68" s="13">
        <f t="shared" si="9"/>
        <v>775391</v>
      </c>
      <c r="W68" s="13">
        <f t="shared" si="9"/>
        <v>24873</v>
      </c>
      <c r="X68" s="13">
        <f t="shared" si="9"/>
        <v>23250</v>
      </c>
      <c r="Y68" s="13">
        <f t="shared" si="9"/>
        <v>20735</v>
      </c>
      <c r="Z68" s="13">
        <f t="shared" si="9"/>
        <v>21086</v>
      </c>
      <c r="AA68" s="13">
        <f t="shared" si="9"/>
        <v>19187</v>
      </c>
      <c r="AB68" s="13">
        <f t="shared" si="9"/>
        <v>21918</v>
      </c>
      <c r="AC68" s="13">
        <f t="shared" si="9"/>
        <v>22992</v>
      </c>
      <c r="AD68" s="13">
        <f t="shared" si="9"/>
        <v>23072</v>
      </c>
      <c r="AE68" s="15"/>
      <c r="AF68" s="8" t="s">
        <v>49</v>
      </c>
      <c r="AI68" s="6" t="s">
        <v>42</v>
      </c>
      <c r="AJ68" s="15"/>
      <c r="AK68" s="85">
        <f t="shared" si="10"/>
        <v>233</v>
      </c>
      <c r="AL68" s="85">
        <f t="shared" si="10"/>
        <v>787002</v>
      </c>
      <c r="AM68" s="85">
        <f t="shared" si="10"/>
        <v>44262</v>
      </c>
      <c r="AN68" s="85">
        <f t="shared" si="10"/>
        <v>53072</v>
      </c>
      <c r="AO68" s="85">
        <f t="shared" si="10"/>
        <v>52970</v>
      </c>
      <c r="AP68" s="85">
        <f t="shared" si="10"/>
        <v>40554</v>
      </c>
      <c r="AQ68" s="85">
        <f t="shared" si="10"/>
        <v>45075</v>
      </c>
      <c r="AR68" s="85">
        <f t="shared" si="10"/>
        <v>41453</v>
      </c>
      <c r="AS68" s="85">
        <f t="shared" si="10"/>
        <v>57642</v>
      </c>
      <c r="AT68" s="85">
        <f t="shared" si="10"/>
        <v>53159</v>
      </c>
      <c r="AU68" s="15"/>
      <c r="AV68" s="8" t="s">
        <v>49</v>
      </c>
      <c r="AY68" s="6" t="s">
        <v>42</v>
      </c>
      <c r="AZ68" s="15"/>
      <c r="BA68" s="85">
        <f t="shared" si="11"/>
        <v>-182</v>
      </c>
      <c r="BB68" s="85">
        <f t="shared" si="11"/>
        <v>794167</v>
      </c>
      <c r="BC68" s="85">
        <f t="shared" si="11"/>
        <v>23627</v>
      </c>
      <c r="BD68" s="85">
        <f t="shared" si="11"/>
        <v>24883</v>
      </c>
      <c r="BE68" s="85">
        <f t="shared" si="11"/>
        <v>20736</v>
      </c>
      <c r="BF68" s="85">
        <f t="shared" si="11"/>
        <v>21575</v>
      </c>
      <c r="BG68" s="85">
        <f t="shared" si="11"/>
        <v>22569</v>
      </c>
      <c r="BH68" s="85">
        <f t="shared" si="11"/>
        <v>23255</v>
      </c>
      <c r="BI68" s="85">
        <f t="shared" si="11"/>
        <v>21611</v>
      </c>
      <c r="BJ68" s="85">
        <f t="shared" si="11"/>
        <v>27837</v>
      </c>
      <c r="BK68" s="15"/>
      <c r="BL68" s="8" t="s">
        <v>49</v>
      </c>
      <c r="BN68" s="84"/>
      <c r="BO68" s="71" t="s">
        <v>42</v>
      </c>
      <c r="BP68" s="72"/>
      <c r="BQ68" s="85">
        <f t="shared" si="12"/>
        <v>111</v>
      </c>
      <c r="BR68" s="85">
        <f t="shared" si="12"/>
        <v>806372</v>
      </c>
      <c r="BS68" s="85">
        <f t="shared" si="12"/>
        <v>60149</v>
      </c>
      <c r="BT68" s="85">
        <f t="shared" si="12"/>
        <v>42971</v>
      </c>
      <c r="BU68" s="85">
        <f t="shared" si="12"/>
        <v>46976</v>
      </c>
      <c r="BV68" s="85">
        <f t="shared" si="12"/>
        <v>45896</v>
      </c>
      <c r="BW68" s="85">
        <f t="shared" si="12"/>
        <v>69844</v>
      </c>
      <c r="BX68" s="85">
        <f t="shared" si="12"/>
        <v>56391</v>
      </c>
      <c r="BY68" s="85">
        <f t="shared" si="12"/>
        <v>43731</v>
      </c>
      <c r="BZ68" s="85">
        <f t="shared" si="12"/>
        <v>68798</v>
      </c>
      <c r="CA68" s="72"/>
      <c r="CB68" s="73" t="s">
        <v>49</v>
      </c>
      <c r="CC68" s="84"/>
      <c r="CD68" s="84"/>
      <c r="CE68" s="71" t="s">
        <v>42</v>
      </c>
      <c r="CF68" s="72"/>
      <c r="CG68" s="85">
        <f t="shared" ref="CG68:CP68" si="19">CG56-ROUND(AVERAGE($CG$53:$CG$58),0)</f>
        <v>272</v>
      </c>
      <c r="CH68" s="85">
        <f t="shared" si="19"/>
        <v>801474</v>
      </c>
      <c r="CI68" s="85">
        <f t="shared" si="19"/>
        <v>5533</v>
      </c>
      <c r="CJ68" s="85">
        <f t="shared" si="19"/>
        <v>6368</v>
      </c>
      <c r="CK68" s="85">
        <f t="shared" si="19"/>
        <v>5339</v>
      </c>
      <c r="CL68" s="85">
        <f t="shared" si="19"/>
        <v>5787</v>
      </c>
      <c r="CM68" s="85">
        <f t="shared" si="19"/>
        <v>3588</v>
      </c>
      <c r="CN68" s="85">
        <f t="shared" si="19"/>
        <v>5425</v>
      </c>
      <c r="CO68" s="85">
        <f t="shared" si="19"/>
        <v>6569</v>
      </c>
      <c r="CP68" s="85">
        <f t="shared" si="19"/>
        <v>12361</v>
      </c>
      <c r="CQ68" s="72"/>
      <c r="CR68" s="73" t="s">
        <v>49</v>
      </c>
      <c r="CT68" s="84"/>
      <c r="CU68" s="71" t="s">
        <v>42</v>
      </c>
      <c r="CV68" s="72"/>
      <c r="CW68" s="85">
        <f t="shared" ref="CW68:DF68" si="20">CW56-ROUND(AVERAGE($CW$53:$CW$58),0)</f>
        <v>-460</v>
      </c>
      <c r="CX68" s="85">
        <f t="shared" si="20"/>
        <v>795304</v>
      </c>
      <c r="CY68" s="85">
        <f t="shared" si="20"/>
        <v>73721</v>
      </c>
      <c r="CZ68" s="85">
        <f t="shared" si="20"/>
        <v>69137</v>
      </c>
      <c r="DA68" s="85">
        <f t="shared" si="20"/>
        <v>70004</v>
      </c>
      <c r="DB68" s="85">
        <f t="shared" si="20"/>
        <v>88801</v>
      </c>
      <c r="DC68" s="85">
        <f t="shared" si="20"/>
        <v>90906</v>
      </c>
      <c r="DD68" s="85">
        <f t="shared" si="20"/>
        <v>114767</v>
      </c>
      <c r="DE68" s="85">
        <f t="shared" si="20"/>
        <v>109647</v>
      </c>
      <c r="DF68" s="85">
        <f t="shared" si="20"/>
        <v>120024</v>
      </c>
      <c r="DG68" s="72"/>
      <c r="DH68" s="73" t="s">
        <v>49</v>
      </c>
      <c r="DI68" s="84"/>
      <c r="DJ68" s="84"/>
      <c r="DK68" s="71" t="s">
        <v>42</v>
      </c>
      <c r="DL68" s="72"/>
      <c r="DM68" s="85">
        <f t="shared" ref="DM68:DV68" si="21">DM56-ROUND(AVERAGE($DM$53:$DM$58),0)</f>
        <v>157</v>
      </c>
      <c r="DN68" s="85">
        <f t="shared" si="21"/>
        <v>796569</v>
      </c>
      <c r="DO68" s="85">
        <f t="shared" si="21"/>
        <v>1136</v>
      </c>
      <c r="DP68" s="85">
        <f t="shared" si="21"/>
        <v>1328</v>
      </c>
      <c r="DQ68" s="85">
        <f t="shared" si="21"/>
        <v>1384</v>
      </c>
      <c r="DR68" s="85">
        <f t="shared" si="21"/>
        <v>1714</v>
      </c>
      <c r="DS68" s="85">
        <f t="shared" si="21"/>
        <v>1438</v>
      </c>
      <c r="DT68" s="85">
        <f t="shared" si="21"/>
        <v>1045</v>
      </c>
      <c r="DU68" s="85">
        <f t="shared" si="21"/>
        <v>1474</v>
      </c>
      <c r="DV68" s="85">
        <f t="shared" si="21"/>
        <v>1857</v>
      </c>
      <c r="DW68" s="72"/>
      <c r="DX68" s="73" t="s">
        <v>49</v>
      </c>
      <c r="DY68" s="84"/>
    </row>
    <row r="69" spans="2:129" ht="27" x14ac:dyDescent="0.2">
      <c r="C69" s="6" t="s">
        <v>43</v>
      </c>
      <c r="D69" s="15"/>
      <c r="E69" s="13">
        <f t="shared" si="8"/>
        <v>-99</v>
      </c>
      <c r="F69" s="13">
        <f t="shared" si="8"/>
        <v>770132</v>
      </c>
      <c r="G69" s="13">
        <f t="shared" si="8"/>
        <v>14877</v>
      </c>
      <c r="H69" s="13">
        <f t="shared" si="8"/>
        <v>15646</v>
      </c>
      <c r="I69" s="13">
        <f t="shared" si="8"/>
        <v>15505</v>
      </c>
      <c r="J69" s="13">
        <f t="shared" si="8"/>
        <v>15433</v>
      </c>
      <c r="K69" s="13">
        <f t="shared" si="8"/>
        <v>14988</v>
      </c>
      <c r="L69" s="13">
        <f t="shared" si="8"/>
        <v>15693</v>
      </c>
      <c r="M69" s="13">
        <f t="shared" si="8"/>
        <v>15339</v>
      </c>
      <c r="N69" s="13">
        <f t="shared" si="8"/>
        <v>17312</v>
      </c>
      <c r="O69" s="15"/>
      <c r="P69" s="8" t="s">
        <v>49</v>
      </c>
      <c r="S69" s="6" t="s">
        <v>43</v>
      </c>
      <c r="T69" s="15"/>
      <c r="U69" s="13">
        <f t="shared" si="9"/>
        <v>-106</v>
      </c>
      <c r="V69" s="13">
        <f t="shared" si="9"/>
        <v>768189</v>
      </c>
      <c r="W69" s="13">
        <f t="shared" si="9"/>
        <v>21565</v>
      </c>
      <c r="X69" s="13">
        <f t="shared" si="9"/>
        <v>22825</v>
      </c>
      <c r="Y69" s="13">
        <f t="shared" si="9"/>
        <v>19537</v>
      </c>
      <c r="Z69" s="13">
        <f t="shared" si="9"/>
        <v>23183</v>
      </c>
      <c r="AA69" s="13">
        <f t="shared" si="9"/>
        <v>23870</v>
      </c>
      <c r="AB69" s="13">
        <f t="shared" si="9"/>
        <v>22356</v>
      </c>
      <c r="AC69" s="13">
        <f t="shared" si="9"/>
        <v>20775</v>
      </c>
      <c r="AD69" s="13">
        <f t="shared" si="9"/>
        <v>21191</v>
      </c>
      <c r="AE69" s="15"/>
      <c r="AF69" s="8" t="s">
        <v>49</v>
      </c>
      <c r="AI69" s="6" t="s">
        <v>43</v>
      </c>
      <c r="AJ69" s="15"/>
      <c r="AK69" s="85">
        <f t="shared" si="10"/>
        <v>132</v>
      </c>
      <c r="AL69" s="85">
        <f t="shared" si="10"/>
        <v>794965</v>
      </c>
      <c r="AM69" s="85">
        <f t="shared" si="10"/>
        <v>25356</v>
      </c>
      <c r="AN69" s="85">
        <f t="shared" si="10"/>
        <v>21498</v>
      </c>
      <c r="AO69" s="85">
        <f t="shared" si="10"/>
        <v>38553</v>
      </c>
      <c r="AP69" s="85">
        <f t="shared" si="10"/>
        <v>27294</v>
      </c>
      <c r="AQ69" s="85">
        <f t="shared" si="10"/>
        <v>33044</v>
      </c>
      <c r="AR69" s="85">
        <f t="shared" si="10"/>
        <v>33173</v>
      </c>
      <c r="AS69" s="85">
        <f t="shared" si="10"/>
        <v>29618</v>
      </c>
      <c r="AT69" s="85">
        <f t="shared" si="10"/>
        <v>33387</v>
      </c>
      <c r="AU69" s="15"/>
      <c r="AV69" s="8" t="s">
        <v>49</v>
      </c>
      <c r="AY69" s="6" t="s">
        <v>43</v>
      </c>
      <c r="AZ69" s="15"/>
      <c r="BA69" s="85">
        <f t="shared" si="11"/>
        <v>-456</v>
      </c>
      <c r="BB69" s="85">
        <f t="shared" si="11"/>
        <v>792322</v>
      </c>
      <c r="BC69" s="85">
        <f t="shared" si="11"/>
        <v>16288</v>
      </c>
      <c r="BD69" s="85">
        <f t="shared" si="11"/>
        <v>21976</v>
      </c>
      <c r="BE69" s="85">
        <f t="shared" si="11"/>
        <v>18871</v>
      </c>
      <c r="BF69" s="85">
        <f t="shared" si="11"/>
        <v>20889</v>
      </c>
      <c r="BG69" s="85">
        <f t="shared" si="11"/>
        <v>18806</v>
      </c>
      <c r="BH69" s="85">
        <f t="shared" si="11"/>
        <v>19157</v>
      </c>
      <c r="BI69" s="85">
        <f t="shared" si="11"/>
        <v>19419</v>
      </c>
      <c r="BJ69" s="85">
        <f t="shared" si="11"/>
        <v>20459</v>
      </c>
      <c r="BK69" s="15"/>
      <c r="BL69" s="8" t="s">
        <v>49</v>
      </c>
      <c r="BN69" s="84"/>
      <c r="BO69" s="71" t="s">
        <v>43</v>
      </c>
      <c r="BP69" s="72"/>
      <c r="BQ69" s="85">
        <f t="shared" si="12"/>
        <v>142</v>
      </c>
      <c r="BR69" s="85">
        <f t="shared" si="12"/>
        <v>816102</v>
      </c>
      <c r="BS69" s="85">
        <f t="shared" si="12"/>
        <v>13967</v>
      </c>
      <c r="BT69" s="85">
        <f t="shared" si="12"/>
        <v>22899</v>
      </c>
      <c r="BU69" s="85">
        <f t="shared" si="12"/>
        <v>44691</v>
      </c>
      <c r="BV69" s="85">
        <f t="shared" si="12"/>
        <v>34095</v>
      </c>
      <c r="BW69" s="85">
        <f t="shared" si="12"/>
        <v>33978</v>
      </c>
      <c r="BX69" s="85">
        <f t="shared" si="12"/>
        <v>41693</v>
      </c>
      <c r="BY69" s="85">
        <f t="shared" si="12"/>
        <v>38688</v>
      </c>
      <c r="BZ69" s="85">
        <f t="shared" si="12"/>
        <v>42976</v>
      </c>
      <c r="CA69" s="72"/>
      <c r="CB69" s="73" t="s">
        <v>49</v>
      </c>
      <c r="CC69" s="84"/>
      <c r="CD69" s="84"/>
      <c r="CE69" s="71" t="s">
        <v>43</v>
      </c>
      <c r="CF69" s="72"/>
      <c r="CG69" s="85">
        <f t="shared" ref="CG69:CP69" si="22">CG57-ROUND(AVERAGE($CG$53:$CG$58),0)</f>
        <v>614</v>
      </c>
      <c r="CH69" s="85">
        <f t="shared" si="22"/>
        <v>804901</v>
      </c>
      <c r="CI69" s="85">
        <f t="shared" si="22"/>
        <v>2709</v>
      </c>
      <c r="CJ69" s="85">
        <f t="shared" si="22"/>
        <v>4424</v>
      </c>
      <c r="CK69" s="85">
        <f t="shared" si="22"/>
        <v>4422</v>
      </c>
      <c r="CL69" s="85">
        <f t="shared" si="22"/>
        <v>7561</v>
      </c>
      <c r="CM69" s="85">
        <f t="shared" si="22"/>
        <v>6799</v>
      </c>
      <c r="CN69" s="85">
        <f t="shared" si="22"/>
        <v>7872</v>
      </c>
      <c r="CO69" s="85">
        <f t="shared" si="22"/>
        <v>8181</v>
      </c>
      <c r="CP69" s="85">
        <f t="shared" si="22"/>
        <v>9594</v>
      </c>
      <c r="CQ69" s="72"/>
      <c r="CR69" s="73" t="s">
        <v>49</v>
      </c>
      <c r="CT69" s="84"/>
      <c r="CU69" s="71" t="s">
        <v>43</v>
      </c>
      <c r="CV69" s="72"/>
      <c r="CW69" s="85">
        <f t="shared" ref="CW69:DF70" si="23">CW57-ROUND(AVERAGE($CW$53:$CW$58),0)</f>
        <v>382</v>
      </c>
      <c r="CX69" s="85">
        <f t="shared" si="23"/>
        <v>797768</v>
      </c>
      <c r="CY69" s="85">
        <f t="shared" si="23"/>
        <v>18760</v>
      </c>
      <c r="CZ69" s="85">
        <f t="shared" si="23"/>
        <v>13307</v>
      </c>
      <c r="DA69" s="85">
        <f t="shared" si="23"/>
        <v>22755</v>
      </c>
      <c r="DB69" s="85">
        <f t="shared" si="23"/>
        <v>19379</v>
      </c>
      <c r="DC69" s="85">
        <f t="shared" si="23"/>
        <v>18992</v>
      </c>
      <c r="DD69" s="85">
        <f t="shared" si="23"/>
        <v>21545</v>
      </c>
      <c r="DE69" s="85">
        <f t="shared" si="23"/>
        <v>21664</v>
      </c>
      <c r="DF69" s="85">
        <f t="shared" si="23"/>
        <v>21744</v>
      </c>
      <c r="DG69" s="72"/>
      <c r="DH69" s="73" t="s">
        <v>49</v>
      </c>
      <c r="DI69" s="84"/>
      <c r="DJ69" s="84"/>
      <c r="DK69" s="71" t="s">
        <v>43</v>
      </c>
      <c r="DL69" s="72"/>
      <c r="DM69" s="85">
        <f t="shared" ref="DM69:DV69" si="24">DM57-ROUND(AVERAGE($DM$53:$DM$58),0)</f>
        <v>-58</v>
      </c>
      <c r="DN69" s="85">
        <f t="shared" si="24"/>
        <v>798527</v>
      </c>
      <c r="DO69" s="85">
        <f t="shared" si="24"/>
        <v>1234</v>
      </c>
      <c r="DP69" s="85">
        <f t="shared" si="24"/>
        <v>1021</v>
      </c>
      <c r="DQ69" s="85">
        <f t="shared" si="24"/>
        <v>1447</v>
      </c>
      <c r="DR69" s="85">
        <f t="shared" si="24"/>
        <v>1535</v>
      </c>
      <c r="DS69" s="85">
        <f t="shared" si="24"/>
        <v>2159</v>
      </c>
      <c r="DT69" s="85">
        <f t="shared" si="24"/>
        <v>1518</v>
      </c>
      <c r="DU69" s="85">
        <f t="shared" si="24"/>
        <v>2989</v>
      </c>
      <c r="DV69" s="85">
        <f t="shared" si="24"/>
        <v>3285</v>
      </c>
      <c r="DW69" s="72"/>
      <c r="DX69" s="73" t="s">
        <v>49</v>
      </c>
      <c r="DY69" s="84"/>
    </row>
    <row r="70" spans="2:129" ht="27" x14ac:dyDescent="0.2">
      <c r="C70" s="6" t="s">
        <v>44</v>
      </c>
      <c r="D70" s="15"/>
      <c r="E70" s="13">
        <f>E58-ROUND(AVERAGE($E$53:$E$58),0)</f>
        <v>33</v>
      </c>
      <c r="F70" s="13">
        <f t="shared" ref="F70:N70" si="25">F58-ROUND(AVERAGE($E$53:$E$58),0)</f>
        <v>776717</v>
      </c>
      <c r="G70" s="13">
        <f t="shared" si="25"/>
        <v>13541</v>
      </c>
      <c r="H70" s="13">
        <f t="shared" si="25"/>
        <v>14293</v>
      </c>
      <c r="I70" s="13">
        <f t="shared" si="25"/>
        <v>14652</v>
      </c>
      <c r="J70" s="13">
        <f t="shared" si="25"/>
        <v>16153</v>
      </c>
      <c r="K70" s="13">
        <f t="shared" si="25"/>
        <v>14174</v>
      </c>
      <c r="L70" s="13">
        <f t="shared" si="25"/>
        <v>15318</v>
      </c>
      <c r="M70" s="13">
        <f t="shared" si="25"/>
        <v>15191</v>
      </c>
      <c r="N70" s="13">
        <f t="shared" si="25"/>
        <v>17482</v>
      </c>
      <c r="O70" s="15"/>
      <c r="P70" s="8" t="s">
        <v>49</v>
      </c>
      <c r="S70" s="6" t="s">
        <v>44</v>
      </c>
      <c r="T70" s="15"/>
      <c r="U70" s="13">
        <f t="shared" si="9"/>
        <v>39</v>
      </c>
      <c r="V70" s="13">
        <f t="shared" si="9"/>
        <v>768747</v>
      </c>
      <c r="W70" s="13">
        <f t="shared" si="9"/>
        <v>22369</v>
      </c>
      <c r="X70" s="13">
        <f t="shared" si="9"/>
        <v>21313</v>
      </c>
      <c r="Y70" s="13">
        <f t="shared" si="9"/>
        <v>21021</v>
      </c>
      <c r="Z70" s="13">
        <f t="shared" si="9"/>
        <v>19061</v>
      </c>
      <c r="AA70" s="13">
        <f t="shared" si="9"/>
        <v>21008</v>
      </c>
      <c r="AB70" s="13">
        <f t="shared" si="9"/>
        <v>20131</v>
      </c>
      <c r="AC70" s="13">
        <f t="shared" si="9"/>
        <v>20532</v>
      </c>
      <c r="AD70" s="13">
        <f t="shared" si="9"/>
        <v>19942</v>
      </c>
      <c r="AE70" s="15"/>
      <c r="AF70" s="8" t="s">
        <v>49</v>
      </c>
      <c r="AI70" s="6" t="s">
        <v>44</v>
      </c>
      <c r="AJ70" s="15"/>
      <c r="AK70" s="85">
        <f t="shared" si="10"/>
        <v>-62</v>
      </c>
      <c r="AL70" s="85">
        <f t="shared" si="10"/>
        <v>833430</v>
      </c>
      <c r="AM70" s="85">
        <f t="shared" si="10"/>
        <v>23901</v>
      </c>
      <c r="AN70" s="85">
        <f t="shared" si="10"/>
        <v>30623</v>
      </c>
      <c r="AO70" s="85">
        <f t="shared" si="10"/>
        <v>29613</v>
      </c>
      <c r="AP70" s="85">
        <f t="shared" si="10"/>
        <v>30301</v>
      </c>
      <c r="AQ70" s="85">
        <f t="shared" si="10"/>
        <v>24268</v>
      </c>
      <c r="AR70" s="85">
        <f t="shared" si="10"/>
        <v>28433</v>
      </c>
      <c r="AS70" s="85">
        <f t="shared" si="10"/>
        <v>27599</v>
      </c>
      <c r="AT70" s="85">
        <f t="shared" si="10"/>
        <v>26376</v>
      </c>
      <c r="AU70" s="15"/>
      <c r="AV70" s="8" t="s">
        <v>49</v>
      </c>
      <c r="AY70" s="6" t="s">
        <v>44</v>
      </c>
      <c r="AZ70" s="15"/>
      <c r="BA70" s="85">
        <f t="shared" si="11"/>
        <v>204</v>
      </c>
      <c r="BB70" s="85">
        <f t="shared" si="11"/>
        <v>785064</v>
      </c>
      <c r="BC70" s="85">
        <f t="shared" si="11"/>
        <v>14041</v>
      </c>
      <c r="BD70" s="85">
        <f t="shared" si="11"/>
        <v>22021</v>
      </c>
      <c r="BE70" s="85">
        <f t="shared" si="11"/>
        <v>18872</v>
      </c>
      <c r="BF70" s="85">
        <f t="shared" si="11"/>
        <v>14924</v>
      </c>
      <c r="BG70" s="85">
        <f t="shared" si="11"/>
        <v>18963</v>
      </c>
      <c r="BH70" s="85">
        <f t="shared" si="11"/>
        <v>19726</v>
      </c>
      <c r="BI70" s="85">
        <f t="shared" si="11"/>
        <v>13353</v>
      </c>
      <c r="BJ70" s="85">
        <f t="shared" si="11"/>
        <v>16979</v>
      </c>
      <c r="BK70" s="15"/>
      <c r="BL70" s="8" t="s">
        <v>49</v>
      </c>
      <c r="BN70" s="84"/>
      <c r="BO70" s="71" t="s">
        <v>44</v>
      </c>
      <c r="BP70" s="72"/>
      <c r="BQ70" s="85">
        <f t="shared" si="12"/>
        <v>-62</v>
      </c>
      <c r="BR70" s="85">
        <f t="shared" si="12"/>
        <v>820575</v>
      </c>
      <c r="BS70" s="85">
        <f t="shared" si="12"/>
        <v>23337</v>
      </c>
      <c r="BT70" s="85">
        <f t="shared" si="12"/>
        <v>20627</v>
      </c>
      <c r="BU70" s="85">
        <f t="shared" si="12"/>
        <v>29514</v>
      </c>
      <c r="BV70" s="85">
        <f t="shared" si="12"/>
        <v>18681</v>
      </c>
      <c r="BW70" s="85">
        <f t="shared" si="12"/>
        <v>27851</v>
      </c>
      <c r="BX70" s="85">
        <f t="shared" si="12"/>
        <v>28258</v>
      </c>
      <c r="BY70" s="85">
        <f t="shared" si="12"/>
        <v>35729</v>
      </c>
      <c r="BZ70" s="85">
        <f t="shared" si="12"/>
        <v>25570</v>
      </c>
      <c r="CA70" s="72"/>
      <c r="CB70" s="73" t="s">
        <v>49</v>
      </c>
      <c r="CC70" s="84"/>
      <c r="CD70" s="84"/>
      <c r="CE70" s="71" t="s">
        <v>44</v>
      </c>
      <c r="CF70" s="72"/>
      <c r="CG70" s="85">
        <f t="shared" ref="CG70:CP70" si="26">CG58-ROUND(AVERAGE($CG$53:$CG$58),0)</f>
        <v>-802</v>
      </c>
      <c r="CH70" s="85">
        <f t="shared" si="26"/>
        <v>798553</v>
      </c>
      <c r="CI70" s="85">
        <f t="shared" si="26"/>
        <v>5896</v>
      </c>
      <c r="CJ70" s="85">
        <f t="shared" si="26"/>
        <v>10573</v>
      </c>
      <c r="CK70" s="85">
        <f t="shared" si="26"/>
        <v>5984</v>
      </c>
      <c r="CL70" s="85">
        <f t="shared" si="26"/>
        <v>9414</v>
      </c>
      <c r="CM70" s="85">
        <f t="shared" si="26"/>
        <v>10030</v>
      </c>
      <c r="CN70" s="85">
        <f t="shared" si="26"/>
        <v>10403</v>
      </c>
      <c r="CO70" s="85">
        <f t="shared" si="26"/>
        <v>12835</v>
      </c>
      <c r="CP70" s="85">
        <f t="shared" si="26"/>
        <v>17902</v>
      </c>
      <c r="CQ70" s="72"/>
      <c r="CR70" s="73" t="s">
        <v>49</v>
      </c>
      <c r="CT70" s="84"/>
      <c r="CU70" s="71" t="s">
        <v>44</v>
      </c>
      <c r="CV70" s="72"/>
      <c r="CW70" s="85">
        <f>CW58-ROUND(AVERAGE($CW$53:$CW$58),0)</f>
        <v>54</v>
      </c>
      <c r="CX70" s="85">
        <f t="shared" si="23"/>
        <v>797337</v>
      </c>
      <c r="CY70" s="85">
        <f t="shared" si="23"/>
        <v>5133</v>
      </c>
      <c r="CZ70" s="85">
        <f t="shared" si="23"/>
        <v>9538</v>
      </c>
      <c r="DA70" s="85">
        <f t="shared" si="23"/>
        <v>8454</v>
      </c>
      <c r="DB70" s="85">
        <f t="shared" si="23"/>
        <v>9179</v>
      </c>
      <c r="DC70" s="85">
        <f t="shared" si="23"/>
        <v>10307</v>
      </c>
      <c r="DD70" s="85">
        <f t="shared" si="23"/>
        <v>10161</v>
      </c>
      <c r="DE70" s="85">
        <f t="shared" si="23"/>
        <v>10764</v>
      </c>
      <c r="DF70" s="85">
        <f t="shared" si="23"/>
        <v>12534</v>
      </c>
      <c r="DG70" s="72"/>
      <c r="DH70" s="73" t="s">
        <v>49</v>
      </c>
      <c r="DI70" s="84"/>
      <c r="DJ70" s="84"/>
      <c r="DK70" s="71" t="s">
        <v>44</v>
      </c>
      <c r="DL70" s="72"/>
      <c r="DM70" s="85">
        <f t="shared" ref="DM70:DV70" si="27">DM58-ROUND(AVERAGE($DM$53:$DM$58),0)</f>
        <v>-209</v>
      </c>
      <c r="DN70" s="85">
        <f t="shared" si="27"/>
        <v>793074</v>
      </c>
      <c r="DO70" s="85">
        <f t="shared" si="27"/>
        <v>2111</v>
      </c>
      <c r="DP70" s="85">
        <f t="shared" si="27"/>
        <v>2678</v>
      </c>
      <c r="DQ70" s="85">
        <f t="shared" si="27"/>
        <v>3090</v>
      </c>
      <c r="DR70" s="85">
        <f t="shared" si="27"/>
        <v>2668</v>
      </c>
      <c r="DS70" s="85">
        <f t="shared" si="27"/>
        <v>2853</v>
      </c>
      <c r="DT70" s="85">
        <f t="shared" si="27"/>
        <v>2857</v>
      </c>
      <c r="DU70" s="85">
        <f t="shared" si="27"/>
        <v>3277</v>
      </c>
      <c r="DV70" s="85">
        <f t="shared" si="27"/>
        <v>4238</v>
      </c>
      <c r="DW70" s="72"/>
      <c r="DX70" s="73" t="s">
        <v>49</v>
      </c>
      <c r="DY70" s="84"/>
    </row>
    <row r="71" spans="2:129" ht="27" x14ac:dyDescent="0.2">
      <c r="C71" s="6" t="s">
        <v>45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8" t="s">
        <v>49</v>
      </c>
      <c r="S71" s="6" t="s">
        <v>45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8" t="s">
        <v>49</v>
      </c>
      <c r="AI71" s="6" t="s">
        <v>45</v>
      </c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8" t="s">
        <v>49</v>
      </c>
      <c r="AY71" s="6" t="s">
        <v>45</v>
      </c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8" t="s">
        <v>49</v>
      </c>
      <c r="BN71" s="84"/>
      <c r="BO71" s="71" t="s">
        <v>45</v>
      </c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3" t="s">
        <v>49</v>
      </c>
      <c r="CC71" s="84"/>
      <c r="CD71" s="84"/>
      <c r="CE71" s="71" t="s">
        <v>45</v>
      </c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2"/>
      <c r="CR71" s="73" t="s">
        <v>49</v>
      </c>
      <c r="CT71" s="84"/>
      <c r="CU71" s="71" t="s">
        <v>45</v>
      </c>
      <c r="CV71" s="72"/>
      <c r="CW71" s="72"/>
      <c r="CX71" s="72"/>
      <c r="CY71" s="72"/>
      <c r="CZ71" s="72"/>
      <c r="DA71" s="72"/>
      <c r="DB71" s="72"/>
      <c r="DC71" s="72"/>
      <c r="DD71" s="72"/>
      <c r="DE71" s="72"/>
      <c r="DF71" s="72"/>
      <c r="DG71" s="72"/>
      <c r="DH71" s="73" t="s">
        <v>49</v>
      </c>
      <c r="DI71" s="84"/>
      <c r="DJ71" s="84"/>
      <c r="DK71" s="71" t="s">
        <v>45</v>
      </c>
      <c r="DL71" s="72"/>
      <c r="DM71" s="72"/>
      <c r="DN71" s="72"/>
      <c r="DO71" s="72"/>
      <c r="DP71" s="72"/>
      <c r="DQ71" s="72"/>
      <c r="DR71" s="72"/>
      <c r="DS71" s="72"/>
      <c r="DT71" s="72"/>
      <c r="DU71" s="72"/>
      <c r="DV71" s="72"/>
      <c r="DW71" s="72"/>
      <c r="DX71" s="73" t="s">
        <v>49</v>
      </c>
      <c r="DY71" s="84"/>
    </row>
    <row r="72" spans="2:129" x14ac:dyDescent="0.2"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</row>
    <row r="73" spans="2:129" x14ac:dyDescent="0.2"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</row>
    <row r="74" spans="2:129" x14ac:dyDescent="0.2">
      <c r="C74">
        <v>0</v>
      </c>
      <c r="D74" t="s">
        <v>78</v>
      </c>
      <c r="E74" t="s">
        <v>79</v>
      </c>
      <c r="F74" t="s">
        <v>80</v>
      </c>
      <c r="G74" t="s">
        <v>81</v>
      </c>
      <c r="H74" t="s">
        <v>82</v>
      </c>
      <c r="I74" t="s">
        <v>64</v>
      </c>
      <c r="S74" t="s">
        <v>83</v>
      </c>
      <c r="T74" t="s">
        <v>84</v>
      </c>
      <c r="U74" t="s">
        <v>85</v>
      </c>
      <c r="V74">
        <v>1</v>
      </c>
      <c r="W74">
        <v>2</v>
      </c>
      <c r="X74">
        <v>5</v>
      </c>
      <c r="Y74" t="s">
        <v>64</v>
      </c>
      <c r="AI74">
        <v>0</v>
      </c>
      <c r="AJ74" t="s">
        <v>78</v>
      </c>
      <c r="AK74" t="s">
        <v>79</v>
      </c>
      <c r="AL74" t="s">
        <v>80</v>
      </c>
      <c r="AM74" t="s">
        <v>81</v>
      </c>
      <c r="AN74" t="s">
        <v>82</v>
      </c>
      <c r="AO74" t="s">
        <v>64</v>
      </c>
      <c r="AY74" t="s">
        <v>83</v>
      </c>
      <c r="AZ74" t="s">
        <v>84</v>
      </c>
      <c r="BA74" t="s">
        <v>85</v>
      </c>
      <c r="BB74">
        <v>1</v>
      </c>
      <c r="BC74">
        <v>2</v>
      </c>
      <c r="BD74">
        <v>5</v>
      </c>
      <c r="BE74" t="s">
        <v>64</v>
      </c>
      <c r="BN74" s="84"/>
      <c r="BO74" s="84">
        <v>0</v>
      </c>
      <c r="BP74" s="84" t="s">
        <v>78</v>
      </c>
      <c r="BQ74" s="84" t="s">
        <v>79</v>
      </c>
      <c r="BR74" s="84" t="s">
        <v>80</v>
      </c>
      <c r="BS74" s="84" t="s">
        <v>81</v>
      </c>
      <c r="BT74" s="84" t="s">
        <v>82</v>
      </c>
      <c r="BU74" s="84" t="s">
        <v>64</v>
      </c>
      <c r="BV74" s="84"/>
      <c r="BW74" s="84"/>
      <c r="BX74" s="84"/>
      <c r="BY74" s="84"/>
      <c r="BZ74" s="84"/>
      <c r="CA74" s="84"/>
      <c r="CB74" s="84"/>
      <c r="CC74" s="84"/>
      <c r="CD74" s="84"/>
      <c r="CE74" s="84" t="s">
        <v>83</v>
      </c>
      <c r="CF74" s="84" t="s">
        <v>84</v>
      </c>
      <c r="CG74" s="84" t="s">
        <v>85</v>
      </c>
      <c r="CH74" s="84">
        <v>1</v>
      </c>
      <c r="CI74" s="84">
        <v>2</v>
      </c>
      <c r="CJ74" s="84">
        <v>5</v>
      </c>
      <c r="CK74" s="84" t="s">
        <v>64</v>
      </c>
      <c r="CL74" s="84"/>
      <c r="CM74" s="84"/>
      <c r="CN74" s="84"/>
      <c r="CO74" s="84"/>
      <c r="CP74" s="84"/>
      <c r="CQ74" s="84"/>
      <c r="CR74" s="84"/>
      <c r="CT74" s="84"/>
      <c r="CU74" s="84">
        <v>0</v>
      </c>
      <c r="CV74" s="84" t="s">
        <v>78</v>
      </c>
      <c r="CW74" s="84" t="s">
        <v>79</v>
      </c>
      <c r="CX74" s="84" t="s">
        <v>80</v>
      </c>
      <c r="CY74" s="84" t="s">
        <v>81</v>
      </c>
      <c r="CZ74" s="84" t="s">
        <v>82</v>
      </c>
      <c r="DA74" s="84" t="s">
        <v>64</v>
      </c>
      <c r="DB74" s="84"/>
      <c r="DC74" s="84"/>
      <c r="DD74" s="84"/>
      <c r="DE74" s="84"/>
      <c r="DF74" s="84"/>
      <c r="DG74" s="84"/>
      <c r="DH74" s="84"/>
      <c r="DI74" s="84"/>
      <c r="DJ74" s="84"/>
      <c r="DK74" s="84" t="s">
        <v>83</v>
      </c>
      <c r="DL74" s="84" t="s">
        <v>84</v>
      </c>
      <c r="DM74" s="84" t="s">
        <v>85</v>
      </c>
      <c r="DN74" s="84">
        <v>1</v>
      </c>
      <c r="DO74" s="84">
        <v>2</v>
      </c>
      <c r="DP74" s="84">
        <v>5</v>
      </c>
      <c r="DQ74" s="84" t="s">
        <v>64</v>
      </c>
      <c r="DR74" s="84"/>
      <c r="DS74" s="84"/>
      <c r="DT74" s="84"/>
      <c r="DU74" s="84"/>
      <c r="DV74" s="84"/>
      <c r="DW74" s="84"/>
      <c r="DX74" s="84"/>
      <c r="DY74" s="84"/>
    </row>
    <row r="75" spans="2:129" x14ac:dyDescent="0.2">
      <c r="B75" t="s">
        <v>57</v>
      </c>
      <c r="C75">
        <f xml:space="preserve"> ROUND(AVERAGE(G65:N65),0)</f>
        <v>14945</v>
      </c>
      <c r="D75">
        <f xml:space="preserve"> ROUND(AVERAGE(G66:N66),0)</f>
        <v>16611</v>
      </c>
      <c r="E75">
        <f xml:space="preserve"> ROUND(AVERAGE(G67:N67),0)</f>
        <v>17316</v>
      </c>
      <c r="F75">
        <f xml:space="preserve"> ROUND(AVERAGE(G68:N68),0)</f>
        <v>16796</v>
      </c>
      <c r="G75">
        <f xml:space="preserve"> ROUND(AVERAGE(G69:N69),0)</f>
        <v>15599</v>
      </c>
      <c r="H75">
        <f xml:space="preserve"> ROUND(AVERAGE(G70:N70),0)</f>
        <v>15101</v>
      </c>
      <c r="I75">
        <f xml:space="preserve"> ROUND(AVERAGE(F65:F70),0)</f>
        <v>769732</v>
      </c>
      <c r="R75" t="s">
        <v>57</v>
      </c>
      <c r="S75">
        <f xml:space="preserve"> ROUND(AVERAGE(W65:AD65),0)</f>
        <v>19738</v>
      </c>
      <c r="T75">
        <f xml:space="preserve"> ROUND(AVERAGE(W66:AD66),0)</f>
        <v>21160</v>
      </c>
      <c r="U75">
        <f xml:space="preserve"> ROUND(AVERAGE(W67:AD67),0)</f>
        <v>21241</v>
      </c>
      <c r="V75">
        <f xml:space="preserve"> ROUND(AVERAGE(W68:AD68),0)</f>
        <v>22139</v>
      </c>
      <c r="W75">
        <f xml:space="preserve"> ROUND(AVERAGE(W69:AD69),0)</f>
        <v>21913</v>
      </c>
      <c r="X75">
        <f xml:space="preserve"> ROUND(AVERAGE(W70:AD70),0)</f>
        <v>20672</v>
      </c>
      <c r="Y75">
        <f xml:space="preserve"> ROUND(AVERAGE(V65:V70),0)</f>
        <v>771788</v>
      </c>
      <c r="AH75" t="s">
        <v>57</v>
      </c>
      <c r="AI75">
        <f xml:space="preserve"> ROUND(AVERAGE(AM65:AT65),0)</f>
        <v>52826</v>
      </c>
      <c r="AJ75">
        <f xml:space="preserve"> ROUND(AVERAGE(AM66:AT66),0)</f>
        <v>52853</v>
      </c>
      <c r="AK75">
        <f xml:space="preserve"> ROUND(AVERAGE(AM67:AT67),0)</f>
        <v>56483</v>
      </c>
      <c r="AL75">
        <f xml:space="preserve"> ROUND(AVERAGE(AM68:AT68),0)</f>
        <v>48523</v>
      </c>
      <c r="AM75">
        <f xml:space="preserve"> ROUND(AVERAGE(AM69:AT69),0)</f>
        <v>30240</v>
      </c>
      <c r="AN75">
        <f xml:space="preserve"> ROUND(AVERAGE(AM70:AT70),0)</f>
        <v>27639</v>
      </c>
      <c r="AO75">
        <f xml:space="preserve"> ROUND(AVERAGE(AL65:AL70),0)</f>
        <v>798383</v>
      </c>
      <c r="AX75" t="s">
        <v>57</v>
      </c>
      <c r="AY75">
        <f xml:space="preserve"> ROUND(AVERAGE(BC65:BJ65),0)</f>
        <v>31154</v>
      </c>
      <c r="AZ75">
        <f xml:space="preserve"> ROUND(AVERAGE(BC66:BJ66),0)</f>
        <v>29888</v>
      </c>
      <c r="BA75">
        <f xml:space="preserve"> ROUND(AVERAGE(BC67:BJ67),0)</f>
        <v>23864</v>
      </c>
      <c r="BB75">
        <f xml:space="preserve"> ROUND(AVERAGE(BC68:BJ68),0)</f>
        <v>23262</v>
      </c>
      <c r="BC75">
        <f xml:space="preserve"> ROUND(AVERAGE(BC69:BJ69),0)</f>
        <v>19483</v>
      </c>
      <c r="BD75">
        <f xml:space="preserve"> ROUND(AVERAGE(BC70:BJ70),0)</f>
        <v>17360</v>
      </c>
      <c r="BE75">
        <f xml:space="preserve"> ROUND(AVERAGE(BB65:BB70),0)</f>
        <v>793490</v>
      </c>
      <c r="BN75" s="84" t="s">
        <v>57</v>
      </c>
      <c r="BO75" s="84">
        <f xml:space="preserve"> ROUND(AVERAGE(BS65:BZ65),0)</f>
        <v>254018</v>
      </c>
      <c r="BP75" s="84">
        <f xml:space="preserve"> ROUND(AVERAGE(BS66:BZ66),0)</f>
        <v>183527</v>
      </c>
      <c r="BQ75" s="84">
        <f xml:space="preserve"> ROUND(AVERAGE(BS67:BZ67),0)</f>
        <v>108888</v>
      </c>
      <c r="BR75" s="84">
        <f xml:space="preserve"> ROUND(AVERAGE(BS68:BZ68),0)</f>
        <v>54345</v>
      </c>
      <c r="BS75" s="84">
        <f xml:space="preserve"> ROUND(AVERAGE(BS69:BZ69),0)</f>
        <v>34123</v>
      </c>
      <c r="BT75" s="84">
        <f xml:space="preserve"> ROUND(AVERAGE(BS70:BZ70),0)</f>
        <v>26196</v>
      </c>
      <c r="BU75" s="84">
        <f xml:space="preserve"> ROUND(AVERAGE(BR65:BR70),0)</f>
        <v>816410</v>
      </c>
      <c r="BV75" s="84"/>
      <c r="BW75" s="84"/>
      <c r="BX75" s="84"/>
      <c r="BY75" s="84"/>
      <c r="BZ75" s="84"/>
      <c r="CA75" s="84"/>
      <c r="CB75" s="84"/>
      <c r="CC75" s="84"/>
      <c r="CD75" s="84" t="s">
        <v>57</v>
      </c>
      <c r="CE75" s="84">
        <f xml:space="preserve"> ROUND(AVERAGE(CI65:CP65),0)</f>
        <v>11717</v>
      </c>
      <c r="CF75" s="84">
        <f xml:space="preserve"> ROUND(AVERAGE(CI66:CP66),0)</f>
        <v>12623</v>
      </c>
      <c r="CG75" s="84">
        <f xml:space="preserve"> ROUND(AVERAGE(CI67:CP67),0)</f>
        <v>8739</v>
      </c>
      <c r="CH75" s="84">
        <f xml:space="preserve"> ROUND(AVERAGE(CI68:CP68),0)</f>
        <v>6371</v>
      </c>
      <c r="CI75" s="84">
        <f xml:space="preserve"> ROUND(AVERAGE(CI69:CP69),0)</f>
        <v>6445</v>
      </c>
      <c r="CJ75" s="84">
        <f xml:space="preserve"> ROUND(AVERAGE(CI70:CP70),0)</f>
        <v>10380</v>
      </c>
      <c r="CK75" s="84">
        <f xml:space="preserve"> ROUND(AVERAGE(CH65:CH70),0)</f>
        <v>802610</v>
      </c>
      <c r="CL75" s="84"/>
      <c r="CM75" s="84"/>
      <c r="CN75" s="84"/>
      <c r="CO75" s="84"/>
      <c r="CP75" s="84"/>
      <c r="CQ75" s="84"/>
      <c r="CR75" s="84"/>
      <c r="CT75" s="84" t="s">
        <v>57</v>
      </c>
      <c r="CU75" s="84">
        <f xml:space="preserve"> ROUND(AVERAGE(CY65:DF65),0)</f>
        <v>528148</v>
      </c>
      <c r="CV75" s="84">
        <f xml:space="preserve"> ROUND(AVERAGE(CY66:DF66),0)</f>
        <v>439219</v>
      </c>
      <c r="CW75" s="84">
        <f xml:space="preserve"> ROUND(AVERAGE(CY67:DF67),0)</f>
        <v>254030</v>
      </c>
      <c r="CX75" s="84">
        <f xml:space="preserve"> ROUND(AVERAGE(CY68:DF68),0)</f>
        <v>92126</v>
      </c>
      <c r="CY75" s="84">
        <f xml:space="preserve"> ROUND(AVERAGE(CY69:DF69),0)</f>
        <v>19768</v>
      </c>
      <c r="CZ75" s="84">
        <f xml:space="preserve"> ROUND(AVERAGE(CY70:DF70),0)</f>
        <v>9509</v>
      </c>
      <c r="DA75" s="84">
        <f xml:space="preserve"> ROUND(AVERAGE(CX65:CX70),0)</f>
        <v>794047</v>
      </c>
      <c r="DB75" s="84"/>
      <c r="DC75" s="84"/>
      <c r="DD75" s="84"/>
      <c r="DE75" s="84"/>
      <c r="DF75" s="84"/>
      <c r="DG75" s="84"/>
      <c r="DH75" s="84"/>
      <c r="DI75" s="84"/>
      <c r="DJ75" s="84" t="s">
        <v>57</v>
      </c>
      <c r="DK75" s="84">
        <f xml:space="preserve"> ROUND(AVERAGE(DO65:DV65),0)</f>
        <v>5357</v>
      </c>
      <c r="DL75" s="84">
        <f xml:space="preserve"> ROUND(AVERAGE(DO66:DV66),0)</f>
        <v>1880</v>
      </c>
      <c r="DM75" s="84">
        <f xml:space="preserve"> ROUND(AVERAGE(DO67:DV67),0)</f>
        <v>1923</v>
      </c>
      <c r="DN75" s="84">
        <f xml:space="preserve"> ROUND(AVERAGE(DO68:DV68),0)</f>
        <v>1422</v>
      </c>
      <c r="DO75" s="84">
        <f xml:space="preserve"> ROUND(AVERAGE(DO69:DV69),0)</f>
        <v>1899</v>
      </c>
      <c r="DP75" s="84">
        <f xml:space="preserve"> ROUND(AVERAGE(DO70:DV70),0)</f>
        <v>2972</v>
      </c>
      <c r="DQ75" s="84">
        <f xml:space="preserve"> ROUND(AVERAGE(DN65:DN70),0)</f>
        <v>795372</v>
      </c>
      <c r="DR75" s="84"/>
      <c r="DS75" s="84"/>
      <c r="DT75" s="84"/>
      <c r="DU75" s="84"/>
      <c r="DV75" s="84"/>
      <c r="DW75" s="84"/>
      <c r="DX75" s="84"/>
      <c r="DY75" s="84"/>
    </row>
    <row r="76" spans="2:129" x14ac:dyDescent="0.2">
      <c r="B76" t="s">
        <v>56</v>
      </c>
      <c r="C76">
        <f>ROUND(_xlfn.STDEV.P(G65:N65),0)</f>
        <v>1157</v>
      </c>
      <c r="D76">
        <f>ROUND(_xlfn.STDEV.P(G66:N66),0)</f>
        <v>899</v>
      </c>
      <c r="E76">
        <f>ROUND(_xlfn.STDEV.P(G67:N67),0)</f>
        <v>1517</v>
      </c>
      <c r="F76">
        <f>ROUND(_xlfn.STDEV.P(G68:N68),0)</f>
        <v>1499</v>
      </c>
      <c r="G76">
        <f>ROUND(_xlfn.STDEV.P(G69:N69),0)</f>
        <v>702</v>
      </c>
      <c r="H76">
        <f>ROUND(_xlfn.STDEV.P(G70:N70),0)</f>
        <v>1171</v>
      </c>
      <c r="I76">
        <f>ROUND(_xlfn.STDEV.P(F65:F70),0)</f>
        <v>4795</v>
      </c>
      <c r="R76" t="s">
        <v>56</v>
      </c>
      <c r="S76">
        <f>ROUND(_xlfn.STDEV.P(W65:AD65),0)</f>
        <v>1593</v>
      </c>
      <c r="T76">
        <f>ROUND(_xlfn.STDEV.P(W66:AD66),0)</f>
        <v>1027</v>
      </c>
      <c r="U76">
        <f>ROUND(_xlfn.STDEV.P(W67:AD67),0)</f>
        <v>1418</v>
      </c>
      <c r="V76">
        <f>ROUND(_xlfn.STDEV.P(W68:AD68),0)</f>
        <v>1664</v>
      </c>
      <c r="W76">
        <f>ROUND(_xlfn.STDEV.P(W69:AD69),0)</f>
        <v>1325</v>
      </c>
      <c r="X76">
        <f>ROUND(_xlfn.STDEV.P(W70:AD70),0)</f>
        <v>933</v>
      </c>
      <c r="Y76">
        <f>ROUND(_xlfn.STDEV.P(V65:V70),0)</f>
        <v>2801</v>
      </c>
      <c r="AH76" t="s">
        <v>56</v>
      </c>
      <c r="AI76">
        <f>ROUND(_xlfn.STDEV.P(AM65:AT65),0)</f>
        <v>12259</v>
      </c>
      <c r="AJ76">
        <f>ROUND(_xlfn.STDEV.P(AM66:AT66),0)</f>
        <v>6456</v>
      </c>
      <c r="AK76">
        <f>ROUND(_xlfn.STDEV.P(AM67:AT67),0)</f>
        <v>5849</v>
      </c>
      <c r="AL76">
        <f>ROUND(_xlfn.STDEV.P(AM68:AT68),0)</f>
        <v>6007</v>
      </c>
      <c r="AM76">
        <f>ROUND(_xlfn.STDEV.P(AM69:AT69),0)</f>
        <v>5060</v>
      </c>
      <c r="AN76">
        <f>ROUND(_xlfn.STDEV.P(AM70:AT70),0)</f>
        <v>2435</v>
      </c>
      <c r="AO76">
        <f>ROUND(_xlfn.STDEV.P(AL65:AL70),0)</f>
        <v>15853</v>
      </c>
      <c r="AX76" t="s">
        <v>56</v>
      </c>
      <c r="AY76">
        <f>ROUND(_xlfn.STDEV.P(BC65:BJ65),0)</f>
        <v>3714</v>
      </c>
      <c r="AZ76">
        <f>ROUND(_xlfn.STDEV.P(BC66:BJ66),0)</f>
        <v>6717</v>
      </c>
      <c r="BA76">
        <f>ROUND(_xlfn.STDEV.P(BC67:BJ67),0)</f>
        <v>3211</v>
      </c>
      <c r="BB76">
        <f>ROUND(_xlfn.STDEV.P(BC68:BJ68),0)</f>
        <v>2125</v>
      </c>
      <c r="BC76">
        <f>ROUND(_xlfn.STDEV.P(BC69:BJ69),0)</f>
        <v>1593</v>
      </c>
      <c r="BD76">
        <f>ROUND(_xlfn.STDEV.P(BC70:BJ70),0)</f>
        <v>2858</v>
      </c>
      <c r="BE76">
        <f>ROUND(_xlfn.STDEV.P(BB65:BB70),0)</f>
        <v>5715</v>
      </c>
      <c r="BN76" s="84" t="s">
        <v>56</v>
      </c>
      <c r="BO76" s="84">
        <f>ROUND(_xlfn.STDEV.P(BS65:BZ65),0)</f>
        <v>60174</v>
      </c>
      <c r="BP76" s="84">
        <f>ROUND(_xlfn.STDEV.P(BS66:BZ66),0)</f>
        <v>26886</v>
      </c>
      <c r="BQ76" s="84">
        <f>ROUND(_xlfn.STDEV.P(BS67:BZ67),0)</f>
        <v>24475</v>
      </c>
      <c r="BR76" s="84">
        <f>ROUND(_xlfn.STDEV.P(BS68:BZ68),0)</f>
        <v>10336</v>
      </c>
      <c r="BS76" s="84">
        <f>ROUND(_xlfn.STDEV.P(BS69:BZ69),0)</f>
        <v>10003</v>
      </c>
      <c r="BT76" s="84">
        <f>ROUND(_xlfn.STDEV.P(BS70:BZ70),0)</f>
        <v>5061</v>
      </c>
      <c r="BU76" s="84">
        <f>ROUND(_xlfn.STDEV.P(BR65:BR70),0)</f>
        <v>5854</v>
      </c>
      <c r="BV76" s="84"/>
      <c r="BW76" s="84"/>
      <c r="BX76" s="84"/>
      <c r="BY76" s="84"/>
      <c r="BZ76" s="84"/>
      <c r="CA76" s="84"/>
      <c r="CB76" s="84"/>
      <c r="CC76" s="84"/>
      <c r="CD76" s="84" t="s">
        <v>56</v>
      </c>
      <c r="CE76" s="84">
        <f>ROUND(_xlfn.STDEV.P(CI65:CP65),0)</f>
        <v>3651</v>
      </c>
      <c r="CF76" s="84">
        <f>ROUND(_xlfn.STDEV.P(CI66:CP66),0)</f>
        <v>2756</v>
      </c>
      <c r="CG76" s="84">
        <f>ROUND(_xlfn.STDEV.P(CI67:CP67),0)</f>
        <v>3355</v>
      </c>
      <c r="CH76" s="84">
        <f>ROUND(_xlfn.STDEV.P(CI68:CP68),0)</f>
        <v>2415</v>
      </c>
      <c r="CI76" s="84">
        <f>ROUND(_xlfn.STDEV.P(CI69:CP69),0)</f>
        <v>2193</v>
      </c>
      <c r="CJ76" s="84">
        <f>ROUND(_xlfn.STDEV.P(CI70:CP70),0)</f>
        <v>3590</v>
      </c>
      <c r="CK76" s="84">
        <f>ROUND(_xlfn.STDEV.P(CH65:CH70),0)</f>
        <v>3468</v>
      </c>
      <c r="CL76" s="84"/>
      <c r="CM76" s="84"/>
      <c r="CN76" s="84"/>
      <c r="CO76" s="84"/>
      <c r="CP76" s="84"/>
      <c r="CQ76" s="84"/>
      <c r="CR76" s="84"/>
      <c r="CT76" s="84" t="s">
        <v>56</v>
      </c>
      <c r="CU76" s="84">
        <f>ROUND(_xlfn.STDEV.P(CY65:DF65),0)</f>
        <v>61015</v>
      </c>
      <c r="CV76" s="84">
        <f>ROUND(_xlfn.STDEV.P(CY66:DF66),0)</f>
        <v>32188</v>
      </c>
      <c r="CW76" s="84">
        <f>ROUND(_xlfn.STDEV.P(CY67:DF67),0)</f>
        <v>52455</v>
      </c>
      <c r="CX76" s="84">
        <f>ROUND(_xlfn.STDEV.P(CY68:DF68),0)</f>
        <v>19258</v>
      </c>
      <c r="CY76" s="84">
        <f>ROUND(_xlfn.STDEV.P(CY69:DF69),0)</f>
        <v>2808</v>
      </c>
      <c r="CZ76" s="84">
        <f>ROUND(_xlfn.STDEV.P(CY70:DF70),0)</f>
        <v>2005</v>
      </c>
      <c r="DA76" s="84">
        <f>ROUND(_xlfn.STDEV.P(CX65:CX70),0)</f>
        <v>3647</v>
      </c>
      <c r="DB76" s="84"/>
      <c r="DC76" s="84"/>
      <c r="DD76" s="84"/>
      <c r="DE76" s="84"/>
      <c r="DF76" s="84"/>
      <c r="DG76" s="84"/>
      <c r="DH76" s="84"/>
      <c r="DI76" s="84"/>
      <c r="DJ76" s="84" t="s">
        <v>56</v>
      </c>
      <c r="DK76" s="84">
        <f>ROUND(_xlfn.STDEV.P(DO65:DV65),0)</f>
        <v>2928</v>
      </c>
      <c r="DL76" s="84">
        <f>ROUND(_xlfn.STDEV.P(DO66:DV66),0)</f>
        <v>973</v>
      </c>
      <c r="DM76" s="84">
        <f>ROUND(_xlfn.STDEV.P(DO67:DV67),0)</f>
        <v>865</v>
      </c>
      <c r="DN76" s="84">
        <f>ROUND(_xlfn.STDEV.P(DO68:DV68),0)</f>
        <v>253</v>
      </c>
      <c r="DO76" s="84">
        <f>ROUND(_xlfn.STDEV.P(DO69:DV69),0)</f>
        <v>780</v>
      </c>
      <c r="DP76" s="84">
        <f>ROUND(_xlfn.STDEV.P(DO70:DV70),0)</f>
        <v>576</v>
      </c>
      <c r="DQ76" s="84">
        <f>ROUND(_xlfn.STDEV.P(DN65:DN70),0)</f>
        <v>2628</v>
      </c>
      <c r="DR76" s="84"/>
      <c r="DS76" s="84"/>
      <c r="DT76" s="84"/>
      <c r="DU76" s="84"/>
      <c r="DV76" s="84"/>
      <c r="DW76" s="84"/>
      <c r="DX76" s="84"/>
      <c r="DY76" s="84"/>
    </row>
    <row r="77" spans="2:129" x14ac:dyDescent="0.2"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</row>
    <row r="78" spans="2:129" x14ac:dyDescent="0.2">
      <c r="L78" t="s">
        <v>73</v>
      </c>
      <c r="M78">
        <v>0</v>
      </c>
      <c r="N78">
        <v>2.5000000000000001E-2</v>
      </c>
      <c r="O78">
        <v>0.05</v>
      </c>
      <c r="P78">
        <v>0.1</v>
      </c>
      <c r="Q78">
        <v>0.2</v>
      </c>
      <c r="R78">
        <v>0.3</v>
      </c>
      <c r="S78">
        <v>0.4</v>
      </c>
      <c r="T78">
        <v>0.6</v>
      </c>
      <c r="U78">
        <v>0.8</v>
      </c>
      <c r="V78">
        <v>1</v>
      </c>
      <c r="W78">
        <v>2</v>
      </c>
      <c r="X78">
        <v>5</v>
      </c>
      <c r="AR78" t="s">
        <v>73</v>
      </c>
      <c r="AS78">
        <v>0</v>
      </c>
      <c r="AT78">
        <v>2.5000000000000001E-2</v>
      </c>
      <c r="AU78">
        <v>0.05</v>
      </c>
      <c r="AV78">
        <v>0.1</v>
      </c>
      <c r="AW78">
        <v>0.2</v>
      </c>
      <c r="AX78">
        <v>0.3</v>
      </c>
      <c r="AY78">
        <v>0.4</v>
      </c>
      <c r="AZ78">
        <v>0.6</v>
      </c>
      <c r="BA78">
        <v>0.8</v>
      </c>
      <c r="BB78">
        <v>1</v>
      </c>
      <c r="BC78">
        <v>2</v>
      </c>
      <c r="BD78">
        <v>5</v>
      </c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 t="s">
        <v>73</v>
      </c>
      <c r="BY78" s="84">
        <v>0</v>
      </c>
      <c r="BZ78" s="84">
        <v>2.5000000000000001E-2</v>
      </c>
      <c r="CA78" s="84">
        <v>0.05</v>
      </c>
      <c r="CB78" s="84">
        <v>0.1</v>
      </c>
      <c r="CC78" s="84">
        <v>0.2</v>
      </c>
      <c r="CD78" s="84">
        <v>0.3</v>
      </c>
      <c r="CE78" s="84">
        <v>0.4</v>
      </c>
      <c r="CF78" s="84">
        <v>0.6</v>
      </c>
      <c r="CG78" s="84">
        <v>0.8</v>
      </c>
      <c r="CH78" s="84">
        <v>1</v>
      </c>
      <c r="CI78" s="84">
        <v>2</v>
      </c>
      <c r="CJ78" s="84">
        <v>5</v>
      </c>
      <c r="CK78" s="84"/>
      <c r="CL78" s="84"/>
      <c r="CM78" s="84"/>
      <c r="CN78" s="84"/>
      <c r="CO78" s="84"/>
      <c r="CP78" s="84"/>
      <c r="CQ78" s="84"/>
      <c r="CR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 t="s">
        <v>73</v>
      </c>
      <c r="DE78" s="84">
        <v>0</v>
      </c>
      <c r="DF78" s="84">
        <v>2.5000000000000001E-2</v>
      </c>
      <c r="DG78" s="84">
        <v>0.05</v>
      </c>
      <c r="DH78" s="84">
        <v>0.1</v>
      </c>
      <c r="DI78" s="84">
        <v>0.2</v>
      </c>
      <c r="DJ78" s="84">
        <v>0.3</v>
      </c>
      <c r="DK78" s="84">
        <v>0.4</v>
      </c>
      <c r="DL78" s="84">
        <v>0.6</v>
      </c>
      <c r="DM78" s="84">
        <v>0.8</v>
      </c>
      <c r="DN78" s="84">
        <v>1</v>
      </c>
      <c r="DO78" s="84">
        <v>2</v>
      </c>
      <c r="DP78" s="84">
        <v>5</v>
      </c>
      <c r="DQ78" s="84"/>
      <c r="DR78" s="84"/>
      <c r="DS78" s="84"/>
      <c r="DT78" s="84"/>
      <c r="DU78" s="84"/>
      <c r="DV78" s="84"/>
      <c r="DW78" s="84"/>
      <c r="DX78" s="84"/>
      <c r="DY78" s="84"/>
    </row>
    <row r="79" spans="2:129" x14ac:dyDescent="0.2">
      <c r="L79" t="s">
        <v>57</v>
      </c>
      <c r="M79">
        <f t="shared" ref="M79:R80" si="28">C75/$I$75</f>
        <v>1.9415848633030718E-2</v>
      </c>
      <c r="N79">
        <f t="shared" si="28"/>
        <v>2.1580238316712831E-2</v>
      </c>
      <c r="O79">
        <f t="shared" si="28"/>
        <v>2.2496141514189355E-2</v>
      </c>
      <c r="P79">
        <f t="shared" si="28"/>
        <v>2.1820581708958443E-2</v>
      </c>
      <c r="Q79">
        <f t="shared" si="28"/>
        <v>2.0265495003455748E-2</v>
      </c>
      <c r="R79">
        <f t="shared" si="28"/>
        <v>1.9618516574599992E-2</v>
      </c>
      <c r="S79">
        <f>S75/$Y$75</f>
        <v>2.5574380529368168E-2</v>
      </c>
      <c r="T79">
        <f t="shared" ref="T79:X79" si="29">T75/$Y$75</f>
        <v>2.7416855405888663E-2</v>
      </c>
      <c r="U79">
        <f t="shared" si="29"/>
        <v>2.7521806506449958E-2</v>
      </c>
      <c r="V79">
        <f t="shared" si="29"/>
        <v>2.8685338460820848E-2</v>
      </c>
      <c r="W79">
        <f t="shared" si="29"/>
        <v>2.839251193332884E-2</v>
      </c>
      <c r="X79">
        <f t="shared" si="29"/>
        <v>2.6784557417321855E-2</v>
      </c>
      <c r="AR79" t="s">
        <v>57</v>
      </c>
      <c r="AS79">
        <f>AI75/$AO$75</f>
        <v>6.6166238509587499E-2</v>
      </c>
      <c r="AT79" s="84">
        <f t="shared" ref="AT79:AX79" si="30">AJ75/$AO$75</f>
        <v>6.6200056864938253E-2</v>
      </c>
      <c r="AU79" s="84">
        <f t="shared" si="30"/>
        <v>7.0746746862095006E-2</v>
      </c>
      <c r="AV79" s="84">
        <f t="shared" si="30"/>
        <v>6.0776594692021249E-2</v>
      </c>
      <c r="AW79" s="84">
        <f t="shared" si="30"/>
        <v>3.7876557992843035E-2</v>
      </c>
      <c r="AX79" s="84">
        <f t="shared" si="30"/>
        <v>3.4618723094053859E-2</v>
      </c>
      <c r="AY79">
        <f>AY75/$BE$75</f>
        <v>3.9261994480081663E-2</v>
      </c>
      <c r="AZ79" s="84">
        <f t="shared" ref="AZ79:BD79" si="31">AZ75/$BE$75</f>
        <v>3.7666511235176246E-2</v>
      </c>
      <c r="BA79" s="84">
        <f t="shared" si="31"/>
        <v>3.0074733140934354E-2</v>
      </c>
      <c r="BB79" s="84">
        <f t="shared" si="31"/>
        <v>2.9316059433641257E-2</v>
      </c>
      <c r="BC79" s="84">
        <f t="shared" si="31"/>
        <v>2.455355455015186E-2</v>
      </c>
      <c r="BD79" s="84">
        <f t="shared" si="31"/>
        <v>2.1878032489382349E-2</v>
      </c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 t="s">
        <v>57</v>
      </c>
      <c r="BY79" s="84">
        <f>BO75/$BU$75</f>
        <v>0.31114023591087814</v>
      </c>
      <c r="BZ79" s="84">
        <f t="shared" ref="BZ79:CD79" si="32">BP75/$BU$75</f>
        <v>0.2247975894464791</v>
      </c>
      <c r="CA79" s="84">
        <f t="shared" si="32"/>
        <v>0.13337416249188522</v>
      </c>
      <c r="CB79" s="84">
        <f t="shared" si="32"/>
        <v>6.6565818645043545E-2</v>
      </c>
      <c r="CC79" s="84">
        <f t="shared" si="32"/>
        <v>4.1796401317965241E-2</v>
      </c>
      <c r="CD79" s="84">
        <f t="shared" si="32"/>
        <v>3.2086819122744699E-2</v>
      </c>
      <c r="CE79" s="84">
        <f>CE75/$CK$75</f>
        <v>1.4598621995738902E-2</v>
      </c>
      <c r="CF79" s="84">
        <f t="shared" ref="CF79:CJ79" si="33">CF75/$CK$75</f>
        <v>1.5727439229513713E-2</v>
      </c>
      <c r="CG79" s="84">
        <f t="shared" si="33"/>
        <v>1.0888227158894108E-2</v>
      </c>
      <c r="CH79" s="84">
        <f t="shared" si="33"/>
        <v>7.9378527553855549E-3</v>
      </c>
      <c r="CI79" s="84">
        <f t="shared" si="33"/>
        <v>8.0300519554951967E-3</v>
      </c>
      <c r="CJ79" s="84">
        <f t="shared" si="33"/>
        <v>1.2932806718082257E-2</v>
      </c>
      <c r="CK79" s="84"/>
      <c r="CL79" s="84"/>
      <c r="CM79" s="84"/>
      <c r="CN79" s="84"/>
      <c r="CO79" s="84"/>
      <c r="CP79" s="84"/>
      <c r="CQ79" s="84"/>
      <c r="CR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 t="s">
        <v>57</v>
      </c>
      <c r="DE79" s="84">
        <f>CU75/$DA$75</f>
        <v>0.66513443158906216</v>
      </c>
      <c r="DF79" s="84">
        <f t="shared" ref="DF79:DJ79" si="34">CV75/$DA$75</f>
        <v>0.55313980154827103</v>
      </c>
      <c r="DG79" s="84">
        <f t="shared" si="34"/>
        <v>0.31991809049086517</v>
      </c>
      <c r="DH79" s="84">
        <f t="shared" si="34"/>
        <v>0.11602084007621716</v>
      </c>
      <c r="DI79" s="84">
        <f t="shared" si="34"/>
        <v>2.4895251792400198E-2</v>
      </c>
      <c r="DJ79" s="84">
        <f t="shared" si="34"/>
        <v>1.1975361659952119E-2</v>
      </c>
      <c r="DK79" s="84">
        <f>DK75/$DQ$75</f>
        <v>6.7352132084106554E-3</v>
      </c>
      <c r="DL79" s="84">
        <f t="shared" ref="DL79:DP79" si="35">DL75/$DQ$75</f>
        <v>2.3636738532409993E-3</v>
      </c>
      <c r="DM79" s="84">
        <f t="shared" si="35"/>
        <v>2.4177366062672562E-3</v>
      </c>
      <c r="DN79" s="84">
        <f t="shared" si="35"/>
        <v>1.7878426698450535E-3</v>
      </c>
      <c r="DO79" s="84">
        <f t="shared" si="35"/>
        <v>2.3875620464386474E-3</v>
      </c>
      <c r="DP79" s="84">
        <f t="shared" si="35"/>
        <v>3.7366163254426862E-3</v>
      </c>
      <c r="DQ79" s="84"/>
      <c r="DR79" s="84"/>
      <c r="DS79" s="84"/>
      <c r="DT79" s="84"/>
      <c r="DU79" s="84"/>
      <c r="DV79" s="84"/>
      <c r="DW79" s="84"/>
      <c r="DX79" s="84"/>
      <c r="DY79" s="84"/>
    </row>
    <row r="80" spans="2:129" x14ac:dyDescent="0.2">
      <c r="L80" t="s">
        <v>56</v>
      </c>
      <c r="M80">
        <f t="shared" si="28"/>
        <v>1.5031205666387782E-3</v>
      </c>
      <c r="N80">
        <f t="shared" si="28"/>
        <v>1.1679389709665182E-3</v>
      </c>
      <c r="O80">
        <f t="shared" si="28"/>
        <v>1.9708158164140248E-3</v>
      </c>
      <c r="P80">
        <f t="shared" si="28"/>
        <v>1.9474310539252624E-3</v>
      </c>
      <c r="Q80">
        <f t="shared" si="28"/>
        <v>9.1200573706173057E-4</v>
      </c>
      <c r="R80">
        <f t="shared" si="28"/>
        <v>1.5213087152411489E-3</v>
      </c>
      <c r="S80">
        <f>S76/$Y$75</f>
        <v>2.0640383110387826E-3</v>
      </c>
      <c r="T80">
        <f t="shared" ref="T80:X80" si="36">T76/$Y$75</f>
        <v>1.3306762997092466E-3</v>
      </c>
      <c r="U80">
        <f t="shared" si="36"/>
        <v>1.8372921061224066E-3</v>
      </c>
      <c r="V80">
        <f t="shared" si="36"/>
        <v>2.1560324856048554E-3</v>
      </c>
      <c r="W80">
        <f t="shared" si="36"/>
        <v>1.7167926943668468E-3</v>
      </c>
      <c r="X80">
        <f t="shared" si="36"/>
        <v>1.2088811953541647E-3</v>
      </c>
      <c r="AR80" t="s">
        <v>56</v>
      </c>
      <c r="AS80" s="84">
        <f>AI76/$AO$75</f>
        <v>1.5354785860921387E-2</v>
      </c>
      <c r="AT80" s="84">
        <f t="shared" ref="AT80:AX80" si="37">AJ76/$AO$75</f>
        <v>8.0863445238688707E-3</v>
      </c>
      <c r="AU80" s="84">
        <f t="shared" si="37"/>
        <v>7.3260577943167629E-3</v>
      </c>
      <c r="AV80" s="84">
        <f t="shared" si="37"/>
        <v>7.5239577997026491E-3</v>
      </c>
      <c r="AW80" s="84">
        <f t="shared" si="37"/>
        <v>6.3378102990669892E-3</v>
      </c>
      <c r="AX80" s="84">
        <f t="shared" si="37"/>
        <v>3.0499146399660315E-3</v>
      </c>
      <c r="AY80" s="84">
        <f>AY76/$BE$75</f>
        <v>4.6805882871869837E-3</v>
      </c>
      <c r="AZ80" s="84">
        <f t="shared" ref="AZ80:BD80" si="38">AZ76/$BE$75</f>
        <v>8.4651350363583663E-3</v>
      </c>
      <c r="BA80" s="84">
        <f t="shared" si="38"/>
        <v>4.0466798573390965E-3</v>
      </c>
      <c r="BB80" s="84">
        <f t="shared" si="38"/>
        <v>2.6780425714249705E-3</v>
      </c>
      <c r="BC80" s="84">
        <f t="shared" si="38"/>
        <v>2.0075867370729309E-3</v>
      </c>
      <c r="BD80" s="84">
        <f t="shared" si="38"/>
        <v>3.6018097266506195E-3</v>
      </c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 t="s">
        <v>56</v>
      </c>
      <c r="BY80" s="84">
        <f>BO76/$BU$75</f>
        <v>7.3705613601009301E-2</v>
      </c>
      <c r="BZ80" s="84">
        <f t="shared" ref="BZ80:CD80" si="39">BP76/$BU$75</f>
        <v>3.2931982704768437E-2</v>
      </c>
      <c r="CA80" s="84">
        <f t="shared" si="39"/>
        <v>2.997880966671158E-2</v>
      </c>
      <c r="CB80" s="84">
        <f t="shared" si="39"/>
        <v>1.2660305483764286E-2</v>
      </c>
      <c r="CC80" s="84">
        <f t="shared" si="39"/>
        <v>1.2252422189831089E-2</v>
      </c>
      <c r="CD80" s="84">
        <f t="shared" si="39"/>
        <v>6.1990911429306355E-3</v>
      </c>
      <c r="CE80" s="84">
        <f>CE76/$CK$75</f>
        <v>4.5489091837878923E-3</v>
      </c>
      <c r="CF80" s="84">
        <f t="shared" ref="CF80:CJ80" si="40">CF76/$CK$75</f>
        <v>3.4337972365158669E-3</v>
      </c>
      <c r="CG80" s="84">
        <f t="shared" si="40"/>
        <v>4.1801123833493225E-3</v>
      </c>
      <c r="CH80" s="84">
        <f t="shared" si="40"/>
        <v>3.0089333549295424E-3</v>
      </c>
      <c r="CI80" s="84">
        <f t="shared" si="40"/>
        <v>2.7323357546006153E-3</v>
      </c>
      <c r="CJ80" s="84">
        <f t="shared" si="40"/>
        <v>4.4729071404542679E-3</v>
      </c>
      <c r="CK80" s="84"/>
      <c r="CL80" s="84"/>
      <c r="CM80" s="84"/>
      <c r="CN80" s="84"/>
      <c r="CO80" s="84"/>
      <c r="CP80" s="84"/>
      <c r="CQ80" s="84"/>
      <c r="CR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 t="s">
        <v>56</v>
      </c>
      <c r="DE80" s="84">
        <f>CU76/$DA$75</f>
        <v>7.6840539665788049E-2</v>
      </c>
      <c r="DF80" s="84">
        <f t="shared" ref="DF80:DJ80" si="41">CV76/$DA$75</f>
        <v>4.0536643296933302E-2</v>
      </c>
      <c r="DG80" s="84">
        <f t="shared" si="41"/>
        <v>6.6060321366367483E-2</v>
      </c>
      <c r="DH80" s="84">
        <f t="shared" si="41"/>
        <v>2.4252972431102946E-2</v>
      </c>
      <c r="DI80" s="84">
        <f t="shared" si="41"/>
        <v>3.5363146010248762E-3</v>
      </c>
      <c r="DJ80" s="84">
        <f t="shared" si="41"/>
        <v>2.5250394498058681E-3</v>
      </c>
      <c r="DK80" s="84">
        <f>DK76/$DQ$75</f>
        <v>3.6812962990902371E-3</v>
      </c>
      <c r="DL80" s="84">
        <f t="shared" ref="DL80:DP80" si="42">DL76/$DQ$75</f>
        <v>1.2233269463848362E-3</v>
      </c>
      <c r="DM80" s="84">
        <f t="shared" si="42"/>
        <v>1.0875414271560981E-3</v>
      </c>
      <c r="DN80" s="84">
        <f t="shared" si="42"/>
        <v>3.1809015152658125E-4</v>
      </c>
      <c r="DO80" s="84">
        <f t="shared" si="42"/>
        <v>9.8067319442977636E-4</v>
      </c>
      <c r="DP80" s="84">
        <f t="shared" si="42"/>
        <v>7.2418943588660402E-4</v>
      </c>
      <c r="DQ80" s="84"/>
      <c r="DR80" s="84"/>
      <c r="DS80" s="84"/>
      <c r="DT80" s="84"/>
      <c r="DU80" s="84"/>
      <c r="DV80" s="84"/>
      <c r="DW80" s="84"/>
      <c r="DX80" s="84"/>
      <c r="DY80" s="84"/>
    </row>
    <row r="81" spans="3:129" x14ac:dyDescent="0.2"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</row>
    <row r="82" spans="3:129" x14ac:dyDescent="0.2">
      <c r="L82" t="s">
        <v>100</v>
      </c>
      <c r="M82">
        <v>0</v>
      </c>
      <c r="N82">
        <v>2.5000000000000001E-2</v>
      </c>
      <c r="O82">
        <v>0.05</v>
      </c>
      <c r="P82">
        <v>0.1</v>
      </c>
      <c r="Q82">
        <v>0.2</v>
      </c>
      <c r="R82">
        <v>0.3</v>
      </c>
      <c r="S82">
        <v>0.4</v>
      </c>
      <c r="T82">
        <v>0.6</v>
      </c>
      <c r="U82">
        <v>0.8</v>
      </c>
      <c r="V82">
        <v>1</v>
      </c>
      <c r="W82">
        <v>2</v>
      </c>
      <c r="X82">
        <v>5</v>
      </c>
      <c r="AR82" t="s">
        <v>100</v>
      </c>
      <c r="AS82">
        <v>0</v>
      </c>
      <c r="AT82">
        <v>2.5000000000000001E-2</v>
      </c>
      <c r="AU82">
        <v>0.05</v>
      </c>
      <c r="AV82">
        <v>0.1</v>
      </c>
      <c r="AW82">
        <v>0.2</v>
      </c>
      <c r="AX82">
        <v>0.3</v>
      </c>
      <c r="AY82">
        <v>0.4</v>
      </c>
      <c r="AZ82">
        <v>0.6</v>
      </c>
      <c r="BA82">
        <v>0.8</v>
      </c>
      <c r="BB82">
        <v>1</v>
      </c>
      <c r="BC82">
        <v>2</v>
      </c>
      <c r="BD82">
        <v>5</v>
      </c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 t="s">
        <v>100</v>
      </c>
      <c r="BY82" s="84">
        <v>0</v>
      </c>
      <c r="BZ82" s="84">
        <v>2.5000000000000001E-2</v>
      </c>
      <c r="CA82" s="84">
        <v>0.05</v>
      </c>
      <c r="CB82" s="84">
        <v>0.1</v>
      </c>
      <c r="CC82" s="84">
        <v>0.2</v>
      </c>
      <c r="CD82" s="84">
        <v>0.3</v>
      </c>
      <c r="CE82" s="84">
        <v>0.4</v>
      </c>
      <c r="CF82" s="84">
        <v>0.6</v>
      </c>
      <c r="CG82" s="84">
        <v>0.8</v>
      </c>
      <c r="CH82" s="84">
        <v>1</v>
      </c>
      <c r="CI82" s="84">
        <v>2</v>
      </c>
      <c r="CJ82" s="84">
        <v>5</v>
      </c>
      <c r="CK82" s="84"/>
      <c r="CL82" s="84"/>
      <c r="CM82" s="84"/>
      <c r="CN82" s="84"/>
      <c r="CO82" s="84"/>
      <c r="CP82" s="84"/>
      <c r="CQ82" s="84"/>
      <c r="CR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 t="s">
        <v>100</v>
      </c>
      <c r="DE82" s="84">
        <v>0</v>
      </c>
      <c r="DF82" s="84">
        <v>2.5000000000000001E-2</v>
      </c>
      <c r="DG82" s="84">
        <v>0.05</v>
      </c>
      <c r="DH82" s="84">
        <v>0.1</v>
      </c>
      <c r="DI82" s="84">
        <v>0.2</v>
      </c>
      <c r="DJ82" s="84">
        <v>0.3</v>
      </c>
      <c r="DK82" s="84">
        <v>0.4</v>
      </c>
      <c r="DL82" s="84">
        <v>0.6</v>
      </c>
      <c r="DM82" s="84">
        <v>0.8</v>
      </c>
      <c r="DN82" s="84">
        <v>1</v>
      </c>
      <c r="DO82" s="84">
        <v>2</v>
      </c>
      <c r="DP82" s="84">
        <v>5</v>
      </c>
      <c r="DQ82" s="84"/>
      <c r="DR82" s="84"/>
      <c r="DS82" s="84"/>
      <c r="DT82" s="84"/>
      <c r="DU82" s="84"/>
      <c r="DV82" s="84"/>
      <c r="DW82" s="84"/>
      <c r="DX82" s="84"/>
      <c r="DY82" s="84"/>
    </row>
    <row r="83" spans="3:129" x14ac:dyDescent="0.2">
      <c r="L83" t="s">
        <v>57</v>
      </c>
      <c r="M83">
        <f xml:space="preserve"> M79 *'Calibration Plates'!$K$105</f>
        <v>1387.8376435332893</v>
      </c>
      <c r="N83">
        <f xml:space="preserve"> N79 *'Calibration Plates'!$K$105</f>
        <v>1542.5474136320825</v>
      </c>
      <c r="O83">
        <f xml:space="preserve"> O79 *'Calibration Plates'!$K$105</f>
        <v>1608.0158337519197</v>
      </c>
      <c r="P83">
        <f xml:space="preserve"> P79 *'Calibration Plates'!$K$105</f>
        <v>1559.7270699755857</v>
      </c>
      <c r="Q83">
        <f xml:space="preserve"> Q79 *'Calibration Plates'!$K$105</f>
        <v>1448.5700502827553</v>
      </c>
      <c r="R83">
        <f xml:space="preserve"> R79 *'Calibration Plates'!$K$105</f>
        <v>1402.3242726661897</v>
      </c>
      <c r="S83">
        <f xml:space="preserve"> S79 *'Calibration Plates'!$K$105</f>
        <v>1828.0472143937218</v>
      </c>
      <c r="T83">
        <f xml:space="preserve"> T79 *'Calibration Plates'!$K$105</f>
        <v>1959.7466337304263</v>
      </c>
      <c r="U83">
        <f xml:space="preserve"> U79 *'Calibration Plates'!$K$105</f>
        <v>1967.2484993888463</v>
      </c>
      <c r="V83">
        <f xml:space="preserve"> V79 *'Calibration Plates'!$K$105</f>
        <v>2050.4173310093529</v>
      </c>
      <c r="W83">
        <f xml:space="preserve"> W79 *'Calibration Plates'!$K$105</f>
        <v>2029.4861996661073</v>
      </c>
      <c r="X83">
        <f xml:space="preserve"> X79 *'Calibration Plates'!$K$105</f>
        <v>1914.5502085290818</v>
      </c>
      <c r="AR83" t="s">
        <v>57</v>
      </c>
      <c r="AS83">
        <f xml:space="preserve"> AS79 *'Calibration Plates'!$K$105</f>
        <v>4729.5381350670123</v>
      </c>
      <c r="AT83">
        <f xml:space="preserve"> AT79 *'Calibration Plates'!$K$105</f>
        <v>4731.9554585374026</v>
      </c>
      <c r="AU83">
        <f xml:space="preserve"> AU79 *'Calibration Plates'!$K$105</f>
        <v>5056.9511695564697</v>
      </c>
      <c r="AV83">
        <f xml:space="preserve"> AV79 *'Calibration Plates'!$K$105</f>
        <v>4344.2883982860076</v>
      </c>
      <c r="AW83">
        <f xml:space="preserve"> AW79 *'Calibration Plates'!$K$105</f>
        <v>2707.4022868365287</v>
      </c>
      <c r="AX83">
        <f xml:space="preserve"> AX79 *'Calibration Plates'!$K$105</f>
        <v>2474.5334591889823</v>
      </c>
      <c r="AY83">
        <f xml:space="preserve"> AY79 *'Calibration Plates'!$K$105</f>
        <v>2806.4327719858229</v>
      </c>
      <c r="AZ83">
        <f xml:space="preserve"> AZ79 *'Calibration Plates'!$K$105</f>
        <v>2692.3882226716405</v>
      </c>
      <c r="BA83">
        <f xml:space="preserve"> BA79 *'Calibration Plates'!$K$105</f>
        <v>2149.7307463141069</v>
      </c>
      <c r="BB83">
        <f xml:space="preserve"> BB79 *'Calibration Plates'!$K$105</f>
        <v>2095.5010317113124</v>
      </c>
      <c r="BC83">
        <f xml:space="preserve"> BC79 *'Calibration Plates'!$K$105</f>
        <v>1755.0789528343003</v>
      </c>
      <c r="BD83">
        <f xml:space="preserve"> BD79 *'Calibration Plates'!$K$105</f>
        <v>1563.8336304061722</v>
      </c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 t="s">
        <v>57</v>
      </c>
      <c r="BY83" s="84">
        <f xml:space="preserve"> BY79 *'Calibration Plates'!$K$105</f>
        <v>22240.188413929816</v>
      </c>
      <c r="BZ83" s="84">
        <f xml:space="preserve"> BZ79 *'Calibration Plates'!$K$105</f>
        <v>16068.44813770401</v>
      </c>
      <c r="CA83" s="84">
        <f xml:space="preserve"> CA79 *'Calibration Plates'!$K$105</f>
        <v>9533.5355605350414</v>
      </c>
      <c r="CB83" s="84">
        <f xml:space="preserve"> CB79 *'Calibration Plates'!$K$105</f>
        <v>4758.0999746278449</v>
      </c>
      <c r="CC83" s="84">
        <f xml:space="preserve"> CC79 *'Calibration Plates'!$K$105</f>
        <v>2987.5912307337558</v>
      </c>
      <c r="CD83" s="84">
        <f xml:space="preserve"> CD79 *'Calibration Plates'!$K$105</f>
        <v>2293.5539044134885</v>
      </c>
      <c r="CE83" s="84">
        <f xml:space="preserve"> CE79 *'Calibration Plates'!$K$105</f>
        <v>1043.5040740342317</v>
      </c>
      <c r="CF83" s="84">
        <f xml:space="preserve"> CF79 *'Calibration Plates'!$K$105</f>
        <v>1124.1915103297865</v>
      </c>
      <c r="CG83" s="84">
        <f xml:space="preserve"> CG79 *'Calibration Plates'!$K$105</f>
        <v>778.28643022831375</v>
      </c>
      <c r="CH83" s="84">
        <f xml:space="preserve"> CH79 *'Calibration Plates'!$K$105</f>
        <v>567.3947645021841</v>
      </c>
      <c r="CI83" s="84">
        <f xml:space="preserve"> CI79 *'Calibration Plates'!$K$105</f>
        <v>573.98512905612563</v>
      </c>
      <c r="CJ83" s="84">
        <f xml:space="preserve"> CJ79 *'Calibration Plates'!$K$105</f>
        <v>924.43221716099049</v>
      </c>
      <c r="CK83" s="84"/>
      <c r="CL83" s="84"/>
      <c r="CM83" s="84"/>
      <c r="CN83" s="84"/>
      <c r="CO83" s="84"/>
      <c r="CP83" s="84"/>
      <c r="CQ83" s="84"/>
      <c r="CR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 t="s">
        <v>57</v>
      </c>
      <c r="DE83" s="84">
        <f xml:space="preserve"> DE79 *'Calibration Plates'!$K$105</f>
        <v>47543.561943464061</v>
      </c>
      <c r="DF83" s="84">
        <f xml:space="preserve"> DF79 *'Calibration Plates'!$K$105</f>
        <v>39538.22741588785</v>
      </c>
      <c r="DG83" s="84">
        <f xml:space="preserve"> DG79 *'Calibration Plates'!$K$105</f>
        <v>22867.626196630819</v>
      </c>
      <c r="DH83" s="84">
        <f xml:space="preserve"> DH79 *'Calibration Plates'!$K$105</f>
        <v>8293.1265243900762</v>
      </c>
      <c r="DI83" s="84">
        <f xml:space="preserve"> DI79 *'Calibration Plates'!$K$105</f>
        <v>1779.5033447033738</v>
      </c>
      <c r="DJ83" s="84">
        <f xml:space="preserve"> DJ79 *'Calibration Plates'!$K$105</f>
        <v>855.99440028249603</v>
      </c>
      <c r="DK83" s="84">
        <f xml:space="preserve"> DK79 *'Calibration Plates'!$K$105</f>
        <v>481.43053669840282</v>
      </c>
      <c r="DL83" s="84">
        <f xml:space="preserve"> DL79 *'Calibration Plates'!$K$105</f>
        <v>168.9545284661186</v>
      </c>
      <c r="DM83" s="84">
        <f xml:space="preserve"> DM79 *'Calibration Plates'!$K$105</f>
        <v>172.81891395763091</v>
      </c>
      <c r="DN83" s="84">
        <f xml:space="preserve"> DN79 *'Calibration Plates'!$K$105</f>
        <v>127.79432951001098</v>
      </c>
      <c r="DO83" s="84">
        <f xml:space="preserve"> DO79 *'Calibration Plates'!$K$105</f>
        <v>170.66204763678681</v>
      </c>
      <c r="DP83" s="84">
        <f xml:space="preserve"> DP79 *'Calibration Plates'!$K$105</f>
        <v>267.09194606452371</v>
      </c>
      <c r="DQ83" s="84"/>
      <c r="DR83" s="84"/>
      <c r="DS83" s="84"/>
      <c r="DT83" s="84"/>
      <c r="DU83" s="84"/>
      <c r="DV83" s="84"/>
      <c r="DW83" s="84"/>
      <c r="DX83" s="84"/>
      <c r="DY83" s="84"/>
    </row>
    <row r="84" spans="3:129" x14ac:dyDescent="0.2">
      <c r="L84" t="s">
        <v>56</v>
      </c>
      <c r="M84">
        <f xml:space="preserve"> M80 *'Calibration Plates'!$K$105</f>
        <v>107.44249940234297</v>
      </c>
      <c r="N84">
        <f xml:space="preserve"> N80 *'Calibration Plates'!$K$105</f>
        <v>83.483843528700376</v>
      </c>
      <c r="O84">
        <f xml:space="preserve"> O80 *'Calibration Plates'!$K$105</f>
        <v>140.87318201672801</v>
      </c>
      <c r="P84">
        <f xml:space="preserve"> P80 *'Calibration Plates'!$K$105</f>
        <v>139.20164788600874</v>
      </c>
      <c r="Q84">
        <f xml:space="preserve"> Q80 *'Calibration Plates'!$K$105</f>
        <v>65.189831098050789</v>
      </c>
      <c r="R84">
        <f xml:space="preserve"> R80 *'Calibration Plates'!$K$105</f>
        <v>108.74258150401351</v>
      </c>
      <c r="S84">
        <f xml:space="preserve"> S80 *'Calibration Plates'!$K$105</f>
        <v>147.53669128225752</v>
      </c>
      <c r="T84">
        <f xml:space="preserve"> T80 *'Calibration Plates'!$K$105</f>
        <v>95.116247298730997</v>
      </c>
      <c r="U84">
        <f xml:space="preserve"> U80 *'Calibration Plates'!$K$105</f>
        <v>131.32895683505407</v>
      </c>
      <c r="V84">
        <f xml:space="preserve"> V80 *'Calibration Plates'!$K$105</f>
        <v>154.1124006865515</v>
      </c>
      <c r="W84">
        <f xml:space="preserve"> W80 *'Calibration Plates'!$K$105</f>
        <v>122.71570367168312</v>
      </c>
      <c r="X84">
        <f xml:space="preserve"> X80 *'Calibration Plates'!$K$105</f>
        <v>86.410378509947449</v>
      </c>
      <c r="AR84" t="s">
        <v>56</v>
      </c>
      <c r="AS84">
        <f xml:space="preserve"> AS80 *'Calibration Plates'!$K$105</f>
        <v>1097.5543860558532</v>
      </c>
      <c r="AT84">
        <f xml:space="preserve"> AT80 *'Calibration Plates'!$K$105</f>
        <v>578.00890091986207</v>
      </c>
      <c r="AU84">
        <f xml:space="preserve"> AU80 *'Calibration Plates'!$K$105</f>
        <v>523.66388808554416</v>
      </c>
      <c r="AV84">
        <f xml:space="preserve"> AV80 *'Calibration Plates'!$K$105</f>
        <v>537.80970691226946</v>
      </c>
      <c r="AW84">
        <f xml:space="preserve"> AW80 *'Calibration Plates'!$K$105</f>
        <v>453.02432445082127</v>
      </c>
      <c r="AX84">
        <f xml:space="preserve"> AX80 *'Calibration Plates'!$K$105</f>
        <v>218.00676482959483</v>
      </c>
      <c r="AY84">
        <f xml:space="preserve"> AY80 *'Calibration Plates'!$K$105</f>
        <v>334.56671102122829</v>
      </c>
      <c r="AZ84">
        <f xml:space="preserve"> AZ80 *'Calibration Plates'!$K$105</f>
        <v>605.08470595842505</v>
      </c>
      <c r="BA84">
        <f xml:space="preserve"> BA80 *'Calibration Plates'!$K$105</f>
        <v>289.25517207570385</v>
      </c>
      <c r="BB84">
        <f xml:space="preserve"> BB80 *'Calibration Plates'!$K$105</f>
        <v>191.42548759292143</v>
      </c>
      <c r="BC84">
        <f xml:space="preserve"> BC80 *'Calibration Plates'!$K$105</f>
        <v>143.50155375789356</v>
      </c>
      <c r="BD84">
        <f xml:space="preserve"> BD80 *'Calibration Plates'!$K$105</f>
        <v>257.45602048967976</v>
      </c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 t="s">
        <v>56</v>
      </c>
      <c r="BY84" s="84">
        <f xml:space="preserve"> BY80 *'Calibration Plates'!$K$105</f>
        <v>5268.4498642608505</v>
      </c>
      <c r="BZ84" s="84">
        <f xml:space="preserve"> BZ80 *'Calibration Plates'!$K$105</f>
        <v>2353.9658831142556</v>
      </c>
      <c r="CA84" s="84">
        <f xml:space="preserve"> CA80 *'Calibration Plates'!$K$105</f>
        <v>2142.8741720308494</v>
      </c>
      <c r="CB84" s="84">
        <f xml:space="preserve"> CB80 *'Calibration Plates'!$K$105</f>
        <v>904.95393021903408</v>
      </c>
      <c r="CC84" s="84">
        <f xml:space="preserve"> CC80 *'Calibration Plates'!$K$105</f>
        <v>875.79858397648957</v>
      </c>
      <c r="CD84" s="84">
        <f xml:space="preserve"> CD80 *'Calibration Plates'!$K$105</f>
        <v>443.10873073128204</v>
      </c>
      <c r="CE84" s="84">
        <f xml:space="preserve"> CE80 *'Calibration Plates'!$K$105</f>
        <v>325.15433765460273</v>
      </c>
      <c r="CF84" s="84">
        <f xml:space="preserve"> CF80 *'Calibration Plates'!$K$105</f>
        <v>245.44655014409344</v>
      </c>
      <c r="CG84" s="84">
        <f xml:space="preserve"> CG80 *'Calibration Plates'!$K$105</f>
        <v>298.79287943883651</v>
      </c>
      <c r="CH84" s="84">
        <f xml:space="preserve"> CH80 *'Calibration Plates'!$K$105</f>
        <v>215.07743780768709</v>
      </c>
      <c r="CI84" s="84">
        <f xml:space="preserve"> CI80 *'Calibration Plates'!$K$105</f>
        <v>195.30634414586243</v>
      </c>
      <c r="CJ84" s="84">
        <f xml:space="preserve"> CJ80 *'Calibration Plates'!$K$105</f>
        <v>319.7217398466239</v>
      </c>
      <c r="CK84" s="84"/>
      <c r="CL84" s="84"/>
      <c r="CM84" s="84"/>
      <c r="CN84" s="84"/>
      <c r="CO84" s="84"/>
      <c r="CP84" s="84"/>
      <c r="CQ84" s="84"/>
      <c r="CR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 t="s">
        <v>56</v>
      </c>
      <c r="DE84" s="84">
        <f xml:space="preserve"> DE80 *'Calibration Plates'!$K$105</f>
        <v>5492.5332141378167</v>
      </c>
      <c r="DF84" s="84">
        <f xml:space="preserve"> DF80 *'Calibration Plates'!$K$105</f>
        <v>2897.544195634975</v>
      </c>
      <c r="DG84" s="84">
        <f xml:space="preserve"> DG80 *'Calibration Plates'!$K$105</f>
        <v>4721.9672170384192</v>
      </c>
      <c r="DH84" s="84">
        <f xml:space="preserve"> DH80 *'Calibration Plates'!$K$105</f>
        <v>1733.5934546892743</v>
      </c>
      <c r="DI84" s="84">
        <f xml:space="preserve"> DI80 *'Calibration Plates'!$K$105</f>
        <v>252.77445325410125</v>
      </c>
      <c r="DJ84" s="84">
        <f xml:space="preserve"> DJ80 *'Calibration Plates'!$K$105</f>
        <v>180.48888132994054</v>
      </c>
      <c r="DK84" s="84">
        <f xml:space="preserve"> DK80 *'Calibration Plates'!$K$105</f>
        <v>263.13769114297622</v>
      </c>
      <c r="DL84" s="84">
        <f xml:space="preserve"> DL80 *'Calibration Plates'!$K$105</f>
        <v>87.442955424219889</v>
      </c>
      <c r="DM84" s="84">
        <f xml:space="preserve"> DM80 *'Calibration Plates'!$K$105</f>
        <v>77.737056980421599</v>
      </c>
      <c r="DN84" s="84">
        <f xml:space="preserve"> DN80 *'Calibration Plates'!$K$105</f>
        <v>22.736965798897874</v>
      </c>
      <c r="DO84" s="84">
        <f xml:space="preserve"> DO80 *'Calibration Plates'!$K$105</f>
        <v>70.098155427432189</v>
      </c>
      <c r="DP84" s="84">
        <f xml:space="preserve"> DP80 *'Calibration Plates'!$K$105</f>
        <v>51.764791700257618</v>
      </c>
      <c r="DQ84" s="84"/>
      <c r="DR84" s="84"/>
      <c r="DS84" s="84"/>
      <c r="DT84" s="84"/>
      <c r="DU84" s="84"/>
      <c r="DV84" s="84"/>
      <c r="DW84" s="84"/>
      <c r="DX84" s="84"/>
      <c r="DY84" s="84"/>
    </row>
    <row r="85" spans="3:129" x14ac:dyDescent="0.2"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</row>
    <row r="86" spans="3:129" x14ac:dyDescent="0.2"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</row>
    <row r="87" spans="3:129" x14ac:dyDescent="0.2"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</row>
    <row r="88" spans="3:129" x14ac:dyDescent="0.2"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</row>
    <row r="89" spans="3:129" x14ac:dyDescent="0.2"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</row>
    <row r="90" spans="3:129" x14ac:dyDescent="0.2"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</row>
    <row r="91" spans="3:129" x14ac:dyDescent="0.2"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</row>
    <row r="92" spans="3:129" x14ac:dyDescent="0.2">
      <c r="C92" t="s">
        <v>124</v>
      </c>
      <c r="D92" t="s">
        <v>185</v>
      </c>
      <c r="E92" t="s">
        <v>186</v>
      </c>
      <c r="F92" t="s">
        <v>187</v>
      </c>
      <c r="S92" s="84" t="s">
        <v>124</v>
      </c>
      <c r="T92" s="84" t="s">
        <v>185</v>
      </c>
      <c r="U92" s="84" t="s">
        <v>186</v>
      </c>
      <c r="V92" s="84" t="s">
        <v>187</v>
      </c>
      <c r="AI92" s="84" t="s">
        <v>124</v>
      </c>
      <c r="AJ92" s="84" t="s">
        <v>185</v>
      </c>
      <c r="AK92" s="84" t="s">
        <v>186</v>
      </c>
      <c r="AL92" s="84" t="s">
        <v>187</v>
      </c>
      <c r="AY92" s="84" t="s">
        <v>124</v>
      </c>
      <c r="AZ92" s="84" t="s">
        <v>185</v>
      </c>
      <c r="BA92" s="84" t="s">
        <v>186</v>
      </c>
      <c r="BB92" s="84" t="s">
        <v>187</v>
      </c>
      <c r="BN92" s="84"/>
      <c r="BO92" s="84" t="s">
        <v>124</v>
      </c>
      <c r="BP92" s="84" t="s">
        <v>185</v>
      </c>
      <c r="BQ92" s="84" t="s">
        <v>186</v>
      </c>
      <c r="BR92" s="84" t="s">
        <v>187</v>
      </c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 t="s">
        <v>124</v>
      </c>
      <c r="CF92" s="84" t="s">
        <v>185</v>
      </c>
      <c r="CG92" s="84" t="s">
        <v>186</v>
      </c>
      <c r="CH92" s="84" t="s">
        <v>187</v>
      </c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T92" s="84"/>
      <c r="CU92" s="84" t="s">
        <v>124</v>
      </c>
      <c r="CV92" s="84" t="s">
        <v>185</v>
      </c>
      <c r="CW92" s="84" t="s">
        <v>186</v>
      </c>
      <c r="CX92" s="84" t="s">
        <v>187</v>
      </c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 t="s">
        <v>124</v>
      </c>
      <c r="DL92" s="84" t="s">
        <v>185</v>
      </c>
      <c r="DM92" s="84" t="s">
        <v>186</v>
      </c>
      <c r="DN92" s="84" t="s">
        <v>187</v>
      </c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</row>
    <row r="93" spans="3:129" x14ac:dyDescent="0.2">
      <c r="C93" t="s">
        <v>125</v>
      </c>
      <c r="D93">
        <f>E53</f>
        <v>19066</v>
      </c>
      <c r="E93">
        <f>D93-AVERAGE($D$93,$D$103,$D$113,$D$123,$D$133,$D$143)</f>
        <v>453</v>
      </c>
      <c r="F93">
        <f>E93/AVERAGE($D$94,$D$104,$D$114,$D$124,$D$134,$D$144)</f>
        <v>5.7462188167736316E-4</v>
      </c>
      <c r="S93" s="84" t="s">
        <v>125</v>
      </c>
      <c r="T93" s="84">
        <f>U53</f>
        <v>19455</v>
      </c>
      <c r="U93" s="84">
        <f>ROUND(T93-AVERAGE($T$93,$T$103,$T$113,$T$123,$T$133,$T$143),0)</f>
        <v>234</v>
      </c>
      <c r="V93" s="84">
        <f>U93/AVERAGE($T$94,$T$104,$T$114,$T$124,$T$134,$T$144)</f>
        <v>2.9582463751473591E-4</v>
      </c>
      <c r="AI93" s="84" t="s">
        <v>125</v>
      </c>
      <c r="AJ93" s="84">
        <f>AK53</f>
        <v>21370</v>
      </c>
      <c r="AK93" s="84">
        <f>ROUND(AJ93-AVERAGE($AJ$93,$AJ$103,$AJ$113,$AJ$123,$AJ$133,$AJ$143),0)</f>
        <v>-366</v>
      </c>
      <c r="AL93" s="84">
        <f>AK93/AVERAGE($AJ$94,$AJ$104,$AJ$114,$AJ$124,$AJ$134,$AJ$144)</f>
        <v>-4.4627688025635317E-4</v>
      </c>
      <c r="AY93" s="84" t="s">
        <v>125</v>
      </c>
      <c r="AZ93" s="84">
        <f>BA53</f>
        <v>23384</v>
      </c>
      <c r="BA93" s="84">
        <f>ROUND(AZ93-AVERAGE($AZ$93,$AZ$103,$AZ$113,$AZ$123,$AZ$133,$AZ$143),0)</f>
        <v>289</v>
      </c>
      <c r="BB93" s="84">
        <f>BA93/AVERAGE($AZ$94,$AZ$104,$AZ$114,$AZ$124,$AZ$134,$AZ$144)</f>
        <v>3.5391308678340763E-4</v>
      </c>
      <c r="BN93" s="84"/>
      <c r="BO93" s="84" t="s">
        <v>125</v>
      </c>
      <c r="BP93" s="84">
        <f>BQ53</f>
        <v>20098</v>
      </c>
      <c r="BQ93" s="84">
        <f>ROUND(BP93-AVERAGE($BP$93,$BP$103,$BP$113,$BP$123,$BP$133,$BP$143),0)</f>
        <v>259</v>
      </c>
      <c r="BR93" s="84">
        <f>BQ93/AVERAGE($BP$94,$BP$104,$BP$114,$BP$124,$BP$134,$BP$144)</f>
        <v>3.0971654956630715E-4</v>
      </c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 t="s">
        <v>125</v>
      </c>
      <c r="CF93" s="84">
        <f>CG53</f>
        <v>24622</v>
      </c>
      <c r="CG93" s="84">
        <f>ROUND(CF93-AVERAGE($CF$93,$CF$103,$CF$113,$CF$123,$CF$133,$CF$143),0)</f>
        <v>289</v>
      </c>
      <c r="CH93" s="84">
        <f>CG93/AVERAGE($CF$94,$CF$104,$CF$114,$CF$124,$CF$134,$CF$144)</f>
        <v>3.4947995206441074E-4</v>
      </c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T93" s="84"/>
      <c r="CU93" s="84" t="s">
        <v>125</v>
      </c>
      <c r="CV93" s="84">
        <f>CW53</f>
        <v>24247</v>
      </c>
      <c r="CW93" s="84">
        <f>ROUND(CV93-AVERAGE($CV$93,$CV$103,$CV$113,$CV$123,$CV$133,$CV$143),0)</f>
        <v>411</v>
      </c>
      <c r="CX93" s="84">
        <f>CW93/AVERAGE($CV$94,$CV$104,$CV$114,$CV$124,$CV$134,$CV$144)</f>
        <v>5.025166588551749E-4</v>
      </c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 t="s">
        <v>125</v>
      </c>
      <c r="DL93" s="84">
        <f>DM53</f>
        <v>23343</v>
      </c>
      <c r="DM93" s="84">
        <f>ROUND(DL93-AVERAGE($DL$93,$DL$103,$DL$113,$DL$123,$DL$133,$DL$143),0)</f>
        <v>257</v>
      </c>
      <c r="DN93" s="84">
        <f>DM93/AVERAGE($DL$94,$DL$104,$DL$114,$DL$124,$DL$134,$DL$144)</f>
        <v>3.1400460540087922E-4</v>
      </c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</row>
    <row r="94" spans="3:129" x14ac:dyDescent="0.2">
      <c r="C94" s="84" t="s">
        <v>126</v>
      </c>
      <c r="D94" s="84">
        <f>F53</f>
        <v>779522</v>
      </c>
      <c r="E94" s="84">
        <f t="shared" ref="E94:E152" si="43">D94-AVERAGE($D$93,$D$103,$D$113,$D$123,$D$133,$D$143)</f>
        <v>760909</v>
      </c>
      <c r="F94" s="84">
        <f t="shared" ref="F94:F152" si="44">E94/AVERAGE($D$94,$D$104,$D$114,$D$124,$D$134,$D$144)</f>
        <v>0.96519859021024434</v>
      </c>
      <c r="S94" s="84" t="s">
        <v>126</v>
      </c>
      <c r="T94" s="84">
        <f>V53</f>
        <v>793572</v>
      </c>
      <c r="U94" s="84">
        <f t="shared" ref="U94:U152" si="45">ROUND(T94-AVERAGE($T$93,$T$103,$T$113,$T$123,$T$133,$T$143),0)</f>
        <v>774351</v>
      </c>
      <c r="V94" s="84">
        <f t="shared" ref="V94:V152" si="46">U94/AVERAGE($T$94,$T$104,$T$114,$T$124,$T$134,$T$144)</f>
        <v>0.97894061488962947</v>
      </c>
      <c r="AI94" s="84" t="s">
        <v>126</v>
      </c>
      <c r="AJ94" s="84">
        <f>AL53</f>
        <v>812277</v>
      </c>
      <c r="AK94" s="84">
        <f t="shared" ref="AK94:AK152" si="47">ROUND(AJ94-AVERAGE($AJ$93,$AJ$103,$AJ$113,$AJ$123,$AJ$133,$AJ$143),0)</f>
        <v>790541</v>
      </c>
      <c r="AL94" s="84">
        <f t="shared" ref="AL94:AL152" si="48">AK94/AVERAGE($AJ$94,$AJ$104,$AJ$114,$AJ$124,$AJ$134,$AJ$144)</f>
        <v>0.96393489397469312</v>
      </c>
      <c r="AY94" s="84" t="s">
        <v>126</v>
      </c>
      <c r="AZ94" s="84">
        <f>BB53</f>
        <v>820704</v>
      </c>
      <c r="BA94" s="84">
        <f t="shared" ref="BA94:BA152" si="49">ROUND(AZ94-AVERAGE($AZ$93,$AZ$103,$AZ$113,$AZ$123,$AZ$133,$AZ$143),0)</f>
        <v>797609</v>
      </c>
      <c r="BB94" s="84">
        <f t="shared" ref="BB94:BB152" si="50">BA94/AVERAGE($AZ$94,$AZ$104,$AZ$114,$AZ$124,$AZ$134,$AZ$144)</f>
        <v>0.97676215652673704</v>
      </c>
      <c r="BO94" s="84" t="s">
        <v>126</v>
      </c>
      <c r="BP94" s="84">
        <f>BR53</f>
        <v>845351</v>
      </c>
      <c r="BQ94" s="84">
        <f t="shared" ref="BQ94:BQ152" si="51">ROUND(BP94-AVERAGE($BP$93,$BP$103,$BP$113,$BP$123,$BP$133,$BP$143),0)</f>
        <v>825512</v>
      </c>
      <c r="BR94" s="84">
        <f t="shared" ref="BR94:BR152" si="52">BQ94/AVERAGE($BP$94,$BP$104,$BP$114,$BP$124,$BP$134,$BP$144)</f>
        <v>0.98716111299452258</v>
      </c>
      <c r="CE94" s="84" t="s">
        <v>126</v>
      </c>
      <c r="CF94" s="84">
        <f>CH53</f>
        <v>822734</v>
      </c>
      <c r="CG94" s="84">
        <f t="shared" ref="CG94:CG152" si="53">ROUND(CF94-AVERAGE($CF$93,$CF$103,$CF$113,$CF$123,$CF$133,$CF$143),0)</f>
        <v>798401</v>
      </c>
      <c r="CH94" s="84">
        <f t="shared" ref="CH94:CH152" si="54">CG94/AVERAGE($CF$94,$CF$104,$CF$114,$CF$124,$CF$134,$CF$144)</f>
        <v>0.96548492459577018</v>
      </c>
      <c r="CT94" s="84"/>
      <c r="CU94" s="84" t="s">
        <v>126</v>
      </c>
      <c r="CV94" s="84">
        <f>CX53</f>
        <v>815758</v>
      </c>
      <c r="CW94" s="84">
        <f t="shared" ref="CW94:CW152" si="55">ROUND(CV94-AVERAGE($CV$93,$CV$103,$CV$113,$CV$123,$CV$133,$CV$143),0)</f>
        <v>791922</v>
      </c>
      <c r="CX94" s="84">
        <f t="shared" ref="CX94:CX152" si="56">CW94/AVERAGE($CV$94,$CV$104,$CV$114,$CV$124,$CV$134,$CV$144)</f>
        <v>0.96825790149369306</v>
      </c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 t="s">
        <v>126</v>
      </c>
      <c r="DL94" s="84">
        <f>DN53</f>
        <v>821036</v>
      </c>
      <c r="DM94" s="84">
        <f t="shared" ref="DM94:DM152" si="57">ROUND(DL94-AVERAGE($DL$93,$DL$103,$DL$113,$DL$123,$DL$133,$DL$143),0)</f>
        <v>797950</v>
      </c>
      <c r="DN94" s="84">
        <f t="shared" ref="DN94:DN152" si="58">DM94/AVERAGE($DL$94,$DL$104,$DL$114,$DL$124,$DL$134,$DL$144)</f>
        <v>0.97494153649662085</v>
      </c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</row>
    <row r="95" spans="3:129" x14ac:dyDescent="0.2">
      <c r="C95" s="84" t="s">
        <v>127</v>
      </c>
      <c r="D95" s="84">
        <f>G53</f>
        <v>35069</v>
      </c>
      <c r="E95" s="84">
        <f t="shared" si="43"/>
        <v>16456</v>
      </c>
      <c r="F95" s="84">
        <f t="shared" si="44"/>
        <v>2.0874122924685844E-2</v>
      </c>
      <c r="S95" s="84" t="s">
        <v>127</v>
      </c>
      <c r="T95" s="84">
        <f>W53</f>
        <v>39953</v>
      </c>
      <c r="U95" s="84">
        <f t="shared" si="45"/>
        <v>20732</v>
      </c>
      <c r="V95" s="84">
        <f>U95/AVERAGE($T$94,$T$104,$T$114,$T$124,$T$134,$T$144)</f>
        <v>2.6209557200664552E-2</v>
      </c>
      <c r="AI95" s="84" t="s">
        <v>127</v>
      </c>
      <c r="AJ95" s="84">
        <f>AM53</f>
        <v>76294</v>
      </c>
      <c r="AK95" s="84">
        <f t="shared" si="47"/>
        <v>54558</v>
      </c>
      <c r="AL95" s="84">
        <f t="shared" si="48"/>
        <v>6.6524519215918357E-2</v>
      </c>
      <c r="AY95" s="84" t="s">
        <v>127</v>
      </c>
      <c r="AZ95" s="84">
        <f>BC53</f>
        <v>50064</v>
      </c>
      <c r="BA95" s="84">
        <f t="shared" si="49"/>
        <v>26969</v>
      </c>
      <c r="BB95" s="84">
        <f t="shared" si="50"/>
        <v>3.3026581444504224E-2</v>
      </c>
      <c r="BO95" s="84" t="s">
        <v>127</v>
      </c>
      <c r="BP95" s="84">
        <f>BS53</f>
        <v>235018</v>
      </c>
      <c r="BQ95" s="84">
        <f t="shared" si="51"/>
        <v>215179</v>
      </c>
      <c r="BR95" s="84">
        <f t="shared" si="52"/>
        <v>0.25731466184991664</v>
      </c>
      <c r="CE95" s="84" t="s">
        <v>127</v>
      </c>
      <c r="CF95" s="84">
        <f>CI53</f>
        <v>35014</v>
      </c>
      <c r="CG95" s="84">
        <f t="shared" si="53"/>
        <v>10681</v>
      </c>
      <c r="CH95" s="84">
        <f t="shared" si="54"/>
        <v>1.2916246948096786E-2</v>
      </c>
      <c r="CT95" s="84"/>
      <c r="CU95" s="84" t="s">
        <v>127</v>
      </c>
      <c r="CV95" s="84">
        <f>CY53</f>
        <v>524432</v>
      </c>
      <c r="CW95" s="84">
        <f t="shared" si="55"/>
        <v>500596</v>
      </c>
      <c r="CX95" s="84">
        <f t="shared" si="56"/>
        <v>0.61206284514906362</v>
      </c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 t="s">
        <v>127</v>
      </c>
      <c r="DL95" s="84">
        <f>DO53</f>
        <v>26360</v>
      </c>
      <c r="DM95" s="84">
        <f t="shared" si="57"/>
        <v>3274</v>
      </c>
      <c r="DN95" s="84">
        <f t="shared" si="58"/>
        <v>4.0001987474026397E-3</v>
      </c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</row>
    <row r="96" spans="3:129" x14ac:dyDescent="0.2">
      <c r="C96" s="84" t="s">
        <v>128</v>
      </c>
      <c r="D96" s="84">
        <f>H53</f>
        <v>32583</v>
      </c>
      <c r="E96" s="84">
        <f t="shared" si="43"/>
        <v>13970</v>
      </c>
      <c r="F96" s="84">
        <f t="shared" si="44"/>
        <v>1.7720679220822877E-2</v>
      </c>
      <c r="S96" s="84" t="s">
        <v>128</v>
      </c>
      <c r="T96" s="84">
        <f>X53</f>
        <v>38349</v>
      </c>
      <c r="U96" s="84">
        <f t="shared" si="45"/>
        <v>19128</v>
      </c>
      <c r="V96" s="84">
        <f t="shared" si="46"/>
        <v>2.4181767805050724E-2</v>
      </c>
      <c r="AI96" s="84" t="s">
        <v>128</v>
      </c>
      <c r="AJ96" s="84">
        <f>AN53</f>
        <v>58643</v>
      </c>
      <c r="AK96" s="84">
        <f t="shared" si="47"/>
        <v>36907</v>
      </c>
      <c r="AL96" s="84">
        <f t="shared" si="48"/>
        <v>4.5002024097325753E-2</v>
      </c>
      <c r="AY96" s="84" t="s">
        <v>128</v>
      </c>
      <c r="AZ96" s="84">
        <f>BD53</f>
        <v>51284</v>
      </c>
      <c r="BA96" s="84">
        <f t="shared" si="49"/>
        <v>28189</v>
      </c>
      <c r="BB96" s="84">
        <f t="shared" si="50"/>
        <v>3.4520609008088163E-2</v>
      </c>
      <c r="BO96" s="84" t="s">
        <v>128</v>
      </c>
      <c r="BP96" s="84">
        <f>BT53</f>
        <v>174425</v>
      </c>
      <c r="BQ96" s="84">
        <f t="shared" si="51"/>
        <v>154586</v>
      </c>
      <c r="BR96" s="84">
        <f t="shared" si="52"/>
        <v>0.18485653486971876</v>
      </c>
      <c r="CE96" s="84" t="s">
        <v>128</v>
      </c>
      <c r="CF96" s="84">
        <f>CJ53</f>
        <v>32515</v>
      </c>
      <c r="CG96" s="84">
        <f t="shared" si="53"/>
        <v>8182</v>
      </c>
      <c r="CH96" s="84">
        <f t="shared" si="54"/>
        <v>9.8942732449515871E-3</v>
      </c>
      <c r="CT96" s="84"/>
      <c r="CU96" s="84" t="s">
        <v>128</v>
      </c>
      <c r="CV96" s="84">
        <f>CZ53</f>
        <v>429251</v>
      </c>
      <c r="CW96" s="84">
        <f t="shared" si="55"/>
        <v>405415</v>
      </c>
      <c r="CX96" s="84">
        <f t="shared" si="56"/>
        <v>0.49568805656878523</v>
      </c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 t="s">
        <v>128</v>
      </c>
      <c r="DL96" s="84">
        <f>DP53</f>
        <v>26077</v>
      </c>
      <c r="DM96" s="84">
        <f t="shared" si="57"/>
        <v>2991</v>
      </c>
      <c r="DN96" s="84">
        <f t="shared" si="58"/>
        <v>3.654427139120738E-3</v>
      </c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</row>
    <row r="97" spans="3:129" x14ac:dyDescent="0.2">
      <c r="C97" s="84" t="s">
        <v>129</v>
      </c>
      <c r="D97" s="84">
        <f>I53</f>
        <v>33231</v>
      </c>
      <c r="E97" s="84">
        <f t="shared" si="43"/>
        <v>14618</v>
      </c>
      <c r="F97" s="84">
        <f t="shared" si="44"/>
        <v>1.8542654892626256E-2</v>
      </c>
      <c r="S97" s="84" t="s">
        <v>129</v>
      </c>
      <c r="T97" s="84">
        <f>Y53</f>
        <v>38793</v>
      </c>
      <c r="U97" s="84">
        <f t="shared" si="45"/>
        <v>19572</v>
      </c>
      <c r="V97" s="84">
        <f t="shared" si="46"/>
        <v>2.4743076091617144E-2</v>
      </c>
      <c r="AI97" s="84" t="s">
        <v>129</v>
      </c>
      <c r="AJ97" s="84">
        <f>AO53</f>
        <v>59672</v>
      </c>
      <c r="AK97" s="84">
        <f t="shared" si="47"/>
        <v>37936</v>
      </c>
      <c r="AL97" s="84">
        <f t="shared" si="48"/>
        <v>4.6256720572144847E-2</v>
      </c>
      <c r="AY97" s="84" t="s">
        <v>129</v>
      </c>
      <c r="AZ97" s="84">
        <f>BE53</f>
        <v>51499</v>
      </c>
      <c r="BA97" s="84">
        <f t="shared" si="49"/>
        <v>28404</v>
      </c>
      <c r="BB97" s="84">
        <f t="shared" si="50"/>
        <v>3.4783900750850902E-2</v>
      </c>
      <c r="BO97" s="84" t="s">
        <v>129</v>
      </c>
      <c r="BP97" s="84">
        <f>BU53</f>
        <v>223708</v>
      </c>
      <c r="BQ97" s="84">
        <f t="shared" si="51"/>
        <v>203869</v>
      </c>
      <c r="BR97" s="84">
        <f t="shared" si="52"/>
        <v>0.24378997391325666</v>
      </c>
      <c r="CE97" s="84" t="s">
        <v>129</v>
      </c>
      <c r="CF97" s="84">
        <f>CK53</f>
        <v>32390</v>
      </c>
      <c r="CG97" s="84">
        <f t="shared" si="53"/>
        <v>8057</v>
      </c>
      <c r="CH97" s="84">
        <f t="shared" si="54"/>
        <v>9.7431140961348004E-3</v>
      </c>
      <c r="CT97" s="84"/>
      <c r="CU97" s="84" t="s">
        <v>129</v>
      </c>
      <c r="CV97" s="84">
        <f>DA53</f>
        <v>503098</v>
      </c>
      <c r="CW97" s="84">
        <f t="shared" si="55"/>
        <v>479262</v>
      </c>
      <c r="CX97" s="84">
        <f t="shared" si="56"/>
        <v>0.58597844028284385</v>
      </c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 t="s">
        <v>129</v>
      </c>
      <c r="DL97" s="84">
        <f>DQ53</f>
        <v>26507</v>
      </c>
      <c r="DM97" s="84">
        <f t="shared" si="57"/>
        <v>3421</v>
      </c>
      <c r="DN97" s="84">
        <f t="shared" si="58"/>
        <v>4.1798044944607307E-3</v>
      </c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</row>
    <row r="98" spans="3:129" x14ac:dyDescent="0.2">
      <c r="C98" s="84" t="s">
        <v>130</v>
      </c>
      <c r="D98" s="84">
        <f>J53</f>
        <v>32340</v>
      </c>
      <c r="E98" s="84">
        <f t="shared" si="43"/>
        <v>13727</v>
      </c>
      <c r="F98" s="84">
        <f t="shared" si="44"/>
        <v>1.7412438343896608E-2</v>
      </c>
      <c r="S98" s="84" t="s">
        <v>130</v>
      </c>
      <c r="T98" s="84">
        <f>Z53</f>
        <v>36189</v>
      </c>
      <c r="U98" s="84">
        <f t="shared" si="45"/>
        <v>16968</v>
      </c>
      <c r="V98" s="84">
        <f t="shared" si="46"/>
        <v>2.1451078843376235E-2</v>
      </c>
      <c r="AI98" s="84" t="s">
        <v>130</v>
      </c>
      <c r="AJ98" s="84">
        <f>AP53</f>
        <v>65764</v>
      </c>
      <c r="AK98" s="84">
        <f t="shared" si="47"/>
        <v>44028</v>
      </c>
      <c r="AL98" s="84">
        <f t="shared" si="48"/>
        <v>5.3684913890510159E-2</v>
      </c>
      <c r="AY98" s="84" t="s">
        <v>130</v>
      </c>
      <c r="AZ98" s="84">
        <f>BF53</f>
        <v>51253</v>
      </c>
      <c r="BA98" s="84">
        <f t="shared" si="49"/>
        <v>28158</v>
      </c>
      <c r="BB98" s="84">
        <f t="shared" si="50"/>
        <v>3.4482646012620043E-2</v>
      </c>
      <c r="BO98" s="84" t="s">
        <v>130</v>
      </c>
      <c r="BP98" s="84">
        <f>BV53</f>
        <v>253583</v>
      </c>
      <c r="BQ98" s="84">
        <f t="shared" si="51"/>
        <v>233744</v>
      </c>
      <c r="BR98" s="84">
        <f t="shared" si="52"/>
        <v>0.27951500062481427</v>
      </c>
      <c r="CE98" s="84" t="s">
        <v>130</v>
      </c>
      <c r="CF98" s="84">
        <f>CL53</f>
        <v>32288</v>
      </c>
      <c r="CG98" s="84">
        <f t="shared" si="53"/>
        <v>7955</v>
      </c>
      <c r="CH98" s="84">
        <f t="shared" si="54"/>
        <v>9.6197682307003016E-3</v>
      </c>
      <c r="CT98" s="84"/>
      <c r="CU98" s="84" t="s">
        <v>130</v>
      </c>
      <c r="CV98" s="84">
        <f>DB53</f>
        <v>563169</v>
      </c>
      <c r="CW98" s="84">
        <f t="shared" si="55"/>
        <v>539333</v>
      </c>
      <c r="CX98" s="84">
        <f t="shared" si="56"/>
        <v>0.65942534591323132</v>
      </c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 t="s">
        <v>130</v>
      </c>
      <c r="DL98" s="84">
        <f>DR53</f>
        <v>26691</v>
      </c>
      <c r="DM98" s="84">
        <f t="shared" si="57"/>
        <v>3605</v>
      </c>
      <c r="DN98" s="84">
        <f t="shared" si="58"/>
        <v>4.4046171302341225E-3</v>
      </c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</row>
    <row r="99" spans="3:129" x14ac:dyDescent="0.2">
      <c r="C99" s="84" t="s">
        <v>131</v>
      </c>
      <c r="D99" s="84">
        <f>K53</f>
        <v>33508</v>
      </c>
      <c r="E99" s="84">
        <f t="shared" si="43"/>
        <v>14895</v>
      </c>
      <c r="F99" s="84">
        <f t="shared" si="44"/>
        <v>1.8894024122702701E-2</v>
      </c>
      <c r="S99" s="84" t="s">
        <v>131</v>
      </c>
      <c r="T99" s="84">
        <f>AA53</f>
        <v>39512</v>
      </c>
      <c r="U99" s="84">
        <f t="shared" si="45"/>
        <v>20291</v>
      </c>
      <c r="V99" s="84">
        <f t="shared" si="46"/>
        <v>2.5652041537656014E-2</v>
      </c>
      <c r="AI99" s="84" t="s">
        <v>131</v>
      </c>
      <c r="AJ99" s="84">
        <f>AQ53</f>
        <v>80781</v>
      </c>
      <c r="AK99" s="84">
        <f t="shared" si="47"/>
        <v>59045</v>
      </c>
      <c r="AL99" s="84">
        <f t="shared" si="48"/>
        <v>7.1995678674143096E-2</v>
      </c>
      <c r="AY99" s="84" t="s">
        <v>131</v>
      </c>
      <c r="AZ99" s="84">
        <f>BG53</f>
        <v>61382</v>
      </c>
      <c r="BA99" s="84">
        <f t="shared" si="49"/>
        <v>38287</v>
      </c>
      <c r="BB99" s="84">
        <f t="shared" si="50"/>
        <v>4.6886748628637814E-2</v>
      </c>
      <c r="BO99" s="84" t="s">
        <v>131</v>
      </c>
      <c r="BP99" s="84">
        <f>BW53</f>
        <v>304156</v>
      </c>
      <c r="BQ99" s="84">
        <f t="shared" si="51"/>
        <v>284317</v>
      </c>
      <c r="BR99" s="84">
        <f t="shared" si="52"/>
        <v>0.33999104333221525</v>
      </c>
      <c r="CE99" s="84" t="s">
        <v>131</v>
      </c>
      <c r="CF99" s="84">
        <f>CM53</f>
        <v>37165</v>
      </c>
      <c r="CG99" s="84">
        <f t="shared" si="53"/>
        <v>12832</v>
      </c>
      <c r="CH99" s="84">
        <f t="shared" si="54"/>
        <v>1.551739358093605E-2</v>
      </c>
      <c r="CT99" s="84"/>
      <c r="CU99" s="84" t="s">
        <v>131</v>
      </c>
      <c r="CV99" s="84">
        <f>DC53</f>
        <v>565832</v>
      </c>
      <c r="CW99" s="84">
        <f t="shared" si="55"/>
        <v>541996</v>
      </c>
      <c r="CX99" s="84">
        <f t="shared" si="56"/>
        <v>0.66268131151549725</v>
      </c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 t="s">
        <v>131</v>
      </c>
      <c r="DL99" s="84">
        <f>DS53</f>
        <v>28132</v>
      </c>
      <c r="DM99" s="84">
        <f t="shared" si="57"/>
        <v>5046</v>
      </c>
      <c r="DN99" s="84">
        <f t="shared" si="58"/>
        <v>6.1652421745246556E-3</v>
      </c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</row>
    <row r="100" spans="3:129" x14ac:dyDescent="0.2">
      <c r="C100" s="84" t="s">
        <v>132</v>
      </c>
      <c r="D100" s="84">
        <f>L53</f>
        <v>32741</v>
      </c>
      <c r="E100" s="84">
        <f t="shared" si="43"/>
        <v>14128</v>
      </c>
      <c r="F100" s="84">
        <f t="shared" si="44"/>
        <v>1.7921099214873702E-2</v>
      </c>
      <c r="S100" s="84" t="s">
        <v>132</v>
      </c>
      <c r="T100" s="84">
        <f>AB53</f>
        <v>40396</v>
      </c>
      <c r="U100" s="84">
        <f t="shared" si="45"/>
        <v>21175</v>
      </c>
      <c r="V100" s="84">
        <f t="shared" si="46"/>
        <v>2.6769601279378347E-2</v>
      </c>
      <c r="AI100" s="84" t="s">
        <v>132</v>
      </c>
      <c r="AJ100" s="84">
        <f>AR53</f>
        <v>71603</v>
      </c>
      <c r="AK100" s="84">
        <f t="shared" si="47"/>
        <v>49867</v>
      </c>
      <c r="AL100" s="84">
        <f t="shared" si="48"/>
        <v>6.0804615267058916E-2</v>
      </c>
      <c r="AY100" s="84" t="s">
        <v>132</v>
      </c>
      <c r="AZ100" s="84">
        <f>BH53</f>
        <v>55735</v>
      </c>
      <c r="BA100" s="84">
        <f t="shared" si="49"/>
        <v>32640</v>
      </c>
      <c r="BB100" s="84">
        <f t="shared" si="50"/>
        <v>3.9971360389655451E-2</v>
      </c>
      <c r="BO100" s="84" t="s">
        <v>132</v>
      </c>
      <c r="BP100" s="84">
        <f>BX53</f>
        <v>293992</v>
      </c>
      <c r="BQ100" s="84">
        <f t="shared" si="51"/>
        <v>274153</v>
      </c>
      <c r="BR100" s="84">
        <f t="shared" si="52"/>
        <v>0.32783676144112667</v>
      </c>
      <c r="CE100" s="84" t="s">
        <v>132</v>
      </c>
      <c r="CF100" s="84">
        <f>CN53</f>
        <v>38620</v>
      </c>
      <c r="CG100" s="84">
        <f t="shared" si="53"/>
        <v>14287</v>
      </c>
      <c r="CH100" s="84">
        <f t="shared" si="54"/>
        <v>1.7276886073163446E-2</v>
      </c>
      <c r="CT100" s="84"/>
      <c r="CU100" s="84" t="s">
        <v>132</v>
      </c>
      <c r="CV100" s="84">
        <f>DD53</f>
        <v>582717</v>
      </c>
      <c r="CW100" s="84">
        <f t="shared" si="55"/>
        <v>558881</v>
      </c>
      <c r="CX100" s="84">
        <f t="shared" si="56"/>
        <v>0.68332606524972994</v>
      </c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 t="s">
        <v>132</v>
      </c>
      <c r="DL100" s="84">
        <f>DT53</f>
        <v>28963</v>
      </c>
      <c r="DM100" s="84">
        <f t="shared" si="57"/>
        <v>5877</v>
      </c>
      <c r="DN100" s="84">
        <f t="shared" si="58"/>
        <v>7.180564458914269E-3</v>
      </c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</row>
    <row r="101" spans="3:129" x14ac:dyDescent="0.2">
      <c r="C101" s="84" t="s">
        <v>133</v>
      </c>
      <c r="D101" s="84">
        <f>M53</f>
        <v>33183</v>
      </c>
      <c r="E101" s="84">
        <f t="shared" si="43"/>
        <v>14570</v>
      </c>
      <c r="F101" s="84">
        <f t="shared" si="44"/>
        <v>1.8481767805826006E-2</v>
      </c>
      <c r="S101" s="84" t="s">
        <v>133</v>
      </c>
      <c r="T101" s="84">
        <f>AC53</f>
        <v>41324</v>
      </c>
      <c r="U101" s="84">
        <f t="shared" si="45"/>
        <v>22103</v>
      </c>
      <c r="V101" s="84">
        <f t="shared" si="46"/>
        <v>2.7942786166616277E-2</v>
      </c>
      <c r="AI101" s="84" t="s">
        <v>133</v>
      </c>
      <c r="AJ101" s="84">
        <f>AS53</f>
        <v>92164</v>
      </c>
      <c r="AK101" s="84">
        <f t="shared" si="47"/>
        <v>70428</v>
      </c>
      <c r="AL101" s="84">
        <f t="shared" si="48"/>
        <v>8.5875377384411047E-2</v>
      </c>
      <c r="AY101" s="84" t="s">
        <v>133</v>
      </c>
      <c r="AZ101" s="84">
        <f>BI53</f>
        <v>54759</v>
      </c>
      <c r="BA101" s="84">
        <f t="shared" si="49"/>
        <v>31664</v>
      </c>
      <c r="BB101" s="84">
        <f t="shared" si="50"/>
        <v>3.8776138338788305E-2</v>
      </c>
      <c r="BO101" s="84" t="s">
        <v>133</v>
      </c>
      <c r="BP101" s="84">
        <f>BY53</f>
        <v>333003</v>
      </c>
      <c r="BQ101" s="84">
        <f t="shared" si="51"/>
        <v>313164</v>
      </c>
      <c r="BR101" s="84">
        <f t="shared" si="52"/>
        <v>0.37448677037985717</v>
      </c>
      <c r="CE101" s="84" t="s">
        <v>133</v>
      </c>
      <c r="CF101" s="84">
        <f>CO53</f>
        <v>36804</v>
      </c>
      <c r="CG101" s="84">
        <f t="shared" si="53"/>
        <v>12471</v>
      </c>
      <c r="CH101" s="84">
        <f t="shared" si="54"/>
        <v>1.5080845959153171E-2</v>
      </c>
      <c r="CT101" s="84"/>
      <c r="CU101" s="84" t="s">
        <v>133</v>
      </c>
      <c r="CV101" s="84">
        <f>DE53</f>
        <v>620011</v>
      </c>
      <c r="CW101" s="84">
        <f t="shared" si="55"/>
        <v>596175</v>
      </c>
      <c r="CX101" s="84">
        <f t="shared" si="56"/>
        <v>0.72892425570069075</v>
      </c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 t="s">
        <v>133</v>
      </c>
      <c r="DL101" s="84">
        <f>DU53</f>
        <v>29247</v>
      </c>
      <c r="DM101" s="84">
        <f t="shared" si="57"/>
        <v>6161</v>
      </c>
      <c r="DN101" s="84">
        <f t="shared" si="58"/>
        <v>7.5275578749992873E-3</v>
      </c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</row>
    <row r="102" spans="3:129" x14ac:dyDescent="0.2">
      <c r="C102" s="84" t="s">
        <v>134</v>
      </c>
      <c r="D102" s="84">
        <f>N53</f>
        <v>35810</v>
      </c>
      <c r="E102" s="84">
        <f t="shared" si="43"/>
        <v>17197</v>
      </c>
      <c r="F102" s="84">
        <f t="shared" si="44"/>
        <v>2.1814067327164711E-2</v>
      </c>
      <c r="S102" s="84" t="s">
        <v>134</v>
      </c>
      <c r="T102" s="84">
        <f>AD53</f>
        <v>37152</v>
      </c>
      <c r="U102" s="84">
        <f t="shared" si="45"/>
        <v>17931</v>
      </c>
      <c r="V102" s="84">
        <f t="shared" si="46"/>
        <v>2.266851100545611E-2</v>
      </c>
      <c r="AI102" s="84" t="s">
        <v>134</v>
      </c>
      <c r="AJ102" s="84">
        <f>AT53</f>
        <v>91578</v>
      </c>
      <c r="AK102" s="84">
        <f t="shared" si="47"/>
        <v>69842</v>
      </c>
      <c r="AL102" s="84">
        <f t="shared" si="48"/>
        <v>8.5160846641705507E-2</v>
      </c>
      <c r="AY102" s="84" t="s">
        <v>134</v>
      </c>
      <c r="AZ102" s="84">
        <f>BJ53</f>
        <v>58013</v>
      </c>
      <c r="BA102" s="84">
        <f t="shared" si="49"/>
        <v>34918</v>
      </c>
      <c r="BB102" s="84">
        <f t="shared" si="50"/>
        <v>4.2761028250183492E-2</v>
      </c>
      <c r="BO102" s="84" t="s">
        <v>134</v>
      </c>
      <c r="BP102" s="84">
        <f>BZ53</f>
        <v>372974</v>
      </c>
      <c r="BQ102" s="84">
        <f t="shared" si="51"/>
        <v>353135</v>
      </c>
      <c r="BR102" s="84">
        <f t="shared" si="52"/>
        <v>0.42228476344053234</v>
      </c>
      <c r="CE102" s="84" t="s">
        <v>134</v>
      </c>
      <c r="CF102" s="84">
        <f>CP53</f>
        <v>43607</v>
      </c>
      <c r="CG102" s="84">
        <f t="shared" si="53"/>
        <v>19274</v>
      </c>
      <c r="CH102" s="84">
        <f t="shared" si="54"/>
        <v>2.3307531474357965E-2</v>
      </c>
      <c r="CT102" s="84"/>
      <c r="CU102" s="84" t="s">
        <v>134</v>
      </c>
      <c r="CV102" s="84">
        <f>DF53</f>
        <v>627361</v>
      </c>
      <c r="CW102" s="84">
        <f t="shared" si="55"/>
        <v>603525</v>
      </c>
      <c r="CX102" s="84">
        <f t="shared" si="56"/>
        <v>0.73791086748313728</v>
      </c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 t="s">
        <v>134</v>
      </c>
      <c r="DL102" s="84">
        <f>DV53</f>
        <v>35571</v>
      </c>
      <c r="DM102" s="84">
        <f t="shared" si="57"/>
        <v>12485</v>
      </c>
      <c r="DN102" s="84">
        <f t="shared" si="58"/>
        <v>1.5254270421906524E-2</v>
      </c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</row>
    <row r="103" spans="3:129" x14ac:dyDescent="0.2">
      <c r="C103" t="s">
        <v>135</v>
      </c>
      <c r="D103" s="84">
        <f>E54</f>
        <v>18656</v>
      </c>
      <c r="E103" s="84">
        <f t="shared" si="43"/>
        <v>43</v>
      </c>
      <c r="F103" s="84">
        <f t="shared" si="44"/>
        <v>5.4544681925224315E-5</v>
      </c>
      <c r="S103" s="84" t="s">
        <v>135</v>
      </c>
      <c r="T103" s="84">
        <f>U54</f>
        <v>19137</v>
      </c>
      <c r="U103" s="84">
        <f t="shared" si="45"/>
        <v>-84</v>
      </c>
      <c r="V103" s="84">
        <f t="shared" si="46"/>
        <v>-1.0619345962067444E-4</v>
      </c>
      <c r="AI103" s="84" t="s">
        <v>135</v>
      </c>
      <c r="AJ103" s="84">
        <f>AK54</f>
        <v>22160</v>
      </c>
      <c r="AK103" s="84">
        <f t="shared" si="47"/>
        <v>424</v>
      </c>
      <c r="AL103" s="84">
        <f t="shared" si="48"/>
        <v>5.1699835308386267E-4</v>
      </c>
      <c r="AY103" s="84" t="s">
        <v>135</v>
      </c>
      <c r="AZ103" s="84">
        <f>BA54</f>
        <v>23222</v>
      </c>
      <c r="BA103" s="84">
        <f t="shared" si="49"/>
        <v>127</v>
      </c>
      <c r="BB103" s="84">
        <f t="shared" si="50"/>
        <v>1.555258201435736E-4</v>
      </c>
      <c r="BO103" s="84" t="s">
        <v>135</v>
      </c>
      <c r="BP103" s="84">
        <f>BQ54</f>
        <v>19832</v>
      </c>
      <c r="BQ103" s="84">
        <f t="shared" si="51"/>
        <v>-7</v>
      </c>
      <c r="BR103" s="84">
        <f t="shared" si="52"/>
        <v>-8.3707175558461398E-6</v>
      </c>
      <c r="CE103" s="84" t="s">
        <v>135</v>
      </c>
      <c r="CF103" s="84">
        <f>CG54</f>
        <v>23946</v>
      </c>
      <c r="CG103" s="84">
        <f t="shared" si="53"/>
        <v>-387</v>
      </c>
      <c r="CH103" s="84">
        <f t="shared" si="54"/>
        <v>-4.6798872473677148E-4</v>
      </c>
      <c r="CT103" s="84"/>
      <c r="CU103" s="84" t="s">
        <v>135</v>
      </c>
      <c r="CV103" s="84">
        <f>CW54</f>
        <v>23608</v>
      </c>
      <c r="CW103" s="84">
        <f t="shared" si="55"/>
        <v>-228</v>
      </c>
      <c r="CX103" s="84">
        <f t="shared" si="56"/>
        <v>-2.7876836549630139E-4</v>
      </c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 t="s">
        <v>135</v>
      </c>
      <c r="DL103" s="84">
        <f>DM54</f>
        <v>23016</v>
      </c>
      <c r="DM103" s="84">
        <f t="shared" si="57"/>
        <v>-71</v>
      </c>
      <c r="DN103" s="84">
        <f t="shared" si="58"/>
        <v>-8.6748354021254562E-5</v>
      </c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</row>
    <row r="104" spans="3:129" x14ac:dyDescent="0.2">
      <c r="C104" s="84" t="s">
        <v>136</v>
      </c>
      <c r="D104" s="84">
        <f>F54</f>
        <v>788169</v>
      </c>
      <c r="E104" s="84">
        <f t="shared" si="43"/>
        <v>769556</v>
      </c>
      <c r="F104" s="84">
        <f t="shared" si="44"/>
        <v>0.97616714520111447</v>
      </c>
      <c r="S104" s="84" t="s">
        <v>136</v>
      </c>
      <c r="T104" s="84">
        <f>V54</f>
        <v>789632</v>
      </c>
      <c r="U104" s="84">
        <f t="shared" si="45"/>
        <v>770411</v>
      </c>
      <c r="V104" s="84">
        <f t="shared" si="46"/>
        <v>0.97395963595027879</v>
      </c>
      <c r="AI104" s="84" t="s">
        <v>136</v>
      </c>
      <c r="AJ104" s="84">
        <f>AL54</f>
        <v>813879</v>
      </c>
      <c r="AK104" s="84">
        <f t="shared" si="47"/>
        <v>792143</v>
      </c>
      <c r="AL104" s="84">
        <f t="shared" si="48"/>
        <v>0.96588826982761844</v>
      </c>
      <c r="AY104" s="84" t="s">
        <v>136</v>
      </c>
      <c r="AZ104" s="84">
        <f>BB54</f>
        <v>825864</v>
      </c>
      <c r="BA104" s="84">
        <f t="shared" si="49"/>
        <v>802769</v>
      </c>
      <c r="BB104" s="84">
        <f t="shared" si="50"/>
        <v>0.98308115835304288</v>
      </c>
      <c r="BO104" s="84" t="s">
        <v>136</v>
      </c>
      <c r="BP104" s="84">
        <f>BR54</f>
        <v>835165</v>
      </c>
      <c r="BQ104" s="84">
        <f t="shared" si="51"/>
        <v>815326</v>
      </c>
      <c r="BR104" s="84">
        <f t="shared" si="52"/>
        <v>0.97498052313397277</v>
      </c>
      <c r="CE104" s="84" t="s">
        <v>136</v>
      </c>
      <c r="CF104" s="84">
        <f>CH54</f>
        <v>832252</v>
      </c>
      <c r="CG104" s="84">
        <f t="shared" si="53"/>
        <v>807919</v>
      </c>
      <c r="CH104" s="84">
        <f t="shared" si="54"/>
        <v>0.97699478682327556</v>
      </c>
      <c r="CT104" s="84"/>
      <c r="CU104" s="84" t="s">
        <v>136</v>
      </c>
      <c r="CV104" s="84">
        <f>CX54</f>
        <v>810929</v>
      </c>
      <c r="CW104" s="84">
        <f t="shared" si="55"/>
        <v>787093</v>
      </c>
      <c r="CX104" s="84">
        <f t="shared" si="56"/>
        <v>0.96235363641921212</v>
      </c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 t="s">
        <v>136</v>
      </c>
      <c r="DL104" s="84">
        <f>DN54</f>
        <v>818070</v>
      </c>
      <c r="DM104" s="84">
        <f t="shared" si="57"/>
        <v>794984</v>
      </c>
      <c r="DN104" s="84">
        <f t="shared" si="58"/>
        <v>0.97131765455257801</v>
      </c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</row>
    <row r="105" spans="3:129" x14ac:dyDescent="0.2">
      <c r="C105" s="84" t="s">
        <v>137</v>
      </c>
      <c r="D105" s="84">
        <f>G54</f>
        <v>36133</v>
      </c>
      <c r="E105" s="84">
        <f t="shared" si="43"/>
        <v>17520</v>
      </c>
      <c r="F105" s="84">
        <f t="shared" si="44"/>
        <v>2.2223786682091396E-2</v>
      </c>
      <c r="S105" s="84" t="s">
        <v>137</v>
      </c>
      <c r="T105" s="84">
        <f>W54</f>
        <v>42077</v>
      </c>
      <c r="U105" s="84">
        <f t="shared" si="45"/>
        <v>22856</v>
      </c>
      <c r="V105" s="84">
        <f t="shared" si="46"/>
        <v>2.8894734679644464E-2</v>
      </c>
      <c r="AI105" s="84" t="s">
        <v>137</v>
      </c>
      <c r="AJ105" s="84">
        <f>AM54</f>
        <v>84256</v>
      </c>
      <c r="AK105" s="84">
        <f t="shared" si="47"/>
        <v>62520</v>
      </c>
      <c r="AL105" s="84">
        <f t="shared" si="48"/>
        <v>7.6232870365101638E-2</v>
      </c>
      <c r="AY105" s="84" t="s">
        <v>137</v>
      </c>
      <c r="AZ105" s="84">
        <f>BC54</f>
        <v>54075</v>
      </c>
      <c r="BA105" s="84">
        <f t="shared" si="49"/>
        <v>30980</v>
      </c>
      <c r="BB105" s="84">
        <f t="shared" si="50"/>
        <v>3.793850321297567E-2</v>
      </c>
      <c r="BO105" s="84" t="s">
        <v>137</v>
      </c>
      <c r="BP105" s="84">
        <f>BS54</f>
        <v>163642</v>
      </c>
      <c r="BQ105" s="84">
        <f t="shared" si="51"/>
        <v>143803</v>
      </c>
      <c r="BR105" s="84">
        <f t="shared" si="52"/>
        <v>0.17196204238333462</v>
      </c>
      <c r="CE105" s="84" t="s">
        <v>137</v>
      </c>
      <c r="CF105" s="84">
        <f>CI54</f>
        <v>35518</v>
      </c>
      <c r="CG105" s="84">
        <f t="shared" si="53"/>
        <v>11185</v>
      </c>
      <c r="CH105" s="84">
        <f t="shared" si="54"/>
        <v>1.352572063612607E-2</v>
      </c>
      <c r="CT105" s="84"/>
      <c r="CU105" s="84" t="s">
        <v>137</v>
      </c>
      <c r="CV105" s="84">
        <f>CY54</f>
        <v>415711</v>
      </c>
      <c r="CW105" s="84">
        <f t="shared" si="55"/>
        <v>391875</v>
      </c>
      <c r="CX105" s="84">
        <f t="shared" si="56"/>
        <v>0.47913312819676807</v>
      </c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 t="s">
        <v>137</v>
      </c>
      <c r="DL105" s="84">
        <f>DO54</f>
        <v>24979</v>
      </c>
      <c r="DM105" s="84">
        <f t="shared" si="57"/>
        <v>1893</v>
      </c>
      <c r="DN105" s="84">
        <f t="shared" si="58"/>
        <v>2.312882171299083E-3</v>
      </c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</row>
    <row r="106" spans="3:129" x14ac:dyDescent="0.2">
      <c r="C106" s="84" t="s">
        <v>138</v>
      </c>
      <c r="D106" s="84">
        <f>H54</f>
        <v>34680</v>
      </c>
      <c r="E106" s="84">
        <f t="shared" si="43"/>
        <v>16067</v>
      </c>
      <c r="F106" s="84">
        <f t="shared" si="44"/>
        <v>2.0380683825408814E-2</v>
      </c>
      <c r="S106" s="84" t="s">
        <v>138</v>
      </c>
      <c r="T106" s="84">
        <f>X54</f>
        <v>40278</v>
      </c>
      <c r="U106" s="84">
        <f t="shared" si="45"/>
        <v>21057</v>
      </c>
      <c r="V106" s="84">
        <f t="shared" si="46"/>
        <v>2.6620424752768355E-2</v>
      </c>
      <c r="AI106" s="84" t="s">
        <v>138</v>
      </c>
      <c r="AJ106" s="84">
        <f>AN54</f>
        <v>67215</v>
      </c>
      <c r="AK106" s="84">
        <f t="shared" si="47"/>
        <v>45479</v>
      </c>
      <c r="AL106" s="84">
        <f t="shared" si="48"/>
        <v>5.5454170046936299E-2</v>
      </c>
      <c r="AY106" s="84" t="s">
        <v>138</v>
      </c>
      <c r="AZ106" s="84">
        <f>BD54</f>
        <v>46364</v>
      </c>
      <c r="BA106" s="84">
        <f t="shared" si="49"/>
        <v>23269</v>
      </c>
      <c r="BB106" s="84">
        <f t="shared" si="50"/>
        <v>2.8495514243470979E-2</v>
      </c>
      <c r="BO106" s="84" t="s">
        <v>138</v>
      </c>
      <c r="BP106" s="84">
        <f>BT54</f>
        <v>208036</v>
      </c>
      <c r="BQ106" s="84">
        <f t="shared" si="51"/>
        <v>188197</v>
      </c>
      <c r="BR106" s="84">
        <f t="shared" si="52"/>
        <v>0.22504913312251082</v>
      </c>
      <c r="CE106" s="84" t="s">
        <v>138</v>
      </c>
      <c r="CF106" s="84">
        <f>CJ54</f>
        <v>33131</v>
      </c>
      <c r="CG106" s="84">
        <f t="shared" si="53"/>
        <v>8798</v>
      </c>
      <c r="CH106" s="84">
        <f t="shared" si="54"/>
        <v>1.0639185530320712E-2</v>
      </c>
      <c r="CT106" s="84"/>
      <c r="CU106" s="84" t="s">
        <v>138</v>
      </c>
      <c r="CV106" s="84">
        <f>CZ54</f>
        <v>439163</v>
      </c>
      <c r="CW106" s="84">
        <f t="shared" si="55"/>
        <v>415327</v>
      </c>
      <c r="CX106" s="84">
        <f t="shared" si="56"/>
        <v>0.50780714445825603</v>
      </c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 t="s">
        <v>138</v>
      </c>
      <c r="DL106" s="84">
        <f>DP54</f>
        <v>25011</v>
      </c>
      <c r="DM106" s="84">
        <f t="shared" si="57"/>
        <v>1925</v>
      </c>
      <c r="DN106" s="84">
        <f t="shared" si="58"/>
        <v>2.3519800209988034E-3</v>
      </c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</row>
    <row r="107" spans="3:129" x14ac:dyDescent="0.2">
      <c r="C107" s="84" t="s">
        <v>139</v>
      </c>
      <c r="D107" s="84">
        <f>I54</f>
        <v>33389</v>
      </c>
      <c r="E107" s="84">
        <f t="shared" si="43"/>
        <v>14776</v>
      </c>
      <c r="F107" s="84">
        <f t="shared" si="44"/>
        <v>1.8743074886677081E-2</v>
      </c>
      <c r="S107" s="84" t="s">
        <v>139</v>
      </c>
      <c r="T107" s="84">
        <f>Y54</f>
        <v>39655</v>
      </c>
      <c r="U107" s="84">
        <f t="shared" si="45"/>
        <v>20434</v>
      </c>
      <c r="V107" s="84">
        <f t="shared" si="46"/>
        <v>2.5832823260581686E-2</v>
      </c>
      <c r="AI107" s="84" t="s">
        <v>139</v>
      </c>
      <c r="AJ107" s="84">
        <f>AO54</f>
        <v>70421</v>
      </c>
      <c r="AK107" s="84">
        <f t="shared" si="47"/>
        <v>48685</v>
      </c>
      <c r="AL107" s="84">
        <f t="shared" si="48"/>
        <v>5.9363360424263809E-2</v>
      </c>
      <c r="AY107" s="84" t="s">
        <v>139</v>
      </c>
      <c r="AZ107" s="84">
        <f>BE54</f>
        <v>47494</v>
      </c>
      <c r="BA107" s="84">
        <f t="shared" si="49"/>
        <v>24399</v>
      </c>
      <c r="BB107" s="84">
        <f t="shared" si="50"/>
        <v>2.9879326658921672E-2</v>
      </c>
      <c r="BO107" s="84" t="s">
        <v>139</v>
      </c>
      <c r="BP107" s="84">
        <f>BU54</f>
        <v>180887</v>
      </c>
      <c r="BQ107" s="84">
        <f t="shared" si="51"/>
        <v>161048</v>
      </c>
      <c r="BR107" s="84">
        <f t="shared" si="52"/>
        <v>0.19258390299055844</v>
      </c>
      <c r="CE107" s="84" t="s">
        <v>139</v>
      </c>
      <c r="CF107" s="84">
        <f>CK54</f>
        <v>32611</v>
      </c>
      <c r="CG107" s="84">
        <f t="shared" si="53"/>
        <v>8278</v>
      </c>
      <c r="CH107" s="84">
        <f t="shared" si="54"/>
        <v>1.0010363471242879E-2</v>
      </c>
      <c r="CT107" s="84"/>
      <c r="CU107" s="84" t="s">
        <v>139</v>
      </c>
      <c r="CV107" s="84">
        <f>DA54</f>
        <v>488492</v>
      </c>
      <c r="CW107" s="84">
        <f t="shared" si="55"/>
        <v>464656</v>
      </c>
      <c r="CX107" s="84">
        <f t="shared" si="56"/>
        <v>0.56812014753530449</v>
      </c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 t="s">
        <v>139</v>
      </c>
      <c r="DL107" s="84">
        <f>DQ54</f>
        <v>23985</v>
      </c>
      <c r="DM107" s="84">
        <f t="shared" si="57"/>
        <v>899</v>
      </c>
      <c r="DN107" s="84">
        <f t="shared" si="58"/>
        <v>1.098405215001519E-3</v>
      </c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</row>
    <row r="108" spans="3:129" x14ac:dyDescent="0.2">
      <c r="C108" s="84" t="s">
        <v>140</v>
      </c>
      <c r="D108" s="84">
        <f>J54</f>
        <v>34570</v>
      </c>
      <c r="E108" s="84">
        <f t="shared" si="43"/>
        <v>15957</v>
      </c>
      <c r="F108" s="84">
        <f t="shared" si="44"/>
        <v>2.0241150918158243E-2</v>
      </c>
      <c r="S108" s="84" t="s">
        <v>140</v>
      </c>
      <c r="T108" s="84">
        <f>Z54</f>
        <v>40889</v>
      </c>
      <c r="U108" s="84">
        <f t="shared" si="45"/>
        <v>21668</v>
      </c>
      <c r="V108" s="84">
        <f t="shared" si="46"/>
        <v>2.7392855750723498E-2</v>
      </c>
      <c r="AI108" s="84" t="s">
        <v>140</v>
      </c>
      <c r="AJ108" s="84">
        <f>AP54</f>
        <v>73338</v>
      </c>
      <c r="AK108" s="84">
        <f t="shared" si="47"/>
        <v>51602</v>
      </c>
      <c r="AL108" s="84">
        <f t="shared" si="48"/>
        <v>6.2920162773192179E-2</v>
      </c>
      <c r="AY108" s="84" t="s">
        <v>140</v>
      </c>
      <c r="AZ108" s="84">
        <f>BF54</f>
        <v>47242</v>
      </c>
      <c r="BA108" s="84">
        <f t="shared" si="49"/>
        <v>24147</v>
      </c>
      <c r="BB108" s="84">
        <f t="shared" si="50"/>
        <v>2.9570724244148597E-2</v>
      </c>
      <c r="BO108" s="84" t="s">
        <v>140</v>
      </c>
      <c r="BP108" s="84">
        <f>BV54</f>
        <v>197393</v>
      </c>
      <c r="BQ108" s="84">
        <f t="shared" si="51"/>
        <v>177554</v>
      </c>
      <c r="BR108" s="84">
        <f t="shared" si="52"/>
        <v>0.21232205498724363</v>
      </c>
      <c r="CE108" s="84" t="s">
        <v>140</v>
      </c>
      <c r="CF108" s="84">
        <f>CL54</f>
        <v>39554</v>
      </c>
      <c r="CG108" s="84">
        <f t="shared" si="53"/>
        <v>15221</v>
      </c>
      <c r="CH108" s="84">
        <f t="shared" si="54"/>
        <v>1.8406347233122476E-2</v>
      </c>
      <c r="CT108" s="84"/>
      <c r="CU108" s="84" t="s">
        <v>140</v>
      </c>
      <c r="CV108" s="84">
        <f>DB54</f>
        <v>474259</v>
      </c>
      <c r="CW108" s="84">
        <f t="shared" si="55"/>
        <v>450423</v>
      </c>
      <c r="CX108" s="84">
        <f t="shared" si="56"/>
        <v>0.55071791005237092</v>
      </c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 t="s">
        <v>140</v>
      </c>
      <c r="DL108" s="84">
        <f>DR54</f>
        <v>24468</v>
      </c>
      <c r="DM108" s="84">
        <f t="shared" si="57"/>
        <v>1382</v>
      </c>
      <c r="DN108" s="84">
        <f t="shared" si="58"/>
        <v>1.6885383839066734E-3</v>
      </c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</row>
    <row r="109" spans="3:129" x14ac:dyDescent="0.2">
      <c r="C109" s="84" t="s">
        <v>141</v>
      </c>
      <c r="D109" s="84">
        <f>K54</f>
        <v>35800</v>
      </c>
      <c r="E109" s="84">
        <f t="shared" si="43"/>
        <v>17187</v>
      </c>
      <c r="F109" s="84">
        <f t="shared" si="44"/>
        <v>2.1801382517414657E-2</v>
      </c>
      <c r="S109" s="84" t="s">
        <v>141</v>
      </c>
      <c r="T109" s="84">
        <f>AA54</f>
        <v>40992</v>
      </c>
      <c r="U109" s="84">
        <f t="shared" si="45"/>
        <v>21771</v>
      </c>
      <c r="V109" s="84">
        <f t="shared" si="46"/>
        <v>2.7523069159544087E-2</v>
      </c>
      <c r="AI109" s="84" t="s">
        <v>141</v>
      </c>
      <c r="AJ109" s="84">
        <f>AQ54</f>
        <v>74151</v>
      </c>
      <c r="AK109" s="84">
        <f t="shared" si="47"/>
        <v>52415</v>
      </c>
      <c r="AL109" s="84">
        <f t="shared" si="48"/>
        <v>6.3911482728515712E-2</v>
      </c>
      <c r="AY109" s="84" t="s">
        <v>141</v>
      </c>
      <c r="AZ109" s="84">
        <f>BG54</f>
        <v>51666</v>
      </c>
      <c r="BA109" s="84">
        <f t="shared" si="49"/>
        <v>28571</v>
      </c>
      <c r="BB109" s="84">
        <f t="shared" si="50"/>
        <v>3.4988411081275921E-2</v>
      </c>
      <c r="BO109" s="84" t="s">
        <v>141</v>
      </c>
      <c r="BP109" s="84">
        <f>BW54</f>
        <v>191755</v>
      </c>
      <c r="BQ109" s="84">
        <f t="shared" si="51"/>
        <v>171916</v>
      </c>
      <c r="BR109" s="84">
        <f t="shared" si="52"/>
        <v>0.2055800399044064</v>
      </c>
      <c r="CE109" s="84" t="s">
        <v>141</v>
      </c>
      <c r="CF109" s="84">
        <f>CM54</f>
        <v>40042</v>
      </c>
      <c r="CG109" s="84">
        <f t="shared" si="53"/>
        <v>15709</v>
      </c>
      <c r="CH109" s="84">
        <f t="shared" si="54"/>
        <v>1.899647255010321E-2</v>
      </c>
      <c r="CT109" s="84"/>
      <c r="CU109" s="84" t="s">
        <v>141</v>
      </c>
      <c r="CV109" s="84">
        <f>DC54</f>
        <v>428466</v>
      </c>
      <c r="CW109" s="84">
        <f t="shared" si="55"/>
        <v>404630</v>
      </c>
      <c r="CX109" s="84">
        <f t="shared" si="56"/>
        <v>0.49472826197705455</v>
      </c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 t="s">
        <v>141</v>
      </c>
      <c r="DL109" s="84">
        <f>DS54</f>
        <v>24225</v>
      </c>
      <c r="DM109" s="84">
        <f t="shared" si="57"/>
        <v>1139</v>
      </c>
      <c r="DN109" s="84">
        <f t="shared" si="58"/>
        <v>1.3916390877494217E-3</v>
      </c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</row>
    <row r="110" spans="3:129" x14ac:dyDescent="0.2">
      <c r="C110" s="84" t="s">
        <v>142</v>
      </c>
      <c r="D110" s="84">
        <f>L54</f>
        <v>36262</v>
      </c>
      <c r="E110" s="84">
        <f t="shared" si="43"/>
        <v>17649</v>
      </c>
      <c r="F110" s="84">
        <f t="shared" si="44"/>
        <v>2.2387420727867067E-2</v>
      </c>
      <c r="S110" s="84" t="s">
        <v>142</v>
      </c>
      <c r="T110" s="84">
        <f>AB54</f>
        <v>41147</v>
      </c>
      <c r="U110" s="84">
        <f t="shared" si="45"/>
        <v>21926</v>
      </c>
      <c r="V110" s="84">
        <f t="shared" si="46"/>
        <v>2.7719021376701281E-2</v>
      </c>
      <c r="AI110" s="84" t="s">
        <v>142</v>
      </c>
      <c r="AJ110" s="84">
        <f>AR54</f>
        <v>65440</v>
      </c>
      <c r="AK110" s="84">
        <f t="shared" si="47"/>
        <v>43704</v>
      </c>
      <c r="AL110" s="84">
        <f t="shared" si="48"/>
        <v>5.3289849111266829E-2</v>
      </c>
      <c r="AY110" s="84" t="s">
        <v>142</v>
      </c>
      <c r="AZ110" s="84">
        <f>BH54</f>
        <v>49279</v>
      </c>
      <c r="BA110" s="84">
        <f t="shared" si="49"/>
        <v>26184</v>
      </c>
      <c r="BB110" s="84">
        <f t="shared" si="50"/>
        <v>3.2065260430230953E-2</v>
      </c>
      <c r="BO110" s="84" t="s">
        <v>142</v>
      </c>
      <c r="BP110" s="84">
        <f>BX54</f>
        <v>195476</v>
      </c>
      <c r="BQ110" s="84">
        <f t="shared" si="51"/>
        <v>175637</v>
      </c>
      <c r="BR110" s="84">
        <f t="shared" si="52"/>
        <v>0.21002967419373547</v>
      </c>
      <c r="CE110" s="84" t="s">
        <v>142</v>
      </c>
      <c r="CF110" s="84">
        <f>CN54</f>
        <v>36867</v>
      </c>
      <c r="CG110" s="84">
        <f t="shared" si="53"/>
        <v>12534</v>
      </c>
      <c r="CH110" s="84">
        <f t="shared" si="54"/>
        <v>1.5157030170156831E-2</v>
      </c>
      <c r="CT110" s="84"/>
      <c r="CU110" s="84" t="s">
        <v>142</v>
      </c>
      <c r="CV110" s="84">
        <f>DD54</f>
        <v>511146</v>
      </c>
      <c r="CW110" s="84">
        <f t="shared" si="55"/>
        <v>487310</v>
      </c>
      <c r="CX110" s="84">
        <f t="shared" si="56"/>
        <v>0.59581847451755543</v>
      </c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 t="s">
        <v>142</v>
      </c>
      <c r="DL110" s="84">
        <f>DT54</f>
        <v>24213</v>
      </c>
      <c r="DM110" s="84">
        <f t="shared" si="57"/>
        <v>1127</v>
      </c>
      <c r="DN110" s="84">
        <f t="shared" si="58"/>
        <v>1.3769773941120266E-3</v>
      </c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</row>
    <row r="111" spans="3:129" x14ac:dyDescent="0.2">
      <c r="C111" s="84" t="s">
        <v>143</v>
      </c>
      <c r="D111" s="84">
        <f>M54</f>
        <v>35412</v>
      </c>
      <c r="E111" s="84">
        <f t="shared" si="43"/>
        <v>16799</v>
      </c>
      <c r="F111" s="84">
        <f t="shared" si="44"/>
        <v>2.1309211899112633E-2</v>
      </c>
      <c r="S111" s="84" t="s">
        <v>143</v>
      </c>
      <c r="T111" s="84">
        <f>AC54</f>
        <v>39102</v>
      </c>
      <c r="U111" s="84">
        <f t="shared" si="45"/>
        <v>19881</v>
      </c>
      <c r="V111" s="84">
        <f t="shared" si="46"/>
        <v>2.5133716318078911E-2</v>
      </c>
      <c r="AI111" s="84" t="s">
        <v>143</v>
      </c>
      <c r="AJ111" s="84">
        <f>AS54</f>
        <v>81933</v>
      </c>
      <c r="AK111" s="84">
        <f t="shared" si="47"/>
        <v>60197</v>
      </c>
      <c r="AL111" s="84">
        <f t="shared" si="48"/>
        <v>7.3400353444786043E-2</v>
      </c>
      <c r="AY111" s="84" t="s">
        <v>143</v>
      </c>
      <c r="AZ111" s="84">
        <f>BI54</f>
        <v>63470</v>
      </c>
      <c r="BA111" s="84">
        <f t="shared" si="49"/>
        <v>40375</v>
      </c>
      <c r="BB111" s="84">
        <f t="shared" si="50"/>
        <v>4.9443740065329013E-2</v>
      </c>
      <c r="BO111" s="84" t="s">
        <v>143</v>
      </c>
      <c r="BP111" s="84">
        <f>BY54</f>
        <v>245193</v>
      </c>
      <c r="BQ111" s="84">
        <f t="shared" si="51"/>
        <v>225354</v>
      </c>
      <c r="BR111" s="84">
        <f t="shared" si="52"/>
        <v>0.26948209772573584</v>
      </c>
      <c r="CE111" s="84" t="s">
        <v>143</v>
      </c>
      <c r="CF111" s="84">
        <f>CO54</f>
        <v>39621</v>
      </c>
      <c r="CG111" s="84">
        <f t="shared" si="53"/>
        <v>15288</v>
      </c>
      <c r="CH111" s="84">
        <f t="shared" si="54"/>
        <v>1.8487368536888274E-2</v>
      </c>
      <c r="CT111" s="84"/>
      <c r="CU111" s="84" t="s">
        <v>143</v>
      </c>
      <c r="CV111" s="84">
        <f>DE54</f>
        <v>495645</v>
      </c>
      <c r="CW111" s="84">
        <f t="shared" si="55"/>
        <v>471809</v>
      </c>
      <c r="CX111" s="84">
        <f t="shared" si="56"/>
        <v>0.57686589366861607</v>
      </c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 t="s">
        <v>143</v>
      </c>
      <c r="DL111" s="84">
        <f>DU54</f>
        <v>25737</v>
      </c>
      <c r="DM111" s="84">
        <f t="shared" si="57"/>
        <v>2651</v>
      </c>
      <c r="DN111" s="84">
        <f t="shared" si="58"/>
        <v>3.239012486061209E-3</v>
      </c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</row>
    <row r="112" spans="3:129" x14ac:dyDescent="0.2">
      <c r="C112" s="84" t="s">
        <v>144</v>
      </c>
      <c r="D112" s="84">
        <f>N54</f>
        <v>35543</v>
      </c>
      <c r="E112" s="84">
        <f t="shared" si="43"/>
        <v>16930</v>
      </c>
      <c r="F112" s="84">
        <f t="shared" si="44"/>
        <v>2.1475382906838317E-2</v>
      </c>
      <c r="S112" s="84" t="s">
        <v>144</v>
      </c>
      <c r="T112" s="84">
        <f>AD54</f>
        <v>38906</v>
      </c>
      <c r="U112" s="84">
        <f t="shared" si="45"/>
        <v>19685</v>
      </c>
      <c r="V112" s="84">
        <f t="shared" si="46"/>
        <v>2.4885931578964005E-2</v>
      </c>
      <c r="AI112" s="84" t="s">
        <v>144</v>
      </c>
      <c r="AJ112" s="84">
        <f>AT54</f>
        <v>79958</v>
      </c>
      <c r="AK112" s="84">
        <f t="shared" si="47"/>
        <v>58222</v>
      </c>
      <c r="AL112" s="84">
        <f t="shared" si="48"/>
        <v>7.0992165361435502E-2</v>
      </c>
      <c r="AY112" s="84" t="s">
        <v>144</v>
      </c>
      <c r="AZ112" s="84">
        <f>BJ54</f>
        <v>64271</v>
      </c>
      <c r="BA112" s="84">
        <f t="shared" si="49"/>
        <v>41176</v>
      </c>
      <c r="BB112" s="84">
        <f t="shared" si="50"/>
        <v>5.0424654883714858E-2</v>
      </c>
      <c r="BO112" s="84" t="s">
        <v>144</v>
      </c>
      <c r="BP112" s="84">
        <f>BZ54</f>
        <v>244543</v>
      </c>
      <c r="BQ112" s="84">
        <f t="shared" si="51"/>
        <v>224704</v>
      </c>
      <c r="BR112" s="84">
        <f t="shared" si="52"/>
        <v>0.26870481680983582</v>
      </c>
      <c r="CE112" s="84" t="s">
        <v>144</v>
      </c>
      <c r="CF112" s="84">
        <f>CP54</f>
        <v>38302</v>
      </c>
      <c r="CG112" s="84">
        <f t="shared" si="53"/>
        <v>13969</v>
      </c>
      <c r="CH112" s="84">
        <f t="shared" si="54"/>
        <v>1.689233719857354E-2</v>
      </c>
      <c r="CT112" s="84"/>
      <c r="CU112" s="84" t="s">
        <v>144</v>
      </c>
      <c r="CV112" s="84">
        <f>DF54</f>
        <v>451558</v>
      </c>
      <c r="CW112" s="84">
        <f t="shared" si="55"/>
        <v>427722</v>
      </c>
      <c r="CX112" s="84">
        <f t="shared" si="56"/>
        <v>0.52296211766144318</v>
      </c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 t="s">
        <v>144</v>
      </c>
      <c r="DL112" s="84">
        <f>DV54</f>
        <v>27121</v>
      </c>
      <c r="DM112" s="84">
        <f t="shared" si="57"/>
        <v>4035</v>
      </c>
      <c r="DN112" s="84">
        <f t="shared" si="58"/>
        <v>4.9299944855741148E-3</v>
      </c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</row>
    <row r="113" spans="3:129" x14ac:dyDescent="0.2">
      <c r="C113" t="s">
        <v>145</v>
      </c>
      <c r="D113" s="84">
        <f>E55</f>
        <v>18119</v>
      </c>
      <c r="E113" s="84">
        <f t="shared" si="43"/>
        <v>-494</v>
      </c>
      <c r="F113" s="84">
        <f t="shared" si="44"/>
        <v>-6.2662960165257701E-4</v>
      </c>
      <c r="S113" s="84" t="s">
        <v>145</v>
      </c>
      <c r="T113" s="84">
        <f>U55</f>
        <v>19094</v>
      </c>
      <c r="U113" s="84">
        <f t="shared" si="45"/>
        <v>-127</v>
      </c>
      <c r="V113" s="84">
        <f t="shared" si="46"/>
        <v>-1.6055439728363875E-4</v>
      </c>
      <c r="AI113" s="84" t="s">
        <v>145</v>
      </c>
      <c r="AJ113" s="84">
        <f>AK55</f>
        <v>21376</v>
      </c>
      <c r="AK113" s="84">
        <f t="shared" si="47"/>
        <v>-360</v>
      </c>
      <c r="AL113" s="84">
        <f t="shared" si="48"/>
        <v>-4.3896086582592117E-4</v>
      </c>
      <c r="AY113" s="84" t="s">
        <v>145</v>
      </c>
      <c r="AZ113" s="84">
        <f>BA55</f>
        <v>23114</v>
      </c>
      <c r="BA113" s="84">
        <f t="shared" si="49"/>
        <v>19</v>
      </c>
      <c r="BB113" s="84">
        <f t="shared" si="50"/>
        <v>2.326764238368424E-5</v>
      </c>
      <c r="BO113" s="84" t="s">
        <v>145</v>
      </c>
      <c r="BP113" s="84">
        <f>BQ55</f>
        <v>19394</v>
      </c>
      <c r="BQ113" s="84">
        <f t="shared" si="51"/>
        <v>-445</v>
      </c>
      <c r="BR113" s="84">
        <f t="shared" si="52"/>
        <v>-5.3213847319307601E-4</v>
      </c>
      <c r="CE113" s="84" t="s">
        <v>145</v>
      </c>
      <c r="CF113" s="84">
        <f>CG55</f>
        <v>24348</v>
      </c>
      <c r="CG113" s="84">
        <f t="shared" si="53"/>
        <v>15</v>
      </c>
      <c r="CH113" s="84">
        <f t="shared" si="54"/>
        <v>1.8139097858014396E-5</v>
      </c>
      <c r="CT113" s="84"/>
      <c r="CU113" s="84" t="s">
        <v>145</v>
      </c>
      <c r="CV113" s="84">
        <f>CW55</f>
        <v>23677</v>
      </c>
      <c r="CW113" s="84">
        <f t="shared" si="55"/>
        <v>-159</v>
      </c>
      <c r="CX113" s="84">
        <f t="shared" si="56"/>
        <v>-1.9440425488557862E-4</v>
      </c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 t="s">
        <v>145</v>
      </c>
      <c r="DL113" s="84">
        <f>DM55</f>
        <v>23009</v>
      </c>
      <c r="DM113" s="84">
        <f t="shared" si="57"/>
        <v>-78</v>
      </c>
      <c r="DN113" s="84">
        <f t="shared" si="58"/>
        <v>-9.5301008643068399E-5</v>
      </c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</row>
    <row r="114" spans="3:129" x14ac:dyDescent="0.2">
      <c r="C114" s="84" t="s">
        <v>146</v>
      </c>
      <c r="D114" s="84">
        <f>F55</f>
        <v>791368</v>
      </c>
      <c r="E114" s="84">
        <f t="shared" si="43"/>
        <v>772755</v>
      </c>
      <c r="F114" s="84">
        <f t="shared" si="44"/>
        <v>0.9802250158401562</v>
      </c>
      <c r="S114" s="84" t="s">
        <v>146</v>
      </c>
      <c r="T114" s="84">
        <f>V55</f>
        <v>792861</v>
      </c>
      <c r="U114" s="84">
        <f t="shared" si="45"/>
        <v>773640</v>
      </c>
      <c r="V114" s="84">
        <f t="shared" si="46"/>
        <v>0.97804176310641155</v>
      </c>
      <c r="AI114" s="84" t="s">
        <v>146</v>
      </c>
      <c r="AJ114" s="84">
        <f>AL55</f>
        <v>813951</v>
      </c>
      <c r="AK114" s="84">
        <f t="shared" si="47"/>
        <v>792215</v>
      </c>
      <c r="AL114" s="84">
        <f t="shared" si="48"/>
        <v>0.96597606200078368</v>
      </c>
      <c r="AY114" s="84" t="s">
        <v>146</v>
      </c>
      <c r="AZ114" s="84">
        <f>BB55</f>
        <v>812102</v>
      </c>
      <c r="BA114" s="84">
        <f t="shared" si="49"/>
        <v>789007</v>
      </c>
      <c r="BB114" s="84">
        <f t="shared" si="50"/>
        <v>0.96622803759071318</v>
      </c>
      <c r="BO114" s="84" t="s">
        <v>146</v>
      </c>
      <c r="BP114" s="84">
        <f>BR55</f>
        <v>834409</v>
      </c>
      <c r="BQ114" s="84">
        <f t="shared" si="51"/>
        <v>814570</v>
      </c>
      <c r="BR114" s="84">
        <f t="shared" si="52"/>
        <v>0.97407648563794136</v>
      </c>
      <c r="CE114" s="84" t="s">
        <v>146</v>
      </c>
      <c r="CF114" s="84">
        <f>CH55</f>
        <v>828745</v>
      </c>
      <c r="CG114" s="84">
        <f t="shared" si="53"/>
        <v>804412</v>
      </c>
      <c r="CH114" s="84">
        <f t="shared" si="54"/>
        <v>0.97275386574407186</v>
      </c>
      <c r="CT114" s="84"/>
      <c r="CU114" s="84" t="s">
        <v>146</v>
      </c>
      <c r="CV114" s="84">
        <f>CX55</f>
        <v>818696</v>
      </c>
      <c r="CW114" s="84">
        <f t="shared" si="55"/>
        <v>794860</v>
      </c>
      <c r="CX114" s="84">
        <f t="shared" si="56"/>
        <v>0.97185010087013224</v>
      </c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 t="s">
        <v>146</v>
      </c>
      <c r="DL114" s="84">
        <f>DN55</f>
        <v>814219</v>
      </c>
      <c r="DM114" s="84">
        <f t="shared" si="57"/>
        <v>791133</v>
      </c>
      <c r="DN114" s="84">
        <f t="shared" si="58"/>
        <v>0.96661247270277728</v>
      </c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</row>
    <row r="115" spans="3:129" x14ac:dyDescent="0.2">
      <c r="C115" s="84" t="s">
        <v>147</v>
      </c>
      <c r="D115" s="84">
        <f>G55</f>
        <v>34605</v>
      </c>
      <c r="E115" s="84">
        <f t="shared" si="43"/>
        <v>15992</v>
      </c>
      <c r="F115" s="84">
        <f t="shared" si="44"/>
        <v>2.0285547752283424E-2</v>
      </c>
      <c r="S115" s="84" t="s">
        <v>147</v>
      </c>
      <c r="T115" s="84">
        <f>W55</f>
        <v>42378</v>
      </c>
      <c r="U115" s="84">
        <f t="shared" si="45"/>
        <v>23157</v>
      </c>
      <c r="V115" s="84">
        <f t="shared" si="46"/>
        <v>2.9275261243285215E-2</v>
      </c>
      <c r="AI115" s="84" t="s">
        <v>147</v>
      </c>
      <c r="AJ115" s="84">
        <f>AM55</f>
        <v>83756</v>
      </c>
      <c r="AK115" s="84">
        <f t="shared" si="47"/>
        <v>62020</v>
      </c>
      <c r="AL115" s="84">
        <f t="shared" si="48"/>
        <v>7.5623202495898975E-2</v>
      </c>
      <c r="AY115" s="84" t="s">
        <v>147</v>
      </c>
      <c r="AZ115" s="84">
        <f>BC55</f>
        <v>52617</v>
      </c>
      <c r="BA115" s="84">
        <f t="shared" si="49"/>
        <v>29522</v>
      </c>
      <c r="BB115" s="84">
        <f t="shared" si="50"/>
        <v>3.6153017813217163E-2</v>
      </c>
      <c r="BO115" s="84" t="s">
        <v>147</v>
      </c>
      <c r="BP115" s="84">
        <f>BS55</f>
        <v>115344</v>
      </c>
      <c r="BQ115" s="84">
        <f t="shared" si="51"/>
        <v>95505</v>
      </c>
      <c r="BR115" s="84">
        <f t="shared" si="52"/>
        <v>0.11420648288158364</v>
      </c>
      <c r="CE115" s="84" t="s">
        <v>147</v>
      </c>
      <c r="CF115" s="84">
        <f>CI55</f>
        <v>33853</v>
      </c>
      <c r="CG115" s="84">
        <f t="shared" si="53"/>
        <v>9520</v>
      </c>
      <c r="CH115" s="84">
        <f t="shared" si="54"/>
        <v>1.151228077388647E-2</v>
      </c>
      <c r="CT115" s="84"/>
      <c r="CU115" s="84" t="s">
        <v>147</v>
      </c>
      <c r="CV115" s="84">
        <f>CY55</f>
        <v>203289</v>
      </c>
      <c r="CW115" s="84">
        <f t="shared" si="55"/>
        <v>179453</v>
      </c>
      <c r="CX115" s="84">
        <f t="shared" si="56"/>
        <v>0.21941148900617446</v>
      </c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 t="s">
        <v>147</v>
      </c>
      <c r="DL115" s="84">
        <f>DO55</f>
        <v>24084</v>
      </c>
      <c r="DM115" s="84">
        <f t="shared" si="57"/>
        <v>998</v>
      </c>
      <c r="DN115" s="84">
        <f t="shared" si="58"/>
        <v>1.2193641875100289E-3</v>
      </c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</row>
    <row r="116" spans="3:129" x14ac:dyDescent="0.2">
      <c r="C116" s="84" t="s">
        <v>148</v>
      </c>
      <c r="D116" s="84">
        <f>H55</f>
        <v>35998</v>
      </c>
      <c r="E116" s="84">
        <f t="shared" si="43"/>
        <v>17385</v>
      </c>
      <c r="F116" s="84">
        <f t="shared" si="44"/>
        <v>2.2052541750465691E-2</v>
      </c>
      <c r="S116" s="84" t="s">
        <v>148</v>
      </c>
      <c r="T116" s="84">
        <f>X55</f>
        <v>40936</v>
      </c>
      <c r="U116" s="84">
        <f t="shared" si="45"/>
        <v>21715</v>
      </c>
      <c r="V116" s="84">
        <f t="shared" si="46"/>
        <v>2.7452273519796969E-2</v>
      </c>
      <c r="AI116" s="84" t="s">
        <v>148</v>
      </c>
      <c r="AJ116" s="84">
        <f>AN55</f>
        <v>83907</v>
      </c>
      <c r="AK116" s="84">
        <f t="shared" si="47"/>
        <v>62171</v>
      </c>
      <c r="AL116" s="84">
        <f t="shared" si="48"/>
        <v>7.5807322192398177E-2</v>
      </c>
      <c r="AY116" s="84" t="s">
        <v>148</v>
      </c>
      <c r="AZ116" s="84">
        <f>BD55</f>
        <v>43939</v>
      </c>
      <c r="BA116" s="84">
        <f t="shared" si="49"/>
        <v>20844</v>
      </c>
      <c r="BB116" s="84">
        <f t="shared" si="50"/>
        <v>2.5525828307658649E-2</v>
      </c>
      <c r="BO116" s="84" t="s">
        <v>148</v>
      </c>
      <c r="BP116" s="84">
        <f>BT55</f>
        <v>110096</v>
      </c>
      <c r="BQ116" s="84">
        <f t="shared" si="51"/>
        <v>90257</v>
      </c>
      <c r="BR116" s="84">
        <f t="shared" si="52"/>
        <v>0.10793083634828643</v>
      </c>
      <c r="CE116" s="84" t="s">
        <v>148</v>
      </c>
      <c r="CF116" s="84">
        <f>CJ55</f>
        <v>30442</v>
      </c>
      <c r="CG116" s="84">
        <f t="shared" si="53"/>
        <v>6109</v>
      </c>
      <c r="CH116" s="84">
        <f t="shared" si="54"/>
        <v>7.3874499209739966E-3</v>
      </c>
      <c r="CT116" s="84"/>
      <c r="CU116" s="84" t="s">
        <v>148</v>
      </c>
      <c r="CV116" s="84">
        <f>CZ55</f>
        <v>255791</v>
      </c>
      <c r="CW116" s="84">
        <f t="shared" si="55"/>
        <v>231955</v>
      </c>
      <c r="CX116" s="84">
        <f t="shared" si="56"/>
        <v>0.28360401850304645</v>
      </c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 t="s">
        <v>148</v>
      </c>
      <c r="DL116" s="84">
        <f>DP55</f>
        <v>24365</v>
      </c>
      <c r="DM116" s="84">
        <f t="shared" si="57"/>
        <v>1279</v>
      </c>
      <c r="DN116" s="84">
        <f t="shared" si="58"/>
        <v>1.5626921801856985E-3</v>
      </c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</row>
    <row r="117" spans="3:129" x14ac:dyDescent="0.2">
      <c r="C117" s="84" t="s">
        <v>149</v>
      </c>
      <c r="D117" s="84">
        <f>I55</f>
        <v>36293</v>
      </c>
      <c r="E117" s="84">
        <f t="shared" si="43"/>
        <v>17680</v>
      </c>
      <c r="F117" s="84">
        <f t="shared" si="44"/>
        <v>2.2426743638092231E-2</v>
      </c>
      <c r="S117" s="84" t="s">
        <v>149</v>
      </c>
      <c r="T117" s="84">
        <f>Y55</f>
        <v>41613</v>
      </c>
      <c r="U117" s="84">
        <f t="shared" si="45"/>
        <v>22392</v>
      </c>
      <c r="V117" s="84">
        <f t="shared" si="46"/>
        <v>2.8308142236025499E-2</v>
      </c>
      <c r="AI117" s="84" t="s">
        <v>149</v>
      </c>
      <c r="AJ117" s="84">
        <f>AO55</f>
        <v>74405</v>
      </c>
      <c r="AK117" s="84">
        <f t="shared" si="47"/>
        <v>52669</v>
      </c>
      <c r="AL117" s="84">
        <f t="shared" si="48"/>
        <v>6.4221194006070667E-2</v>
      </c>
      <c r="AY117" s="84" t="s">
        <v>149</v>
      </c>
      <c r="AZ117" s="84">
        <f>BE55</f>
        <v>43581</v>
      </c>
      <c r="BA117" s="84">
        <f t="shared" si="49"/>
        <v>20486</v>
      </c>
      <c r="BB117" s="84">
        <f t="shared" si="50"/>
        <v>2.5087416940639755E-2</v>
      </c>
      <c r="BO117" s="84" t="s">
        <v>149</v>
      </c>
      <c r="BP117" s="84">
        <f>BU55</f>
        <v>96730</v>
      </c>
      <c r="BQ117" s="84">
        <f t="shared" si="51"/>
        <v>76891</v>
      </c>
      <c r="BR117" s="84">
        <f t="shared" si="52"/>
        <v>9.1947549083795072E-2</v>
      </c>
      <c r="CE117" s="84" t="s">
        <v>149</v>
      </c>
      <c r="CF117" s="84">
        <f>CK55</f>
        <v>30068</v>
      </c>
      <c r="CG117" s="84">
        <f t="shared" si="53"/>
        <v>5735</v>
      </c>
      <c r="CH117" s="84">
        <f t="shared" si="54"/>
        <v>6.9351817477141713E-3</v>
      </c>
      <c r="CT117" s="84"/>
      <c r="CU117" s="84" t="s">
        <v>149</v>
      </c>
      <c r="CV117" s="84">
        <f>DA55</f>
        <v>278677</v>
      </c>
      <c r="CW117" s="84">
        <f t="shared" si="55"/>
        <v>254841</v>
      </c>
      <c r="CX117" s="84">
        <f t="shared" si="56"/>
        <v>0.31158600452387258</v>
      </c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 t="s">
        <v>149</v>
      </c>
      <c r="DL117" s="84">
        <f>DQ55</f>
        <v>24140</v>
      </c>
      <c r="DM117" s="84">
        <f t="shared" si="57"/>
        <v>1054</v>
      </c>
      <c r="DN117" s="84">
        <f t="shared" si="58"/>
        <v>1.2877854244845396E-3</v>
      </c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</row>
    <row r="118" spans="3:129" x14ac:dyDescent="0.2">
      <c r="C118" s="84" t="s">
        <v>150</v>
      </c>
      <c r="D118" s="84">
        <f>J55</f>
        <v>36606</v>
      </c>
      <c r="E118" s="84">
        <f t="shared" si="43"/>
        <v>17993</v>
      </c>
      <c r="F118" s="84">
        <f t="shared" si="44"/>
        <v>2.2823778183268861E-2</v>
      </c>
      <c r="S118" s="84" t="s">
        <v>150</v>
      </c>
      <c r="T118" s="84">
        <f>Z55</f>
        <v>40412</v>
      </c>
      <c r="U118" s="84">
        <f t="shared" si="45"/>
        <v>21191</v>
      </c>
      <c r="V118" s="84">
        <f t="shared" si="46"/>
        <v>2.6789828605020383E-2</v>
      </c>
      <c r="AI118" s="84" t="s">
        <v>150</v>
      </c>
      <c r="AJ118" s="84">
        <f>AP55</f>
        <v>70517</v>
      </c>
      <c r="AK118" s="84">
        <f t="shared" si="47"/>
        <v>48781</v>
      </c>
      <c r="AL118" s="84">
        <f t="shared" si="48"/>
        <v>5.948041665515072E-2</v>
      </c>
      <c r="AY118" s="84" t="s">
        <v>150</v>
      </c>
      <c r="AZ118" s="84">
        <f>BF55</f>
        <v>45826</v>
      </c>
      <c r="BA118" s="84">
        <f t="shared" si="49"/>
        <v>22731</v>
      </c>
      <c r="BB118" s="84">
        <f t="shared" si="50"/>
        <v>2.7836672580185604E-2</v>
      </c>
      <c r="BO118" s="84" t="s">
        <v>150</v>
      </c>
      <c r="BP118" s="84">
        <f>BV55</f>
        <v>115568</v>
      </c>
      <c r="BQ118" s="84">
        <f t="shared" si="51"/>
        <v>95729</v>
      </c>
      <c r="BR118" s="84">
        <f t="shared" si="52"/>
        <v>0.11447434584337073</v>
      </c>
      <c r="CE118" s="84" t="s">
        <v>150</v>
      </c>
      <c r="CF118" s="84">
        <f>CL55</f>
        <v>29443</v>
      </c>
      <c r="CG118" s="84">
        <f t="shared" si="53"/>
        <v>5110</v>
      </c>
      <c r="CH118" s="84">
        <f t="shared" si="54"/>
        <v>6.1793860036302379E-3</v>
      </c>
      <c r="CT118" s="84"/>
      <c r="CU118" s="84" t="s">
        <v>150</v>
      </c>
      <c r="CV118" s="84">
        <f>DB55</f>
        <v>227242</v>
      </c>
      <c r="CW118" s="84">
        <f t="shared" si="55"/>
        <v>203406</v>
      </c>
      <c r="CX118" s="84">
        <f t="shared" si="56"/>
        <v>0.24869806207079248</v>
      </c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 t="s">
        <v>150</v>
      </c>
      <c r="DL118" s="84">
        <f>DR55</f>
        <v>24155</v>
      </c>
      <c r="DM118" s="84">
        <f t="shared" si="57"/>
        <v>1069</v>
      </c>
      <c r="DN118" s="84">
        <f t="shared" si="58"/>
        <v>1.3061125415312835E-3</v>
      </c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</row>
    <row r="119" spans="3:129" x14ac:dyDescent="0.2">
      <c r="C119" s="84" t="s">
        <v>151</v>
      </c>
      <c r="D119" s="84">
        <f>K55</f>
        <v>36062</v>
      </c>
      <c r="E119" s="84">
        <f t="shared" si="43"/>
        <v>17449</v>
      </c>
      <c r="F119" s="84">
        <f t="shared" si="44"/>
        <v>2.2133724532866026E-2</v>
      </c>
      <c r="S119" s="84" t="s">
        <v>151</v>
      </c>
      <c r="T119" s="84">
        <f>AA55</f>
        <v>37731</v>
      </c>
      <c r="U119" s="84">
        <f t="shared" si="45"/>
        <v>18510</v>
      </c>
      <c r="V119" s="84">
        <f t="shared" si="46"/>
        <v>2.340048735212719E-2</v>
      </c>
      <c r="AI119" s="84" t="s">
        <v>151</v>
      </c>
      <c r="AJ119" s="84">
        <f>AQ55</f>
        <v>70206</v>
      </c>
      <c r="AK119" s="84">
        <f t="shared" si="47"/>
        <v>48470</v>
      </c>
      <c r="AL119" s="84">
        <f t="shared" si="48"/>
        <v>5.9101203240506661E-2</v>
      </c>
      <c r="AY119" s="84" t="s">
        <v>151</v>
      </c>
      <c r="AZ119" s="84">
        <f>BG55</f>
        <v>47788</v>
      </c>
      <c r="BA119" s="84">
        <f t="shared" si="49"/>
        <v>24693</v>
      </c>
      <c r="BB119" s="84">
        <f t="shared" si="50"/>
        <v>3.0239362809490262E-2</v>
      </c>
      <c r="BO119" s="84" t="s">
        <v>151</v>
      </c>
      <c r="BP119" s="84">
        <f>BW55</f>
        <v>151474</v>
      </c>
      <c r="BQ119" s="84">
        <f t="shared" si="51"/>
        <v>131635</v>
      </c>
      <c r="BR119" s="84">
        <f t="shared" si="52"/>
        <v>0.15741134363768663</v>
      </c>
      <c r="CE119" s="84" t="s">
        <v>151</v>
      </c>
      <c r="CF119" s="84">
        <f>CM55</f>
        <v>30097</v>
      </c>
      <c r="CG119" s="84">
        <f t="shared" si="53"/>
        <v>5764</v>
      </c>
      <c r="CH119" s="84">
        <f t="shared" si="54"/>
        <v>6.9702506702396657E-3</v>
      </c>
      <c r="CT119" s="84"/>
      <c r="CU119" s="84" t="s">
        <v>151</v>
      </c>
      <c r="CV119" s="84">
        <f>DC55</f>
        <v>276889</v>
      </c>
      <c r="CW119" s="84">
        <f t="shared" si="55"/>
        <v>253053</v>
      </c>
      <c r="CX119" s="84">
        <f t="shared" si="56"/>
        <v>0.30939987365761212</v>
      </c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 t="s">
        <v>151</v>
      </c>
      <c r="DL119" s="84">
        <f>DS55</f>
        <v>25660</v>
      </c>
      <c r="DM119" s="84">
        <f t="shared" si="57"/>
        <v>2574</v>
      </c>
      <c r="DN119" s="84">
        <f t="shared" si="58"/>
        <v>3.1449332852212571E-3</v>
      </c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</row>
    <row r="120" spans="3:129" x14ac:dyDescent="0.2">
      <c r="C120" s="84" t="s">
        <v>152</v>
      </c>
      <c r="D120" s="84">
        <f>L55</f>
        <v>33037</v>
      </c>
      <c r="E120" s="84">
        <f t="shared" si="43"/>
        <v>14424</v>
      </c>
      <c r="F120" s="84">
        <f t="shared" si="44"/>
        <v>1.8296569583475246E-2</v>
      </c>
      <c r="S120" s="84" t="s">
        <v>152</v>
      </c>
      <c r="T120" s="84">
        <f>AB55</f>
        <v>38794</v>
      </c>
      <c r="U120" s="84">
        <f t="shared" si="45"/>
        <v>19573</v>
      </c>
      <c r="V120" s="84">
        <f t="shared" si="46"/>
        <v>2.4744340299469772E-2</v>
      </c>
      <c r="AI120" s="84" t="s">
        <v>152</v>
      </c>
      <c r="AJ120" s="84">
        <f>AR55</f>
        <v>75245</v>
      </c>
      <c r="AK120" s="84">
        <f t="shared" si="47"/>
        <v>53509</v>
      </c>
      <c r="AL120" s="84">
        <f t="shared" si="48"/>
        <v>6.5245436026331149E-2</v>
      </c>
      <c r="AY120" s="84" t="s">
        <v>152</v>
      </c>
      <c r="AZ120" s="84">
        <f>BH55</f>
        <v>51561</v>
      </c>
      <c r="BA120" s="84">
        <f t="shared" si="49"/>
        <v>28466</v>
      </c>
      <c r="BB120" s="84">
        <f t="shared" si="50"/>
        <v>3.4859826741787135E-2</v>
      </c>
      <c r="BO120" s="84" t="s">
        <v>152</v>
      </c>
      <c r="BP120" s="84">
        <f>BX55</f>
        <v>129867</v>
      </c>
      <c r="BQ120" s="84">
        <f t="shared" si="51"/>
        <v>110028</v>
      </c>
      <c r="BR120" s="84">
        <f t="shared" si="52"/>
        <v>0.13157333017637698</v>
      </c>
      <c r="CE120" s="84" t="s">
        <v>152</v>
      </c>
      <c r="CF120" s="84">
        <f>CN55</f>
        <v>36241</v>
      </c>
      <c r="CG120" s="84">
        <f t="shared" si="53"/>
        <v>11908</v>
      </c>
      <c r="CH120" s="84">
        <f t="shared" si="54"/>
        <v>1.4400025152882363E-2</v>
      </c>
      <c r="CT120" s="84"/>
      <c r="CU120" s="84" t="s">
        <v>152</v>
      </c>
      <c r="CV120" s="84">
        <f>DD55</f>
        <v>333453</v>
      </c>
      <c r="CW120" s="84">
        <f t="shared" si="55"/>
        <v>309617</v>
      </c>
      <c r="CX120" s="84">
        <f t="shared" si="56"/>
        <v>0.37855888166608925</v>
      </c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 t="s">
        <v>152</v>
      </c>
      <c r="DL120" s="84">
        <f>DT55</f>
        <v>25781</v>
      </c>
      <c r="DM120" s="84">
        <f t="shared" si="57"/>
        <v>2695</v>
      </c>
      <c r="DN120" s="84">
        <f t="shared" si="58"/>
        <v>3.2927720293983247E-3</v>
      </c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</row>
    <row r="121" spans="3:129" x14ac:dyDescent="0.2">
      <c r="C121" s="84" t="s">
        <v>153</v>
      </c>
      <c r="D121" s="84">
        <f>M55</f>
        <v>36138</v>
      </c>
      <c r="E121" s="84">
        <f t="shared" si="43"/>
        <v>17525</v>
      </c>
      <c r="F121" s="84">
        <f t="shared" si="44"/>
        <v>2.2230129086966421E-2</v>
      </c>
      <c r="S121" s="84" t="s">
        <v>153</v>
      </c>
      <c r="T121" s="84">
        <f>AC55</f>
        <v>40584</v>
      </c>
      <c r="U121" s="84">
        <f t="shared" si="45"/>
        <v>21363</v>
      </c>
      <c r="V121" s="84">
        <f t="shared" si="46"/>
        <v>2.7007272355672237E-2</v>
      </c>
      <c r="AI121" s="84" t="s">
        <v>153</v>
      </c>
      <c r="AJ121" s="84">
        <f>AS55</f>
        <v>84120</v>
      </c>
      <c r="AK121" s="84">
        <f t="shared" si="47"/>
        <v>62384</v>
      </c>
      <c r="AL121" s="84">
        <f t="shared" si="48"/>
        <v>7.6067040704678512E-2</v>
      </c>
      <c r="AY121" s="84" t="s">
        <v>153</v>
      </c>
      <c r="AZ121" s="84">
        <f>BI55</f>
        <v>44696</v>
      </c>
      <c r="BA121" s="84">
        <f t="shared" si="49"/>
        <v>21601</v>
      </c>
      <c r="BB121" s="84">
        <f t="shared" si="50"/>
        <v>2.6452860164734908E-2</v>
      </c>
      <c r="BO121" s="84" t="s">
        <v>153</v>
      </c>
      <c r="BP121" s="84">
        <f>BY55</f>
        <v>131593</v>
      </c>
      <c r="BQ121" s="84">
        <f t="shared" si="51"/>
        <v>111754</v>
      </c>
      <c r="BR121" s="84">
        <f t="shared" si="52"/>
        <v>0.13363730996228992</v>
      </c>
      <c r="CE121" s="84" t="s">
        <v>153</v>
      </c>
      <c r="CF121" s="84">
        <f>CO55</f>
        <v>39097</v>
      </c>
      <c r="CG121" s="84">
        <f t="shared" si="53"/>
        <v>14764</v>
      </c>
      <c r="CH121" s="84">
        <f t="shared" si="54"/>
        <v>1.7853709385048305E-2</v>
      </c>
      <c r="CT121" s="84"/>
      <c r="CU121" s="84" t="s">
        <v>153</v>
      </c>
      <c r="CV121" s="84">
        <f>DE55</f>
        <v>268611</v>
      </c>
      <c r="CW121" s="84">
        <f t="shared" si="55"/>
        <v>244775</v>
      </c>
      <c r="CX121" s="84">
        <f t="shared" si="56"/>
        <v>0.29927862572086483</v>
      </c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 t="s">
        <v>153</v>
      </c>
      <c r="DL121" s="84">
        <f>DU55</f>
        <v>26426</v>
      </c>
      <c r="DM121" s="84">
        <f t="shared" si="57"/>
        <v>3340</v>
      </c>
      <c r="DN121" s="84">
        <f t="shared" si="58"/>
        <v>4.0808380624083136E-3</v>
      </c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</row>
    <row r="122" spans="3:129" x14ac:dyDescent="0.2">
      <c r="C122" s="84" t="s">
        <v>154</v>
      </c>
      <c r="D122" s="84">
        <f>N55</f>
        <v>38694</v>
      </c>
      <c r="E122" s="84">
        <f t="shared" si="43"/>
        <v>20081</v>
      </c>
      <c r="F122" s="84">
        <f t="shared" si="44"/>
        <v>2.5472366459079757E-2</v>
      </c>
      <c r="S122" s="84" t="s">
        <v>154</v>
      </c>
      <c r="T122" s="84">
        <f>AD55</f>
        <v>41244</v>
      </c>
      <c r="U122" s="84">
        <f t="shared" si="45"/>
        <v>22023</v>
      </c>
      <c r="V122" s="84">
        <f t="shared" si="46"/>
        <v>2.7841649538406107E-2</v>
      </c>
      <c r="AI122" s="84" t="s">
        <v>154</v>
      </c>
      <c r="AJ122" s="84">
        <f>AT55</f>
        <v>83599</v>
      </c>
      <c r="AK122" s="84">
        <f t="shared" si="47"/>
        <v>61863</v>
      </c>
      <c r="AL122" s="84">
        <f t="shared" si="48"/>
        <v>7.5431766784969337E-2</v>
      </c>
      <c r="AY122" s="84" t="s">
        <v>154</v>
      </c>
      <c r="AZ122" s="84">
        <f>BJ55</f>
        <v>45664</v>
      </c>
      <c r="BA122" s="84">
        <f t="shared" si="49"/>
        <v>22569</v>
      </c>
      <c r="BB122" s="84">
        <f t="shared" si="50"/>
        <v>2.7638285313545771E-2</v>
      </c>
      <c r="BO122" s="84" t="s">
        <v>154</v>
      </c>
      <c r="BP122" s="84">
        <f>BZ55</f>
        <v>179145</v>
      </c>
      <c r="BQ122" s="84">
        <f t="shared" si="51"/>
        <v>159306</v>
      </c>
      <c r="BR122" s="84">
        <f t="shared" si="52"/>
        <v>0.19050079013594642</v>
      </c>
      <c r="CE122" s="84" t="s">
        <v>154</v>
      </c>
      <c r="CF122" s="84">
        <f>CP55</f>
        <v>35333</v>
      </c>
      <c r="CG122" s="84">
        <f t="shared" si="53"/>
        <v>11000</v>
      </c>
      <c r="CH122" s="84">
        <f t="shared" si="54"/>
        <v>1.3302005095877225E-2</v>
      </c>
      <c r="CT122" s="84"/>
      <c r="CU122" s="84" t="s">
        <v>154</v>
      </c>
      <c r="CV122" s="84">
        <f>DF55</f>
        <v>378976</v>
      </c>
      <c r="CW122" s="84">
        <f t="shared" si="55"/>
        <v>355140</v>
      </c>
      <c r="CX122" s="84">
        <f t="shared" si="56"/>
        <v>0.43421840930858108</v>
      </c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 t="s">
        <v>154</v>
      </c>
      <c r="DL122" s="84">
        <f>DV55</f>
        <v>25467</v>
      </c>
      <c r="DM122" s="84">
        <f t="shared" si="57"/>
        <v>2381</v>
      </c>
      <c r="DN122" s="84">
        <f t="shared" si="58"/>
        <v>2.9091243792198187E-3</v>
      </c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</row>
    <row r="123" spans="3:129" x14ac:dyDescent="0.2">
      <c r="C123" t="s">
        <v>155</v>
      </c>
      <c r="D123" s="84">
        <f>E56</f>
        <v>18677</v>
      </c>
      <c r="E123" s="84">
        <f t="shared" si="43"/>
        <v>64</v>
      </c>
      <c r="F123" s="84">
        <f t="shared" si="44"/>
        <v>8.1182782400333862E-5</v>
      </c>
      <c r="S123" s="84" t="s">
        <v>155</v>
      </c>
      <c r="T123" s="84">
        <f>U56</f>
        <v>19267</v>
      </c>
      <c r="U123" s="84">
        <f t="shared" si="45"/>
        <v>46</v>
      </c>
      <c r="V123" s="84">
        <f t="shared" si="46"/>
        <v>5.8153561220845523E-5</v>
      </c>
      <c r="AI123" s="84" t="s">
        <v>155</v>
      </c>
      <c r="AJ123" s="84">
        <f>AK56</f>
        <v>21969</v>
      </c>
      <c r="AK123" s="84">
        <f t="shared" si="47"/>
        <v>233</v>
      </c>
      <c r="AL123" s="84">
        <f t="shared" si="48"/>
        <v>2.8410522704844341E-4</v>
      </c>
      <c r="AY123" s="84" t="s">
        <v>155</v>
      </c>
      <c r="AZ123" s="84">
        <f>BA56</f>
        <v>22913</v>
      </c>
      <c r="BA123" s="84">
        <f t="shared" si="49"/>
        <v>-182</v>
      </c>
      <c r="BB123" s="84">
        <f t="shared" si="50"/>
        <v>-2.228795217805543E-4</v>
      </c>
      <c r="BO123" s="84" t="s">
        <v>155</v>
      </c>
      <c r="BP123" s="84">
        <f>BQ56</f>
        <v>19950</v>
      </c>
      <c r="BQ123" s="84">
        <f t="shared" si="51"/>
        <v>111</v>
      </c>
      <c r="BR123" s="84">
        <f t="shared" si="52"/>
        <v>1.3273566409984592E-4</v>
      </c>
      <c r="CE123" s="84" t="s">
        <v>155</v>
      </c>
      <c r="CF123" s="84">
        <f>CG56</f>
        <v>24605</v>
      </c>
      <c r="CG123" s="84">
        <f t="shared" si="53"/>
        <v>272</v>
      </c>
      <c r="CH123" s="84">
        <f t="shared" si="54"/>
        <v>3.2892230782532772E-4</v>
      </c>
      <c r="CT123" s="84"/>
      <c r="CU123" s="84" t="s">
        <v>155</v>
      </c>
      <c r="CV123" s="84">
        <f>CW56</f>
        <v>23376</v>
      </c>
      <c r="CW123" s="84">
        <f t="shared" si="55"/>
        <v>-460</v>
      </c>
      <c r="CX123" s="84">
        <f t="shared" si="56"/>
        <v>-5.6242740407148537E-4</v>
      </c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 t="s">
        <v>155</v>
      </c>
      <c r="DL123" s="84">
        <f>DM56</f>
        <v>23244</v>
      </c>
      <c r="DM123" s="84">
        <f t="shared" si="57"/>
        <v>158</v>
      </c>
      <c r="DN123" s="84">
        <f t="shared" si="58"/>
        <v>1.9304563289236932E-4</v>
      </c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</row>
    <row r="124" spans="3:129" x14ac:dyDescent="0.2">
      <c r="C124" s="84" t="s">
        <v>156</v>
      </c>
      <c r="D124" s="84">
        <f>F56</f>
        <v>786933</v>
      </c>
      <c r="E124" s="84">
        <f t="shared" si="43"/>
        <v>768320</v>
      </c>
      <c r="F124" s="84">
        <f t="shared" si="44"/>
        <v>0.97459930271600803</v>
      </c>
      <c r="S124" s="84" t="s">
        <v>156</v>
      </c>
      <c r="T124" s="84">
        <f>V56</f>
        <v>794612</v>
      </c>
      <c r="U124" s="84">
        <f t="shared" si="45"/>
        <v>775391</v>
      </c>
      <c r="V124" s="84">
        <f t="shared" si="46"/>
        <v>0.98025539105636161</v>
      </c>
      <c r="AI124" s="84" t="s">
        <v>156</v>
      </c>
      <c r="AJ124" s="84">
        <f>AL56</f>
        <v>808738</v>
      </c>
      <c r="AK124" s="84">
        <f t="shared" si="47"/>
        <v>787002</v>
      </c>
      <c r="AL124" s="84">
        <f t="shared" si="48"/>
        <v>0.95961966479647665</v>
      </c>
      <c r="AY124" s="84" t="s">
        <v>156</v>
      </c>
      <c r="AZ124" s="84">
        <f>BB56</f>
        <v>817262</v>
      </c>
      <c r="BA124" s="84">
        <f t="shared" si="49"/>
        <v>794167</v>
      </c>
      <c r="BB124" s="84">
        <f t="shared" si="50"/>
        <v>0.97254703941701903</v>
      </c>
      <c r="BO124" s="84" t="s">
        <v>156</v>
      </c>
      <c r="BP124" s="84">
        <f>BR56</f>
        <v>826211</v>
      </c>
      <c r="BQ124" s="84">
        <f t="shared" si="51"/>
        <v>806372</v>
      </c>
      <c r="BR124" s="84">
        <f t="shared" si="52"/>
        <v>0.96427317956325187</v>
      </c>
      <c r="CE124" s="84" t="s">
        <v>156</v>
      </c>
      <c r="CF124" s="84">
        <f>CH56</f>
        <v>825807</v>
      </c>
      <c r="CG124" s="84">
        <f t="shared" si="53"/>
        <v>801474</v>
      </c>
      <c r="CH124" s="84">
        <f t="shared" si="54"/>
        <v>0.96920102111028206</v>
      </c>
      <c r="CT124" s="84"/>
      <c r="CU124" s="84" t="s">
        <v>156</v>
      </c>
      <c r="CV124" s="84">
        <f>CX56</f>
        <v>819140</v>
      </c>
      <c r="CW124" s="84">
        <f t="shared" si="55"/>
        <v>795304</v>
      </c>
      <c r="CX124" s="84">
        <f t="shared" si="56"/>
        <v>0.97239296558188815</v>
      </c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 t="s">
        <v>156</v>
      </c>
      <c r="DL124" s="84">
        <f>DN56</f>
        <v>819656</v>
      </c>
      <c r="DM124" s="84">
        <f t="shared" si="57"/>
        <v>796570</v>
      </c>
      <c r="DN124" s="84">
        <f t="shared" si="58"/>
        <v>0.97325544172832035</v>
      </c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</row>
    <row r="125" spans="3:129" x14ac:dyDescent="0.2">
      <c r="C125" s="84" t="s">
        <v>157</v>
      </c>
      <c r="D125" s="84">
        <f>G56</f>
        <v>33575</v>
      </c>
      <c r="E125" s="84">
        <f t="shared" si="43"/>
        <v>14962</v>
      </c>
      <c r="F125" s="84">
        <f t="shared" si="44"/>
        <v>1.8979012348028051E-2</v>
      </c>
      <c r="S125" s="84" t="s">
        <v>157</v>
      </c>
      <c r="T125" s="84">
        <f>W56</f>
        <v>44094</v>
      </c>
      <c r="U125" s="84">
        <f t="shared" si="45"/>
        <v>24873</v>
      </c>
      <c r="V125" s="84">
        <f t="shared" si="46"/>
        <v>3.144464191839328E-2</v>
      </c>
      <c r="AI125" s="84" t="s">
        <v>157</v>
      </c>
      <c r="AJ125" s="84">
        <f>AM56</f>
        <v>65998</v>
      </c>
      <c r="AK125" s="84">
        <f t="shared" si="47"/>
        <v>44262</v>
      </c>
      <c r="AL125" s="84">
        <f t="shared" si="48"/>
        <v>5.3970238453297008E-2</v>
      </c>
      <c r="AY125" s="84" t="s">
        <v>157</v>
      </c>
      <c r="AZ125" s="84">
        <f>BC56</f>
        <v>46722</v>
      </c>
      <c r="BA125" s="84">
        <f t="shared" si="49"/>
        <v>23627</v>
      </c>
      <c r="BB125" s="84">
        <f t="shared" si="50"/>
        <v>2.893392561048987E-2</v>
      </c>
      <c r="BO125" s="84" t="s">
        <v>157</v>
      </c>
      <c r="BP125" s="84">
        <f>BS56</f>
        <v>79988</v>
      </c>
      <c r="BQ125" s="84">
        <f t="shared" si="51"/>
        <v>60149</v>
      </c>
      <c r="BR125" s="84">
        <f t="shared" si="52"/>
        <v>7.1927184323798493E-2</v>
      </c>
      <c r="CE125" s="84" t="s">
        <v>157</v>
      </c>
      <c r="CF125" s="84">
        <f>CI56</f>
        <v>29866</v>
      </c>
      <c r="CG125" s="84">
        <f t="shared" si="53"/>
        <v>5533</v>
      </c>
      <c r="CH125" s="84">
        <f t="shared" si="54"/>
        <v>6.690908563226244E-3</v>
      </c>
      <c r="CT125" s="84"/>
      <c r="CU125" s="84" t="s">
        <v>157</v>
      </c>
      <c r="CV125" s="84">
        <f>CY56</f>
        <v>97557</v>
      </c>
      <c r="CW125" s="84">
        <f t="shared" si="55"/>
        <v>73721</v>
      </c>
      <c r="CX125" s="84">
        <f t="shared" si="56"/>
        <v>9.0136327512073844E-2</v>
      </c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 t="s">
        <v>157</v>
      </c>
      <c r="DL125" s="84">
        <f>DO56</f>
        <v>24223</v>
      </c>
      <c r="DM125" s="84">
        <f t="shared" si="57"/>
        <v>1137</v>
      </c>
      <c r="DN125" s="84">
        <f t="shared" si="58"/>
        <v>1.3891954721431893E-3</v>
      </c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</row>
    <row r="126" spans="3:129" x14ac:dyDescent="0.2">
      <c r="C126" s="84" t="s">
        <v>158</v>
      </c>
      <c r="D126" s="84">
        <f>H56</f>
        <v>34768</v>
      </c>
      <c r="E126" s="84">
        <f t="shared" si="43"/>
        <v>16155</v>
      </c>
      <c r="F126" s="84">
        <f t="shared" si="44"/>
        <v>2.0492310151209274E-2</v>
      </c>
      <c r="S126" s="84" t="s">
        <v>158</v>
      </c>
      <c r="T126" s="84">
        <f>X56</f>
        <v>42471</v>
      </c>
      <c r="U126" s="84">
        <f t="shared" si="45"/>
        <v>23250</v>
      </c>
      <c r="V126" s="84">
        <f t="shared" si="46"/>
        <v>2.9392832573579532E-2</v>
      </c>
      <c r="AI126" s="84" t="s">
        <v>158</v>
      </c>
      <c r="AJ126" s="84">
        <f>AN56</f>
        <v>74808</v>
      </c>
      <c r="AK126" s="84">
        <f t="shared" si="47"/>
        <v>53072</v>
      </c>
      <c r="AL126" s="84">
        <f t="shared" si="48"/>
        <v>6.4712586308648026E-2</v>
      </c>
      <c r="AY126" s="84" t="s">
        <v>158</v>
      </c>
      <c r="AZ126" s="84">
        <f>BD56</f>
        <v>47978</v>
      </c>
      <c r="BA126" s="84">
        <f t="shared" si="49"/>
        <v>24883</v>
      </c>
      <c r="BB126" s="84">
        <f t="shared" si="50"/>
        <v>3.0472039233327104E-2</v>
      </c>
      <c r="BO126" s="84" t="s">
        <v>158</v>
      </c>
      <c r="BP126" s="84">
        <f>BT56</f>
        <v>62810</v>
      </c>
      <c r="BQ126" s="84">
        <f t="shared" si="51"/>
        <v>42971</v>
      </c>
      <c r="BR126" s="84">
        <f t="shared" si="52"/>
        <v>5.1385443441752061E-2</v>
      </c>
      <c r="CE126" s="84" t="s">
        <v>158</v>
      </c>
      <c r="CF126" s="84">
        <f>CJ56</f>
        <v>30701</v>
      </c>
      <c r="CG126" s="84">
        <f t="shared" si="53"/>
        <v>6368</v>
      </c>
      <c r="CH126" s="84">
        <f t="shared" si="54"/>
        <v>7.7006516773223789E-3</v>
      </c>
      <c r="CT126" s="84"/>
      <c r="CU126" s="84" t="s">
        <v>158</v>
      </c>
      <c r="CV126" s="84">
        <f>CZ56</f>
        <v>92973</v>
      </c>
      <c r="CW126" s="84">
        <f t="shared" si="55"/>
        <v>69137</v>
      </c>
      <c r="CX126" s="84">
        <f t="shared" si="56"/>
        <v>8.4531616163674522E-2</v>
      </c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 t="s">
        <v>158</v>
      </c>
      <c r="DL126" s="84">
        <f>DP56</f>
        <v>24415</v>
      </c>
      <c r="DM126" s="84">
        <f t="shared" si="57"/>
        <v>1329</v>
      </c>
      <c r="DN126" s="84">
        <f t="shared" si="58"/>
        <v>1.6237825703415115E-3</v>
      </c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</row>
    <row r="127" spans="3:129" x14ac:dyDescent="0.2">
      <c r="C127" s="84" t="s">
        <v>159</v>
      </c>
      <c r="D127" s="84">
        <f>I56</f>
        <v>33342</v>
      </c>
      <c r="E127" s="84">
        <f t="shared" si="43"/>
        <v>14729</v>
      </c>
      <c r="F127" s="84">
        <f t="shared" si="44"/>
        <v>1.8683456280851836E-2</v>
      </c>
      <c r="S127" s="84" t="s">
        <v>159</v>
      </c>
      <c r="T127" s="84">
        <f>Y56</f>
        <v>39956</v>
      </c>
      <c r="U127" s="84">
        <f t="shared" si="45"/>
        <v>20735</v>
      </c>
      <c r="V127" s="84">
        <f t="shared" si="46"/>
        <v>2.6213349824222434E-2</v>
      </c>
      <c r="AI127" s="84" t="s">
        <v>159</v>
      </c>
      <c r="AJ127" s="84">
        <f>AO56</f>
        <v>74706</v>
      </c>
      <c r="AK127" s="84">
        <f t="shared" si="47"/>
        <v>52970</v>
      </c>
      <c r="AL127" s="84">
        <f t="shared" si="48"/>
        <v>6.4588214063330679E-2</v>
      </c>
      <c r="AY127" s="84" t="s">
        <v>159</v>
      </c>
      <c r="AZ127" s="84">
        <f>BE56</f>
        <v>43831</v>
      </c>
      <c r="BA127" s="84">
        <f t="shared" si="49"/>
        <v>20736</v>
      </c>
      <c r="BB127" s="84">
        <f t="shared" si="50"/>
        <v>2.5393570129898759E-2</v>
      </c>
      <c r="BO127" s="84" t="s">
        <v>159</v>
      </c>
      <c r="BP127" s="84">
        <f>BU56</f>
        <v>66815</v>
      </c>
      <c r="BQ127" s="84">
        <f t="shared" si="51"/>
        <v>46976</v>
      </c>
      <c r="BR127" s="84">
        <f t="shared" si="52"/>
        <v>5.6174689700489749E-2</v>
      </c>
      <c r="CE127" s="84" t="s">
        <v>159</v>
      </c>
      <c r="CF127" s="84">
        <f>CK56</f>
        <v>29672</v>
      </c>
      <c r="CG127" s="84">
        <f t="shared" si="53"/>
        <v>5339</v>
      </c>
      <c r="CH127" s="84">
        <f t="shared" si="54"/>
        <v>6.456309564262591E-3</v>
      </c>
      <c r="CT127" s="84"/>
      <c r="CU127" s="84" t="s">
        <v>159</v>
      </c>
      <c r="CV127" s="84">
        <f>DA56</f>
        <v>93840</v>
      </c>
      <c r="CW127" s="84">
        <f t="shared" si="55"/>
        <v>70004</v>
      </c>
      <c r="CX127" s="84">
        <f t="shared" si="56"/>
        <v>8.5591669553522293E-2</v>
      </c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 t="s">
        <v>159</v>
      </c>
      <c r="DL127" s="84">
        <f>DQ56</f>
        <v>24471</v>
      </c>
      <c r="DM127" s="84">
        <f t="shared" si="57"/>
        <v>1385</v>
      </c>
      <c r="DN127" s="84">
        <f t="shared" si="58"/>
        <v>1.6922038073160222E-3</v>
      </c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</row>
    <row r="128" spans="3:129" x14ac:dyDescent="0.2">
      <c r="C128" s="84" t="s">
        <v>160</v>
      </c>
      <c r="D128" s="84">
        <f>J56</f>
        <v>36436</v>
      </c>
      <c r="E128" s="84">
        <f t="shared" si="43"/>
        <v>17823</v>
      </c>
      <c r="F128" s="84">
        <f t="shared" si="44"/>
        <v>2.2608136417517976E-2</v>
      </c>
      <c r="S128" s="84" t="s">
        <v>160</v>
      </c>
      <c r="T128" s="84">
        <f>Z56</f>
        <v>40307</v>
      </c>
      <c r="U128" s="84">
        <f t="shared" si="45"/>
        <v>21086</v>
      </c>
      <c r="V128" s="84">
        <f t="shared" si="46"/>
        <v>2.6657086780494537E-2</v>
      </c>
      <c r="AI128" s="84" t="s">
        <v>160</v>
      </c>
      <c r="AJ128" s="84">
        <f>AP56</f>
        <v>62290</v>
      </c>
      <c r="AK128" s="84">
        <f t="shared" si="47"/>
        <v>40554</v>
      </c>
      <c r="AL128" s="84">
        <f t="shared" si="48"/>
        <v>4.9448941535290017E-2</v>
      </c>
      <c r="AY128" s="84" t="s">
        <v>160</v>
      </c>
      <c r="AZ128" s="84">
        <f>BF56</f>
        <v>44670</v>
      </c>
      <c r="BA128" s="84">
        <f t="shared" si="49"/>
        <v>21575</v>
      </c>
      <c r="BB128" s="84">
        <f t="shared" si="50"/>
        <v>2.6421020233051973E-2</v>
      </c>
      <c r="BO128" s="84" t="s">
        <v>160</v>
      </c>
      <c r="BP128" s="84">
        <f>BV56</f>
        <v>65735</v>
      </c>
      <c r="BQ128" s="84">
        <f t="shared" si="51"/>
        <v>45896</v>
      </c>
      <c r="BR128" s="84">
        <f t="shared" si="52"/>
        <v>5.4883207563302054E-2</v>
      </c>
      <c r="CE128" s="84" t="s">
        <v>160</v>
      </c>
      <c r="CF128" s="84">
        <f>CL56</f>
        <v>30120</v>
      </c>
      <c r="CG128" s="84">
        <f t="shared" si="53"/>
        <v>5787</v>
      </c>
      <c r="CH128" s="84">
        <f t="shared" si="54"/>
        <v>6.9980639536219545E-3</v>
      </c>
      <c r="CT128" s="84"/>
      <c r="CU128" s="84" t="s">
        <v>160</v>
      </c>
      <c r="CV128" s="84">
        <f>DB56</f>
        <v>112637</v>
      </c>
      <c r="CW128" s="84">
        <f t="shared" si="55"/>
        <v>88801</v>
      </c>
      <c r="CX128" s="84">
        <f t="shared" si="56"/>
        <v>0.10857416501946079</v>
      </c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 t="s">
        <v>160</v>
      </c>
      <c r="DL128" s="84">
        <f>DR56</f>
        <v>24801</v>
      </c>
      <c r="DM128" s="84">
        <f t="shared" si="57"/>
        <v>1715</v>
      </c>
      <c r="DN128" s="84">
        <f t="shared" si="58"/>
        <v>2.0954003823443882E-3</v>
      </c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</row>
    <row r="129" spans="3:129" x14ac:dyDescent="0.2">
      <c r="C129" s="84" t="s">
        <v>161</v>
      </c>
      <c r="D129" s="84">
        <f>K56</f>
        <v>35637</v>
      </c>
      <c r="E129" s="84">
        <f t="shared" si="43"/>
        <v>17024</v>
      </c>
      <c r="F129" s="84">
        <f t="shared" si="44"/>
        <v>2.1594620118488807E-2</v>
      </c>
      <c r="S129" s="84" t="s">
        <v>161</v>
      </c>
      <c r="T129" s="84">
        <f>AA56</f>
        <v>38408</v>
      </c>
      <c r="U129" s="84">
        <f t="shared" si="45"/>
        <v>19187</v>
      </c>
      <c r="V129" s="84">
        <f t="shared" si="46"/>
        <v>2.425635606835572E-2</v>
      </c>
      <c r="AI129" s="84" t="s">
        <v>161</v>
      </c>
      <c r="AJ129" s="84">
        <f>AQ56</f>
        <v>66811</v>
      </c>
      <c r="AK129" s="84">
        <f t="shared" si="47"/>
        <v>45075</v>
      </c>
      <c r="AL129" s="84">
        <f t="shared" si="48"/>
        <v>5.4961558408620541E-2</v>
      </c>
      <c r="AY129" s="84" t="s">
        <v>161</v>
      </c>
      <c r="AZ129" s="84">
        <f>BG56</f>
        <v>45664</v>
      </c>
      <c r="BA129" s="84">
        <f t="shared" si="49"/>
        <v>22569</v>
      </c>
      <c r="BB129" s="84">
        <f t="shared" si="50"/>
        <v>2.7638285313545771E-2</v>
      </c>
      <c r="BO129" s="84" t="s">
        <v>161</v>
      </c>
      <c r="BP129" s="84">
        <f>BW56</f>
        <v>89683</v>
      </c>
      <c r="BQ129" s="84">
        <f t="shared" si="51"/>
        <v>69844</v>
      </c>
      <c r="BR129" s="84">
        <f t="shared" si="52"/>
        <v>8.3520628138645386E-2</v>
      </c>
      <c r="CE129" s="84" t="s">
        <v>161</v>
      </c>
      <c r="CF129" s="84">
        <f>CM56</f>
        <v>27921</v>
      </c>
      <c r="CG129" s="84">
        <f t="shared" si="53"/>
        <v>3588</v>
      </c>
      <c r="CH129" s="84">
        <f t="shared" si="54"/>
        <v>4.3388722076370435E-3</v>
      </c>
      <c r="CT129" s="84"/>
      <c r="CU129" s="84" t="s">
        <v>161</v>
      </c>
      <c r="CV129" s="84">
        <f>DC56</f>
        <v>114742</v>
      </c>
      <c r="CW129" s="84">
        <f t="shared" si="55"/>
        <v>90906</v>
      </c>
      <c r="CX129" s="84">
        <f t="shared" si="56"/>
        <v>0.1111478817272227</v>
      </c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 t="s">
        <v>161</v>
      </c>
      <c r="DL129" s="84">
        <f>DS56</f>
        <v>24525</v>
      </c>
      <c r="DM129" s="84">
        <f t="shared" si="57"/>
        <v>1439</v>
      </c>
      <c r="DN129" s="84">
        <f t="shared" si="58"/>
        <v>1.7581814286843002E-3</v>
      </c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</row>
    <row r="130" spans="3:129" x14ac:dyDescent="0.2">
      <c r="C130" s="84" t="s">
        <v>162</v>
      </c>
      <c r="D130" s="84">
        <f>L56</f>
        <v>35104</v>
      </c>
      <c r="E130" s="84">
        <f t="shared" si="43"/>
        <v>16491</v>
      </c>
      <c r="F130" s="84">
        <f t="shared" si="44"/>
        <v>2.0918519758811028E-2</v>
      </c>
      <c r="S130" s="84" t="s">
        <v>162</v>
      </c>
      <c r="T130" s="84">
        <f>AB56</f>
        <v>41139</v>
      </c>
      <c r="U130" s="84">
        <f t="shared" si="45"/>
        <v>21918</v>
      </c>
      <c r="V130" s="84">
        <f t="shared" si="46"/>
        <v>2.7708907713880265E-2</v>
      </c>
      <c r="AI130" s="84" t="s">
        <v>162</v>
      </c>
      <c r="AJ130" s="84">
        <f>AR56</f>
        <v>63189</v>
      </c>
      <c r="AK130" s="84">
        <f t="shared" si="47"/>
        <v>41453</v>
      </c>
      <c r="AL130" s="84">
        <f t="shared" si="48"/>
        <v>5.0545124364116414E-2</v>
      </c>
      <c r="AY130" s="84" t="s">
        <v>162</v>
      </c>
      <c r="AZ130" s="84">
        <f>BH56</f>
        <v>46350</v>
      </c>
      <c r="BA130" s="84">
        <f t="shared" si="49"/>
        <v>23255</v>
      </c>
      <c r="BB130" s="84">
        <f t="shared" si="50"/>
        <v>2.8478369664872473E-2</v>
      </c>
      <c r="BO130" s="84" t="s">
        <v>162</v>
      </c>
      <c r="BP130" s="84">
        <f>BX56</f>
        <v>76230</v>
      </c>
      <c r="BQ130" s="84">
        <f t="shared" si="51"/>
        <v>56391</v>
      </c>
      <c r="BR130" s="84">
        <f t="shared" si="52"/>
        <v>6.7433304813102807E-2</v>
      </c>
      <c r="CE130" s="84" t="s">
        <v>162</v>
      </c>
      <c r="CF130" s="84">
        <f>CN56</f>
        <v>29758</v>
      </c>
      <c r="CG130" s="84">
        <f t="shared" si="53"/>
        <v>5425</v>
      </c>
      <c r="CH130" s="84">
        <f t="shared" si="54"/>
        <v>6.5603070586485405E-3</v>
      </c>
      <c r="CT130" s="84"/>
      <c r="CU130" s="84" t="s">
        <v>162</v>
      </c>
      <c r="CV130" s="84">
        <f>DD56</f>
        <v>138603</v>
      </c>
      <c r="CW130" s="84">
        <f t="shared" si="55"/>
        <v>114767</v>
      </c>
      <c r="CX130" s="84">
        <f t="shared" si="56"/>
        <v>0.14032196931102642</v>
      </c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 t="s">
        <v>162</v>
      </c>
      <c r="DL130" s="84">
        <f>DT56</f>
        <v>24132</v>
      </c>
      <c r="DM130" s="84">
        <f t="shared" si="57"/>
        <v>1046</v>
      </c>
      <c r="DN130" s="84">
        <f t="shared" si="58"/>
        <v>1.2780109620596095E-3</v>
      </c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</row>
    <row r="131" spans="3:129" x14ac:dyDescent="0.2">
      <c r="C131" s="84" t="s">
        <v>163</v>
      </c>
      <c r="D131" s="84">
        <f>M56</f>
        <v>38274</v>
      </c>
      <c r="E131" s="84">
        <f t="shared" si="43"/>
        <v>19661</v>
      </c>
      <c r="F131" s="84">
        <f t="shared" si="44"/>
        <v>2.4939604449577563E-2</v>
      </c>
      <c r="S131" s="84" t="s">
        <v>163</v>
      </c>
      <c r="T131" s="84">
        <f>AC56</f>
        <v>42213</v>
      </c>
      <c r="U131" s="84">
        <f t="shared" si="45"/>
        <v>22992</v>
      </c>
      <c r="V131" s="84">
        <f t="shared" si="46"/>
        <v>2.9066666947601745E-2</v>
      </c>
      <c r="AI131" s="84" t="s">
        <v>163</v>
      </c>
      <c r="AJ131" s="84">
        <f>AS56</f>
        <v>79378</v>
      </c>
      <c r="AK131" s="84">
        <f t="shared" si="47"/>
        <v>57642</v>
      </c>
      <c r="AL131" s="84">
        <f t="shared" si="48"/>
        <v>7.0284950633160412E-2</v>
      </c>
      <c r="AY131" s="84" t="s">
        <v>163</v>
      </c>
      <c r="AZ131" s="84">
        <f>BI56</f>
        <v>44706</v>
      </c>
      <c r="BA131" s="84">
        <f t="shared" si="49"/>
        <v>21611</v>
      </c>
      <c r="BB131" s="84">
        <f t="shared" si="50"/>
        <v>2.6465106292305269E-2</v>
      </c>
      <c r="BO131" s="84" t="s">
        <v>163</v>
      </c>
      <c r="BP131" s="84">
        <f>BY56</f>
        <v>63570</v>
      </c>
      <c r="BQ131" s="84">
        <f t="shared" si="51"/>
        <v>43731</v>
      </c>
      <c r="BR131" s="84">
        <f t="shared" si="52"/>
        <v>5.2294264204958217E-2</v>
      </c>
      <c r="CE131" s="84" t="s">
        <v>163</v>
      </c>
      <c r="CF131" s="84">
        <f>CO56</f>
        <v>30902</v>
      </c>
      <c r="CG131" s="84">
        <f t="shared" si="53"/>
        <v>6569</v>
      </c>
      <c r="CH131" s="84">
        <f t="shared" si="54"/>
        <v>7.9437155886197715E-3</v>
      </c>
      <c r="CT131" s="84"/>
      <c r="CU131" s="84" t="s">
        <v>163</v>
      </c>
      <c r="CV131" s="84">
        <f>DE56</f>
        <v>133483</v>
      </c>
      <c r="CW131" s="84">
        <f t="shared" si="55"/>
        <v>109647</v>
      </c>
      <c r="CX131" s="84">
        <f t="shared" si="56"/>
        <v>0.13406190777005686</v>
      </c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 t="s">
        <v>163</v>
      </c>
      <c r="DL131" s="84">
        <f>DU56</f>
        <v>24561</v>
      </c>
      <c r="DM131" s="84">
        <f t="shared" si="57"/>
        <v>1475</v>
      </c>
      <c r="DN131" s="84">
        <f t="shared" si="58"/>
        <v>1.8021665095964857E-3</v>
      </c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</row>
    <row r="132" spans="3:129" x14ac:dyDescent="0.2">
      <c r="C132" s="84" t="s">
        <v>164</v>
      </c>
      <c r="D132" s="84">
        <f>N56</f>
        <v>36139</v>
      </c>
      <c r="E132" s="84">
        <f t="shared" si="43"/>
        <v>17526</v>
      </c>
      <c r="F132" s="84">
        <f t="shared" si="44"/>
        <v>2.2231397567941426E-2</v>
      </c>
      <c r="S132" s="84" t="s">
        <v>164</v>
      </c>
      <c r="T132" s="84">
        <f>AD56</f>
        <v>42293</v>
      </c>
      <c r="U132" s="84">
        <f t="shared" si="45"/>
        <v>23072</v>
      </c>
      <c r="V132" s="84">
        <f t="shared" si="46"/>
        <v>2.9167803575811911E-2</v>
      </c>
      <c r="AI132" s="84" t="s">
        <v>164</v>
      </c>
      <c r="AJ132" s="84">
        <f>AT56</f>
        <v>74895</v>
      </c>
      <c r="AK132" s="84">
        <f t="shared" si="47"/>
        <v>53159</v>
      </c>
      <c r="AL132" s="84">
        <f t="shared" si="48"/>
        <v>6.4818668517889283E-2</v>
      </c>
      <c r="AY132" s="84" t="s">
        <v>164</v>
      </c>
      <c r="AZ132" s="84">
        <f>BJ56</f>
        <v>50932</v>
      </c>
      <c r="BA132" s="84">
        <f t="shared" si="49"/>
        <v>27837</v>
      </c>
      <c r="BB132" s="84">
        <f t="shared" si="50"/>
        <v>3.4089545317611485E-2</v>
      </c>
      <c r="BO132" s="84" t="s">
        <v>164</v>
      </c>
      <c r="BP132" s="84">
        <f>BZ56</f>
        <v>88637</v>
      </c>
      <c r="BQ132" s="84">
        <f t="shared" si="51"/>
        <v>68798</v>
      </c>
      <c r="BR132" s="84">
        <f t="shared" si="52"/>
        <v>8.2269803772443237E-2</v>
      </c>
      <c r="CE132" s="84" t="s">
        <v>164</v>
      </c>
      <c r="CF132" s="84">
        <f>CP56</f>
        <v>36694</v>
      </c>
      <c r="CG132" s="84">
        <f t="shared" si="53"/>
        <v>12361</v>
      </c>
      <c r="CH132" s="84">
        <f t="shared" si="54"/>
        <v>1.4947825908194398E-2</v>
      </c>
      <c r="CT132" s="84"/>
      <c r="CU132" s="84" t="s">
        <v>164</v>
      </c>
      <c r="CV132" s="84">
        <f>DF56</f>
        <v>143860</v>
      </c>
      <c r="CW132" s="84">
        <f t="shared" si="55"/>
        <v>120024</v>
      </c>
      <c r="CX132" s="84">
        <f t="shared" si="56"/>
        <v>0.14674953640494773</v>
      </c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 t="s">
        <v>164</v>
      </c>
      <c r="DL132" s="84">
        <f>DV56</f>
        <v>24944</v>
      </c>
      <c r="DM132" s="84">
        <f t="shared" si="57"/>
        <v>1858</v>
      </c>
      <c r="DN132" s="84">
        <f t="shared" si="58"/>
        <v>2.2701188981900139E-3</v>
      </c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</row>
    <row r="133" spans="3:129" x14ac:dyDescent="0.2">
      <c r="C133" t="s">
        <v>165</v>
      </c>
      <c r="D133" s="84">
        <f>E57</f>
        <v>18514</v>
      </c>
      <c r="E133" s="84">
        <f t="shared" si="43"/>
        <v>-99</v>
      </c>
      <c r="F133" s="84">
        <f t="shared" si="44"/>
        <v>-1.2557961652551644E-4</v>
      </c>
      <c r="S133" s="84" t="s">
        <v>165</v>
      </c>
      <c r="T133" s="84">
        <f>U57</f>
        <v>19115</v>
      </c>
      <c r="U133" s="84">
        <f t="shared" si="45"/>
        <v>-106</v>
      </c>
      <c r="V133" s="84">
        <f t="shared" si="46"/>
        <v>-1.3400603237847012E-4</v>
      </c>
      <c r="AI133" s="84" t="s">
        <v>165</v>
      </c>
      <c r="AJ133" s="84">
        <f>AK57</f>
        <v>21868</v>
      </c>
      <c r="AK133" s="84">
        <f t="shared" si="47"/>
        <v>132</v>
      </c>
      <c r="AL133" s="84">
        <f t="shared" si="48"/>
        <v>1.6095231746950442E-4</v>
      </c>
      <c r="AY133" s="84" t="s">
        <v>165</v>
      </c>
      <c r="AZ133" s="84">
        <f>BA57</f>
        <v>22639</v>
      </c>
      <c r="BA133" s="84">
        <f t="shared" si="49"/>
        <v>-456</v>
      </c>
      <c r="BB133" s="84">
        <f t="shared" si="50"/>
        <v>-5.5842341720842173E-4</v>
      </c>
      <c r="BO133" s="84" t="s">
        <v>165</v>
      </c>
      <c r="BP133" s="84">
        <f>BQ57</f>
        <v>19981</v>
      </c>
      <c r="BQ133" s="84">
        <f t="shared" si="51"/>
        <v>142</v>
      </c>
      <c r="BR133" s="84">
        <f t="shared" si="52"/>
        <v>1.6980598470430738E-4</v>
      </c>
      <c r="CE133" s="84" t="s">
        <v>165</v>
      </c>
      <c r="CF133" s="84">
        <f>CG57</f>
        <v>24947</v>
      </c>
      <c r="CG133" s="84">
        <f t="shared" si="53"/>
        <v>614</v>
      </c>
      <c r="CH133" s="84">
        <f t="shared" si="54"/>
        <v>7.4249373898805596E-4</v>
      </c>
      <c r="CT133" s="84"/>
      <c r="CU133" s="84" t="s">
        <v>165</v>
      </c>
      <c r="CV133" s="84">
        <f>CW57</f>
        <v>24218</v>
      </c>
      <c r="CW133" s="84">
        <f t="shared" si="55"/>
        <v>382</v>
      </c>
      <c r="CX133" s="84">
        <f t="shared" si="56"/>
        <v>4.6705927903327693E-4</v>
      </c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 t="s">
        <v>165</v>
      </c>
      <c r="DL133" s="84">
        <f>DM57</f>
        <v>23029</v>
      </c>
      <c r="DM133" s="84">
        <f t="shared" si="57"/>
        <v>-58</v>
      </c>
      <c r="DN133" s="84">
        <f t="shared" si="58"/>
        <v>-7.0864852580743165E-5</v>
      </c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</row>
    <row r="134" spans="3:129" x14ac:dyDescent="0.2">
      <c r="C134" s="84" t="s">
        <v>166</v>
      </c>
      <c r="D134" s="84">
        <f>F57</f>
        <v>788745</v>
      </c>
      <c r="E134" s="84">
        <f t="shared" si="43"/>
        <v>770132</v>
      </c>
      <c r="F134" s="84">
        <f t="shared" si="44"/>
        <v>0.9768977902427175</v>
      </c>
      <c r="S134" s="84" t="s">
        <v>166</v>
      </c>
      <c r="T134" s="84">
        <f>V57</f>
        <v>787410</v>
      </c>
      <c r="U134" s="84">
        <f t="shared" si="45"/>
        <v>768189</v>
      </c>
      <c r="V134" s="84">
        <f t="shared" si="46"/>
        <v>0.97115056610174144</v>
      </c>
      <c r="AI134" s="84" t="s">
        <v>166</v>
      </c>
      <c r="AJ134" s="84">
        <f>AL57</f>
        <v>816701</v>
      </c>
      <c r="AK134" s="84">
        <f t="shared" si="47"/>
        <v>794965</v>
      </c>
      <c r="AL134" s="84">
        <f t="shared" si="48"/>
        <v>0.96932923528139836</v>
      </c>
      <c r="AY134" s="84" t="s">
        <v>166</v>
      </c>
      <c r="AZ134" s="84">
        <f>BB57</f>
        <v>815417</v>
      </c>
      <c r="BA134" s="84">
        <f t="shared" si="49"/>
        <v>792322</v>
      </c>
      <c r="BB134" s="84">
        <f t="shared" si="50"/>
        <v>0.97028762888028763</v>
      </c>
      <c r="BO134" s="84" t="s">
        <v>166</v>
      </c>
      <c r="BP134" s="84">
        <f>BR57</f>
        <v>835941</v>
      </c>
      <c r="BQ134" s="84">
        <f t="shared" si="51"/>
        <v>816102</v>
      </c>
      <c r="BR134" s="84">
        <f t="shared" si="52"/>
        <v>0.97590847696587801</v>
      </c>
      <c r="CE134" s="84" t="s">
        <v>166</v>
      </c>
      <c r="CF134" s="84">
        <f>CH57</f>
        <v>829234</v>
      </c>
      <c r="CG134" s="84">
        <f t="shared" si="53"/>
        <v>804901</v>
      </c>
      <c r="CH134" s="84">
        <f t="shared" si="54"/>
        <v>0.9733452003342431</v>
      </c>
      <c r="CT134" s="84"/>
      <c r="CU134" s="84" t="s">
        <v>166</v>
      </c>
      <c r="CV134" s="84">
        <f>CX57</f>
        <v>821604</v>
      </c>
      <c r="CW134" s="84">
        <f t="shared" si="55"/>
        <v>797768</v>
      </c>
      <c r="CX134" s="84">
        <f t="shared" si="56"/>
        <v>0.97540562019847976</v>
      </c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 t="s">
        <v>166</v>
      </c>
      <c r="DL134" s="84">
        <f>DN57</f>
        <v>821614</v>
      </c>
      <c r="DM134" s="84">
        <f t="shared" si="57"/>
        <v>798528</v>
      </c>
      <c r="DN134" s="84">
        <f t="shared" si="58"/>
        <v>0.97564774140682209</v>
      </c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</row>
    <row r="135" spans="3:129" x14ac:dyDescent="0.2">
      <c r="C135" s="84" t="s">
        <v>167</v>
      </c>
      <c r="D135" s="84">
        <f>G57</f>
        <v>33490</v>
      </c>
      <c r="E135" s="84">
        <f t="shared" si="43"/>
        <v>14877</v>
      </c>
      <c r="F135" s="84">
        <f t="shared" si="44"/>
        <v>1.8871191465152606E-2</v>
      </c>
      <c r="S135" s="84" t="s">
        <v>167</v>
      </c>
      <c r="T135" s="84">
        <f>W57</f>
        <v>40786</v>
      </c>
      <c r="U135" s="84">
        <f t="shared" si="45"/>
        <v>21565</v>
      </c>
      <c r="V135" s="84">
        <f t="shared" si="46"/>
        <v>2.7262642341902909E-2</v>
      </c>
      <c r="AI135" s="84" t="s">
        <v>167</v>
      </c>
      <c r="AJ135" s="84">
        <f>AM57</f>
        <v>47092</v>
      </c>
      <c r="AK135" s="84">
        <f t="shared" si="47"/>
        <v>25356</v>
      </c>
      <c r="AL135" s="84">
        <f t="shared" si="48"/>
        <v>3.0917476983005714E-2</v>
      </c>
      <c r="AY135" s="84" t="s">
        <v>167</v>
      </c>
      <c r="AZ135" s="84">
        <f>BC57</f>
        <v>39383</v>
      </c>
      <c r="BA135" s="84">
        <f t="shared" si="49"/>
        <v>16288</v>
      </c>
      <c r="BB135" s="84">
        <f t="shared" si="50"/>
        <v>1.9946492586602575E-2</v>
      </c>
      <c r="BO135" s="84" t="s">
        <v>167</v>
      </c>
      <c r="BP135" s="84">
        <f>BS57</f>
        <v>33806</v>
      </c>
      <c r="BQ135" s="84">
        <f t="shared" si="51"/>
        <v>13967</v>
      </c>
      <c r="BR135" s="84">
        <f t="shared" si="52"/>
        <v>1.6701973157500431E-2</v>
      </c>
      <c r="CE135" s="84" t="s">
        <v>167</v>
      </c>
      <c r="CF135" s="84">
        <f>CI57</f>
        <v>27042</v>
      </c>
      <c r="CG135" s="84">
        <f t="shared" si="53"/>
        <v>2709</v>
      </c>
      <c r="CH135" s="84">
        <f t="shared" si="54"/>
        <v>3.2759210731574001E-3</v>
      </c>
      <c r="CT135" s="84"/>
      <c r="CU135" s="84" t="s">
        <v>167</v>
      </c>
      <c r="CV135" s="84">
        <f>CY57</f>
        <v>42596</v>
      </c>
      <c r="CW135" s="84">
        <f t="shared" si="55"/>
        <v>18760</v>
      </c>
      <c r="CX135" s="84">
        <f t="shared" si="56"/>
        <v>2.2937256739958837E-2</v>
      </c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 t="s">
        <v>167</v>
      </c>
      <c r="DL135" s="84">
        <f>DO57</f>
        <v>24321</v>
      </c>
      <c r="DM135" s="84">
        <f t="shared" si="57"/>
        <v>1235</v>
      </c>
      <c r="DN135" s="84">
        <f t="shared" si="58"/>
        <v>1.5089326368485829E-3</v>
      </c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</row>
    <row r="136" spans="3:129" x14ac:dyDescent="0.2">
      <c r="C136" s="84" t="s">
        <v>168</v>
      </c>
      <c r="D136" s="84">
        <f>H57</f>
        <v>34259</v>
      </c>
      <c r="E136" s="84">
        <f t="shared" si="43"/>
        <v>15646</v>
      </c>
      <c r="F136" s="84">
        <f t="shared" si="44"/>
        <v>1.9846653334931619E-2</v>
      </c>
      <c r="S136" s="84" t="s">
        <v>168</v>
      </c>
      <c r="T136" s="84">
        <f>X57</f>
        <v>42046</v>
      </c>
      <c r="U136" s="84">
        <f t="shared" si="45"/>
        <v>22825</v>
      </c>
      <c r="V136" s="84">
        <f t="shared" si="46"/>
        <v>2.8855544236213025E-2</v>
      </c>
      <c r="AI136" s="84" t="s">
        <v>168</v>
      </c>
      <c r="AJ136" s="84">
        <f>AN57</f>
        <v>43234</v>
      </c>
      <c r="AK136" s="84">
        <f t="shared" si="47"/>
        <v>21498</v>
      </c>
      <c r="AL136" s="84">
        <f t="shared" si="48"/>
        <v>2.6213279704237924E-2</v>
      </c>
      <c r="AY136" s="84" t="s">
        <v>168</v>
      </c>
      <c r="AZ136" s="84">
        <f>BD57</f>
        <v>45071</v>
      </c>
      <c r="BA136" s="84">
        <f t="shared" si="49"/>
        <v>21976</v>
      </c>
      <c r="BB136" s="84">
        <f t="shared" si="50"/>
        <v>2.6912089948623413E-2</v>
      </c>
      <c r="BO136" s="84" t="s">
        <v>168</v>
      </c>
      <c r="BP136" s="84">
        <f>BT57</f>
        <v>42738</v>
      </c>
      <c r="BQ136" s="84">
        <f t="shared" si="51"/>
        <v>22899</v>
      </c>
      <c r="BR136" s="84">
        <f t="shared" si="52"/>
        <v>2.7383008758760104E-2</v>
      </c>
      <c r="CE136" s="84" t="s">
        <v>168</v>
      </c>
      <c r="CF136" s="84">
        <f>CJ57</f>
        <v>28757</v>
      </c>
      <c r="CG136" s="84">
        <f t="shared" si="53"/>
        <v>4424</v>
      </c>
      <c r="CH136" s="84">
        <f t="shared" si="54"/>
        <v>5.3498245949237131E-3</v>
      </c>
      <c r="CT136" s="84"/>
      <c r="CU136" s="84" t="s">
        <v>168</v>
      </c>
      <c r="CV136" s="84">
        <f>CZ57</f>
        <v>37143</v>
      </c>
      <c r="CW136" s="84">
        <f t="shared" si="55"/>
        <v>13307</v>
      </c>
      <c r="CX136" s="84">
        <f t="shared" si="56"/>
        <v>1.6270046665172292E-2</v>
      </c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 t="s">
        <v>168</v>
      </c>
      <c r="DL136" s="84">
        <f>DP57</f>
        <v>24108</v>
      </c>
      <c r="DM136" s="84">
        <f t="shared" si="57"/>
        <v>1022</v>
      </c>
      <c r="DN136" s="84">
        <f t="shared" si="58"/>
        <v>1.2486875747848192E-3</v>
      </c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</row>
    <row r="137" spans="3:129" x14ac:dyDescent="0.2">
      <c r="C137" s="84" t="s">
        <v>169</v>
      </c>
      <c r="D137" s="84">
        <f>I57</f>
        <v>34118</v>
      </c>
      <c r="E137" s="84">
        <f t="shared" si="43"/>
        <v>15505</v>
      </c>
      <c r="F137" s="84">
        <f t="shared" si="44"/>
        <v>1.9667797517455884E-2</v>
      </c>
      <c r="S137" s="84" t="s">
        <v>169</v>
      </c>
      <c r="T137" s="84">
        <f>Y57</f>
        <v>38758</v>
      </c>
      <c r="U137" s="84">
        <f t="shared" si="45"/>
        <v>19537</v>
      </c>
      <c r="V137" s="84">
        <f t="shared" si="46"/>
        <v>2.4698828816775195E-2</v>
      </c>
      <c r="AI137" s="84" t="s">
        <v>169</v>
      </c>
      <c r="AJ137" s="84">
        <f>AO57</f>
        <v>60289</v>
      </c>
      <c r="AK137" s="84">
        <f t="shared" si="47"/>
        <v>38553</v>
      </c>
      <c r="AL137" s="84">
        <f t="shared" si="48"/>
        <v>4.700905072274094E-2</v>
      </c>
      <c r="AY137" s="84" t="s">
        <v>169</v>
      </c>
      <c r="AZ137" s="84">
        <f>BE57</f>
        <v>41966</v>
      </c>
      <c r="BA137" s="84">
        <f t="shared" si="49"/>
        <v>18871</v>
      </c>
      <c r="BB137" s="84">
        <f t="shared" si="50"/>
        <v>2.3109667338026593E-2</v>
      </c>
      <c r="BO137" s="84" t="s">
        <v>169</v>
      </c>
      <c r="BP137" s="84">
        <f>BU57</f>
        <v>64530</v>
      </c>
      <c r="BQ137" s="84">
        <f t="shared" si="51"/>
        <v>44691</v>
      </c>
      <c r="BR137" s="84">
        <f t="shared" si="52"/>
        <v>5.3442248326902829E-2</v>
      </c>
      <c r="CE137" s="84" t="s">
        <v>169</v>
      </c>
      <c r="CF137" s="84">
        <f>CK57</f>
        <v>28755</v>
      </c>
      <c r="CG137" s="84">
        <f t="shared" si="53"/>
        <v>4422</v>
      </c>
      <c r="CH137" s="84">
        <f t="shared" si="54"/>
        <v>5.3474060485426446E-3</v>
      </c>
      <c r="CT137" s="84"/>
      <c r="CU137" s="84" t="s">
        <v>169</v>
      </c>
      <c r="CV137" s="84">
        <f>DA57</f>
        <v>46591</v>
      </c>
      <c r="CW137" s="84">
        <f t="shared" si="55"/>
        <v>22755</v>
      </c>
      <c r="CX137" s="84">
        <f t="shared" si="56"/>
        <v>2.7821816477492715E-2</v>
      </c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 t="s">
        <v>169</v>
      </c>
      <c r="DL137" s="84">
        <f>DQ57</f>
        <v>24534</v>
      </c>
      <c r="DM137" s="84">
        <f t="shared" si="57"/>
        <v>1448</v>
      </c>
      <c r="DN137" s="84">
        <f t="shared" si="58"/>
        <v>1.7691776989123466E-3</v>
      </c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</row>
    <row r="138" spans="3:129" x14ac:dyDescent="0.2">
      <c r="C138" s="84" t="s">
        <v>170</v>
      </c>
      <c r="D138" s="84">
        <f>J57</f>
        <v>34046</v>
      </c>
      <c r="E138" s="84">
        <f t="shared" si="43"/>
        <v>15433</v>
      </c>
      <c r="F138" s="84">
        <f t="shared" si="44"/>
        <v>1.9576466887255509E-2</v>
      </c>
      <c r="S138" s="84" t="s">
        <v>170</v>
      </c>
      <c r="T138" s="84">
        <f>Z57</f>
        <v>42404</v>
      </c>
      <c r="U138" s="84">
        <f t="shared" si="45"/>
        <v>23183</v>
      </c>
      <c r="V138" s="84">
        <f t="shared" si="46"/>
        <v>2.930813064745352E-2</v>
      </c>
      <c r="AI138" s="84" t="s">
        <v>170</v>
      </c>
      <c r="AJ138" s="84">
        <f>AP57</f>
        <v>49030</v>
      </c>
      <c r="AK138" s="84">
        <f t="shared" si="47"/>
        <v>27294</v>
      </c>
      <c r="AL138" s="84">
        <f t="shared" si="48"/>
        <v>3.3280549644035255E-2</v>
      </c>
      <c r="AY138" s="84" t="s">
        <v>170</v>
      </c>
      <c r="AZ138" s="84">
        <f>BF57</f>
        <v>43984</v>
      </c>
      <c r="BA138" s="84">
        <f t="shared" si="49"/>
        <v>20889</v>
      </c>
      <c r="BB138" s="84">
        <f t="shared" si="50"/>
        <v>2.5580935881725268E-2</v>
      </c>
      <c r="BO138" s="84" t="s">
        <v>170</v>
      </c>
      <c r="BP138" s="84">
        <f>BV57</f>
        <v>53934</v>
      </c>
      <c r="BQ138" s="84">
        <f t="shared" si="51"/>
        <v>34095</v>
      </c>
      <c r="BR138" s="84">
        <f t="shared" si="52"/>
        <v>4.0771373580939158E-2</v>
      </c>
      <c r="CE138" s="84" t="s">
        <v>170</v>
      </c>
      <c r="CF138" s="84">
        <f>CL57</f>
        <v>31894</v>
      </c>
      <c r="CG138" s="84">
        <f t="shared" si="53"/>
        <v>7561</v>
      </c>
      <c r="CH138" s="84">
        <f t="shared" si="54"/>
        <v>9.1433145936297908E-3</v>
      </c>
      <c r="CT138" s="84"/>
      <c r="CU138" s="84" t="s">
        <v>170</v>
      </c>
      <c r="CV138" s="84">
        <f>DB57</f>
        <v>43215</v>
      </c>
      <c r="CW138" s="84">
        <f t="shared" si="55"/>
        <v>19379</v>
      </c>
      <c r="CX138" s="84">
        <f t="shared" si="56"/>
        <v>2.3694088398915899E-2</v>
      </c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 t="s">
        <v>170</v>
      </c>
      <c r="DL138" s="84">
        <f>DR57</f>
        <v>24622</v>
      </c>
      <c r="DM138" s="84">
        <f t="shared" si="57"/>
        <v>1536</v>
      </c>
      <c r="DN138" s="84">
        <f t="shared" si="58"/>
        <v>1.8766967855865775E-3</v>
      </c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</row>
    <row r="139" spans="3:129" x14ac:dyDescent="0.2">
      <c r="C139" s="84" t="s">
        <v>171</v>
      </c>
      <c r="D139" s="84">
        <f>K57</f>
        <v>33601</v>
      </c>
      <c r="E139" s="84">
        <f t="shared" si="43"/>
        <v>14988</v>
      </c>
      <c r="F139" s="84">
        <f t="shared" si="44"/>
        <v>1.9011992853378186E-2</v>
      </c>
      <c r="S139" s="84" t="s">
        <v>171</v>
      </c>
      <c r="T139" s="84">
        <f>AA57</f>
        <v>43091</v>
      </c>
      <c r="U139" s="84">
        <f t="shared" si="45"/>
        <v>23870</v>
      </c>
      <c r="V139" s="84">
        <f t="shared" si="46"/>
        <v>3.0176641442208319E-2</v>
      </c>
      <c r="AI139" s="84" t="s">
        <v>171</v>
      </c>
      <c r="AJ139" s="84">
        <f>AQ57</f>
        <v>54780</v>
      </c>
      <c r="AK139" s="84">
        <f t="shared" si="47"/>
        <v>33044</v>
      </c>
      <c r="AL139" s="84">
        <f t="shared" si="48"/>
        <v>4.0291730139865943E-2</v>
      </c>
      <c r="AY139" s="84" t="s">
        <v>171</v>
      </c>
      <c r="AZ139" s="84">
        <f>BG57</f>
        <v>41901</v>
      </c>
      <c r="BA139" s="84">
        <f t="shared" si="49"/>
        <v>18806</v>
      </c>
      <c r="BB139" s="84">
        <f t="shared" si="50"/>
        <v>2.3030067508819255E-2</v>
      </c>
      <c r="BO139" s="84" t="s">
        <v>171</v>
      </c>
      <c r="BP139" s="84">
        <f>BW57</f>
        <v>53817</v>
      </c>
      <c r="BQ139" s="84">
        <f t="shared" si="51"/>
        <v>33978</v>
      </c>
      <c r="BR139" s="84">
        <f t="shared" si="52"/>
        <v>4.063146301607716E-2</v>
      </c>
      <c r="CE139" s="84" t="s">
        <v>171</v>
      </c>
      <c r="CF139" s="84">
        <f>CM57</f>
        <v>31132</v>
      </c>
      <c r="CG139" s="84">
        <f t="shared" si="53"/>
        <v>6799</v>
      </c>
      <c r="CH139" s="84">
        <f t="shared" si="54"/>
        <v>8.2218484224426593E-3</v>
      </c>
      <c r="CT139" s="84"/>
      <c r="CU139" s="84" t="s">
        <v>171</v>
      </c>
      <c r="CV139" s="84">
        <f>DC57</f>
        <v>42828</v>
      </c>
      <c r="CW139" s="84">
        <f t="shared" si="55"/>
        <v>18992</v>
      </c>
      <c r="CX139" s="84">
        <f t="shared" si="56"/>
        <v>2.322091577853402E-2</v>
      </c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 t="s">
        <v>171</v>
      </c>
      <c r="DL139" s="84">
        <f>DS57</f>
        <v>25246</v>
      </c>
      <c r="DM139" s="84">
        <f t="shared" si="57"/>
        <v>2160</v>
      </c>
      <c r="DN139" s="84">
        <f t="shared" si="58"/>
        <v>2.6391048547311246E-3</v>
      </c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</row>
    <row r="140" spans="3:129" x14ac:dyDescent="0.2">
      <c r="C140" s="84" t="s">
        <v>172</v>
      </c>
      <c r="D140" s="84">
        <f>L57</f>
        <v>34306</v>
      </c>
      <c r="E140" s="84">
        <f t="shared" si="43"/>
        <v>15693</v>
      </c>
      <c r="F140" s="84">
        <f t="shared" si="44"/>
        <v>1.9906271940756864E-2</v>
      </c>
      <c r="S140" s="84" t="s">
        <v>172</v>
      </c>
      <c r="T140" s="84">
        <f>AB57</f>
        <v>41577</v>
      </c>
      <c r="U140" s="84">
        <f t="shared" si="45"/>
        <v>22356</v>
      </c>
      <c r="V140" s="84">
        <f t="shared" si="46"/>
        <v>2.8262630753330926E-2</v>
      </c>
      <c r="AI140" s="84" t="s">
        <v>172</v>
      </c>
      <c r="AJ140" s="84">
        <f>AR57</f>
        <v>54909</v>
      </c>
      <c r="AK140" s="84">
        <f t="shared" si="47"/>
        <v>33173</v>
      </c>
      <c r="AL140" s="84">
        <f t="shared" si="48"/>
        <v>4.0449024450120226E-2</v>
      </c>
      <c r="AY140" s="84" t="s">
        <v>172</v>
      </c>
      <c r="AZ140" s="84">
        <f>BH57</f>
        <v>42252</v>
      </c>
      <c r="BA140" s="84">
        <f t="shared" si="49"/>
        <v>19157</v>
      </c>
      <c r="BB140" s="84">
        <f t="shared" si="50"/>
        <v>2.3459906586538893E-2</v>
      </c>
      <c r="BO140" s="84" t="s">
        <v>172</v>
      </c>
      <c r="BP140" s="84">
        <f>BX57</f>
        <v>61532</v>
      </c>
      <c r="BQ140" s="84">
        <f t="shared" si="51"/>
        <v>41693</v>
      </c>
      <c r="BR140" s="84">
        <f t="shared" si="52"/>
        <v>4.9857189579413298E-2</v>
      </c>
      <c r="CE140" s="84" t="s">
        <v>172</v>
      </c>
      <c r="CF140" s="84">
        <f>CN57</f>
        <v>32205</v>
      </c>
      <c r="CG140" s="84">
        <f t="shared" si="53"/>
        <v>7872</v>
      </c>
      <c r="CH140" s="84">
        <f t="shared" si="54"/>
        <v>9.5193985558859554E-3</v>
      </c>
      <c r="CT140" s="84"/>
      <c r="CU140" s="84" t="s">
        <v>172</v>
      </c>
      <c r="CV140" s="84">
        <f>DD57</f>
        <v>45381</v>
      </c>
      <c r="CW140" s="84">
        <f t="shared" si="55"/>
        <v>21545</v>
      </c>
      <c r="CX140" s="84">
        <f t="shared" si="56"/>
        <v>2.6342387871130763E-2</v>
      </c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 t="s">
        <v>172</v>
      </c>
      <c r="DL140" s="84">
        <f>DT57</f>
        <v>24605</v>
      </c>
      <c r="DM140" s="84">
        <f t="shared" si="57"/>
        <v>1519</v>
      </c>
      <c r="DN140" s="84">
        <f t="shared" si="58"/>
        <v>1.8559260529336012E-3</v>
      </c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</row>
    <row r="141" spans="3:129" x14ac:dyDescent="0.2">
      <c r="C141" s="84" t="s">
        <v>173</v>
      </c>
      <c r="D141" s="84">
        <f>M57</f>
        <v>33952</v>
      </c>
      <c r="E141" s="84">
        <f t="shared" si="43"/>
        <v>15339</v>
      </c>
      <c r="F141" s="84">
        <f t="shared" si="44"/>
        <v>1.9457229675605019E-2</v>
      </c>
      <c r="S141" s="84" t="s">
        <v>173</v>
      </c>
      <c r="T141" s="84">
        <f>AC57</f>
        <v>39996</v>
      </c>
      <c r="U141" s="84">
        <f t="shared" si="45"/>
        <v>20775</v>
      </c>
      <c r="V141" s="84">
        <f t="shared" si="46"/>
        <v>2.6263918138327517E-2</v>
      </c>
      <c r="AI141" s="84" t="s">
        <v>173</v>
      </c>
      <c r="AJ141" s="84">
        <f>AS57</f>
        <v>51354</v>
      </c>
      <c r="AK141" s="84">
        <f t="shared" si="47"/>
        <v>29618</v>
      </c>
      <c r="AL141" s="84">
        <f t="shared" si="48"/>
        <v>3.6114285900089256E-2</v>
      </c>
      <c r="AY141" s="84" t="s">
        <v>173</v>
      </c>
      <c r="AZ141" s="84">
        <f>BI57</f>
        <v>42514</v>
      </c>
      <c r="BA141" s="84">
        <f t="shared" si="49"/>
        <v>19419</v>
      </c>
      <c r="BB141" s="84">
        <f t="shared" si="50"/>
        <v>2.3780755128882329E-2</v>
      </c>
      <c r="BO141" s="84" t="s">
        <v>173</v>
      </c>
      <c r="BP141" s="84">
        <f>BY57</f>
        <v>58527</v>
      </c>
      <c r="BQ141" s="84">
        <f t="shared" si="51"/>
        <v>38688</v>
      </c>
      <c r="BR141" s="84">
        <f t="shared" si="52"/>
        <v>4.6263760114367919E-2</v>
      </c>
      <c r="CE141" s="84" t="s">
        <v>173</v>
      </c>
      <c r="CF141" s="84">
        <f>CO57</f>
        <v>32514</v>
      </c>
      <c r="CG141" s="84">
        <f t="shared" si="53"/>
        <v>8181</v>
      </c>
      <c r="CH141" s="84">
        <f t="shared" si="54"/>
        <v>9.8930639717610524E-3</v>
      </c>
      <c r="CT141" s="84"/>
      <c r="CU141" s="84" t="s">
        <v>173</v>
      </c>
      <c r="CV141" s="84">
        <f>DE57</f>
        <v>45500</v>
      </c>
      <c r="CW141" s="84">
        <f t="shared" si="55"/>
        <v>21664</v>
      </c>
      <c r="CX141" s="84">
        <f t="shared" si="56"/>
        <v>2.6487885395227517E-2</v>
      </c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 t="s">
        <v>173</v>
      </c>
      <c r="DL141" s="84">
        <f>DU57</f>
        <v>26076</v>
      </c>
      <c r="DM141" s="84">
        <f t="shared" si="57"/>
        <v>2990</v>
      </c>
      <c r="DN141" s="84">
        <f t="shared" si="58"/>
        <v>3.6532053313176219E-3</v>
      </c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</row>
    <row r="142" spans="3:129" x14ac:dyDescent="0.2">
      <c r="C142" s="84" t="s">
        <v>174</v>
      </c>
      <c r="D142" s="84">
        <f>N57</f>
        <v>35925</v>
      </c>
      <c r="E142" s="84">
        <f t="shared" si="43"/>
        <v>17312</v>
      </c>
      <c r="F142" s="84">
        <f t="shared" si="44"/>
        <v>2.1959942639290311E-2</v>
      </c>
      <c r="S142" s="84" t="s">
        <v>174</v>
      </c>
      <c r="T142" s="84">
        <f>AD57</f>
        <v>40412</v>
      </c>
      <c r="U142" s="84">
        <f t="shared" si="45"/>
        <v>21191</v>
      </c>
      <c r="V142" s="84">
        <f t="shared" si="46"/>
        <v>2.6789828605020383E-2</v>
      </c>
      <c r="AI142" s="84" t="s">
        <v>174</v>
      </c>
      <c r="AJ142" s="84">
        <f>AT57</f>
        <v>55123</v>
      </c>
      <c r="AK142" s="84">
        <f t="shared" si="47"/>
        <v>33387</v>
      </c>
      <c r="AL142" s="84">
        <f t="shared" si="48"/>
        <v>4.0709962298138967E-2</v>
      </c>
      <c r="AY142" s="84" t="s">
        <v>174</v>
      </c>
      <c r="AZ142" s="84">
        <f>BJ57</f>
        <v>43554</v>
      </c>
      <c r="BA142" s="84">
        <f t="shared" si="49"/>
        <v>20459</v>
      </c>
      <c r="BB142" s="84">
        <f t="shared" si="50"/>
        <v>2.5054352396199783E-2</v>
      </c>
      <c r="BO142" s="84" t="s">
        <v>174</v>
      </c>
      <c r="BP142" s="84">
        <f>BZ57</f>
        <v>62815</v>
      </c>
      <c r="BQ142" s="84">
        <f t="shared" si="51"/>
        <v>42976</v>
      </c>
      <c r="BR142" s="84">
        <f t="shared" si="52"/>
        <v>5.1391422525720522E-2</v>
      </c>
      <c r="CE142" s="84" t="s">
        <v>174</v>
      </c>
      <c r="CF142" s="84">
        <f>CP57</f>
        <v>33927</v>
      </c>
      <c r="CG142" s="84">
        <f t="shared" si="53"/>
        <v>9594</v>
      </c>
      <c r="CH142" s="84">
        <f t="shared" si="54"/>
        <v>1.1601766989986009E-2</v>
      </c>
      <c r="CT142" s="84"/>
      <c r="CU142" s="84" t="s">
        <v>174</v>
      </c>
      <c r="CV142" s="84">
        <f>DF57</f>
        <v>45580</v>
      </c>
      <c r="CW142" s="84">
        <f t="shared" si="55"/>
        <v>21744</v>
      </c>
      <c r="CX142" s="84">
        <f t="shared" si="56"/>
        <v>2.6585698856805166E-2</v>
      </c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 t="s">
        <v>174</v>
      </c>
      <c r="DL142" s="84">
        <f>DV57</f>
        <v>26372</v>
      </c>
      <c r="DM142" s="84">
        <f t="shared" si="57"/>
        <v>3286</v>
      </c>
      <c r="DN142" s="84">
        <f t="shared" si="58"/>
        <v>4.0148604410400355E-3</v>
      </c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</row>
    <row r="143" spans="3:129" x14ac:dyDescent="0.2">
      <c r="C143" t="s">
        <v>175</v>
      </c>
      <c r="D143" s="84">
        <f>E58</f>
        <v>18646</v>
      </c>
      <c r="E143" s="84">
        <f t="shared" si="43"/>
        <v>33</v>
      </c>
      <c r="F143" s="84">
        <f t="shared" si="44"/>
        <v>4.1859872175172152E-5</v>
      </c>
      <c r="S143" s="84" t="s">
        <v>175</v>
      </c>
      <c r="T143" s="84">
        <f>U58</f>
        <v>19260</v>
      </c>
      <c r="U143" s="84">
        <f t="shared" si="45"/>
        <v>39</v>
      </c>
      <c r="V143" s="84">
        <f t="shared" si="46"/>
        <v>4.9304106252455992E-5</v>
      </c>
      <c r="AI143" s="84" t="s">
        <v>175</v>
      </c>
      <c r="AJ143" s="84">
        <f>AK58</f>
        <v>21674</v>
      </c>
      <c r="AK143" s="84">
        <f t="shared" si="47"/>
        <v>-62</v>
      </c>
      <c r="AL143" s="84">
        <f t="shared" si="48"/>
        <v>-7.559881578113087E-5</v>
      </c>
      <c r="AY143" s="84" t="s">
        <v>175</v>
      </c>
      <c r="AZ143" s="84">
        <f>BA58</f>
        <v>23299</v>
      </c>
      <c r="BA143" s="84">
        <f t="shared" si="49"/>
        <v>204</v>
      </c>
      <c r="BB143" s="84">
        <f t="shared" si="50"/>
        <v>2.4982100243534658E-4</v>
      </c>
      <c r="BO143" s="84" t="s">
        <v>175</v>
      </c>
      <c r="BP143" s="84">
        <f>BQ58</f>
        <v>19777</v>
      </c>
      <c r="BQ143" s="84">
        <f t="shared" si="51"/>
        <v>-62</v>
      </c>
      <c r="BR143" s="84">
        <f t="shared" si="52"/>
        <v>-7.4140641208922945E-5</v>
      </c>
      <c r="CE143" s="84" t="s">
        <v>175</v>
      </c>
      <c r="CF143" s="84">
        <f>CG58</f>
        <v>23531</v>
      </c>
      <c r="CG143" s="84">
        <f t="shared" si="53"/>
        <v>-802</v>
      </c>
      <c r="CH143" s="84">
        <f t="shared" si="54"/>
        <v>-9.6983709880850313E-4</v>
      </c>
      <c r="CT143" s="84"/>
      <c r="CU143" s="84" t="s">
        <v>175</v>
      </c>
      <c r="CV143" s="84">
        <f>CW58</f>
        <v>23890</v>
      </c>
      <c r="CW143" s="84">
        <f t="shared" si="55"/>
        <v>54</v>
      </c>
      <c r="CX143" s="84">
        <f t="shared" si="56"/>
        <v>6.6024086564913498E-5</v>
      </c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 t="s">
        <v>175</v>
      </c>
      <c r="DL143" s="84">
        <f>DM58</f>
        <v>22878</v>
      </c>
      <c r="DM143" s="84">
        <f t="shared" si="57"/>
        <v>-209</v>
      </c>
      <c r="DN143" s="84">
        <f t="shared" si="58"/>
        <v>-2.5535783085129862E-4</v>
      </c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</row>
    <row r="144" spans="3:129" x14ac:dyDescent="0.2">
      <c r="C144" s="84" t="s">
        <v>176</v>
      </c>
      <c r="D144" s="84">
        <f>F58</f>
        <v>795330</v>
      </c>
      <c r="E144" s="84">
        <f t="shared" si="43"/>
        <v>776717</v>
      </c>
      <c r="F144" s="84">
        <f t="shared" si="44"/>
        <v>0.98525073746312686</v>
      </c>
      <c r="S144" s="84" t="s">
        <v>176</v>
      </c>
      <c r="T144" s="84">
        <f>V58</f>
        <v>787968</v>
      </c>
      <c r="U144" s="84">
        <f t="shared" si="45"/>
        <v>768747</v>
      </c>
      <c r="V144" s="84">
        <f t="shared" si="46"/>
        <v>0.97185599408350731</v>
      </c>
      <c r="AI144" s="84" t="s">
        <v>176</v>
      </c>
      <c r="AJ144" s="84">
        <f>AL58</f>
        <v>855166</v>
      </c>
      <c r="AK144" s="84">
        <f t="shared" si="47"/>
        <v>833430</v>
      </c>
      <c r="AL144" s="84">
        <f t="shared" si="48"/>
        <v>1.0162309844591597</v>
      </c>
      <c r="AY144" s="84" t="s">
        <v>176</v>
      </c>
      <c r="AZ144" s="84">
        <f>BB58</f>
        <v>808159</v>
      </c>
      <c r="BA144" s="84">
        <f t="shared" si="49"/>
        <v>785064</v>
      </c>
      <c r="BB144" s="84">
        <f t="shared" si="50"/>
        <v>0.96139938948972026</v>
      </c>
      <c r="BO144" s="84" t="s">
        <v>176</v>
      </c>
      <c r="BP144" s="84">
        <f>BR58</f>
        <v>840414</v>
      </c>
      <c r="BQ144" s="84">
        <f t="shared" si="51"/>
        <v>820575</v>
      </c>
      <c r="BR144" s="84">
        <f t="shared" si="52"/>
        <v>0.98125736548406362</v>
      </c>
      <c r="CE144" s="84" t="s">
        <v>176</v>
      </c>
      <c r="CF144" s="84">
        <f>CH58</f>
        <v>822886</v>
      </c>
      <c r="CG144" s="84">
        <f t="shared" si="53"/>
        <v>798553</v>
      </c>
      <c r="CH144" s="84">
        <f t="shared" si="54"/>
        <v>0.9656687341207314</v>
      </c>
      <c r="CT144" s="84"/>
      <c r="CU144" s="84" t="s">
        <v>176</v>
      </c>
      <c r="CV144" s="84">
        <f>CX58</f>
        <v>821173</v>
      </c>
      <c r="CW144" s="84">
        <f t="shared" si="55"/>
        <v>797337</v>
      </c>
      <c r="CX144" s="84">
        <f t="shared" si="56"/>
        <v>0.97487865017423014</v>
      </c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 t="s">
        <v>176</v>
      </c>
      <c r="DL144" s="84">
        <f>DN58</f>
        <v>816161</v>
      </c>
      <c r="DM144" s="84">
        <f t="shared" si="57"/>
        <v>793075</v>
      </c>
      <c r="DN144" s="84">
        <f t="shared" si="58"/>
        <v>0.96898522345642901</v>
      </c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</row>
    <row r="145" spans="1:129" x14ac:dyDescent="0.2">
      <c r="C145" s="84" t="s">
        <v>177</v>
      </c>
      <c r="D145" s="84">
        <f>G58</f>
        <v>32154</v>
      </c>
      <c r="E145" s="84">
        <f t="shared" si="43"/>
        <v>13541</v>
      </c>
      <c r="F145" s="84">
        <f t="shared" si="44"/>
        <v>1.7176500882545638E-2</v>
      </c>
      <c r="S145" s="84" t="s">
        <v>177</v>
      </c>
      <c r="T145" s="84">
        <f>W58</f>
        <v>41590</v>
      </c>
      <c r="U145" s="84">
        <f t="shared" si="45"/>
        <v>22369</v>
      </c>
      <c r="V145" s="84">
        <f t="shared" si="46"/>
        <v>2.8279065455415076E-2</v>
      </c>
      <c r="AI145" s="84" t="s">
        <v>177</v>
      </c>
      <c r="AJ145" s="84">
        <f>AM58</f>
        <v>45637</v>
      </c>
      <c r="AK145" s="84">
        <f t="shared" si="47"/>
        <v>23901</v>
      </c>
      <c r="AL145" s="84">
        <f t="shared" si="48"/>
        <v>2.9143343483625947E-2</v>
      </c>
      <c r="AY145" s="84" t="s">
        <v>177</v>
      </c>
      <c r="AZ145" s="84">
        <f>BC58</f>
        <v>37136</v>
      </c>
      <c r="BA145" s="84">
        <f t="shared" si="49"/>
        <v>14041</v>
      </c>
      <c r="BB145" s="84">
        <f t="shared" si="50"/>
        <v>1.7194787721542655E-2</v>
      </c>
      <c r="BO145" s="84" t="s">
        <v>177</v>
      </c>
      <c r="BP145" s="84">
        <f>BS58</f>
        <v>43176</v>
      </c>
      <c r="BQ145" s="84">
        <f t="shared" si="51"/>
        <v>23337</v>
      </c>
      <c r="BR145" s="84">
        <f t="shared" si="52"/>
        <v>2.7906776514397335E-2</v>
      </c>
      <c r="CE145" s="84" t="s">
        <v>177</v>
      </c>
      <c r="CF145" s="84">
        <f>CI58</f>
        <v>30229</v>
      </c>
      <c r="CG145" s="84">
        <f t="shared" si="53"/>
        <v>5896</v>
      </c>
      <c r="CH145" s="84">
        <f t="shared" si="54"/>
        <v>7.1298747313901928E-3</v>
      </c>
      <c r="CT145" s="84"/>
      <c r="CU145" s="84" t="s">
        <v>177</v>
      </c>
      <c r="CV145" s="84">
        <f>CY58</f>
        <v>28969</v>
      </c>
      <c r="CW145" s="84">
        <f t="shared" si="55"/>
        <v>5133</v>
      </c>
      <c r="CX145" s="84">
        <f t="shared" si="56"/>
        <v>6.275956228475944E-3</v>
      </c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 t="s">
        <v>177</v>
      </c>
      <c r="DL145" s="84">
        <f>DO58</f>
        <v>25198</v>
      </c>
      <c r="DM145" s="84">
        <f t="shared" si="57"/>
        <v>2112</v>
      </c>
      <c r="DN145" s="84">
        <f t="shared" si="58"/>
        <v>2.580458080181544E-3</v>
      </c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</row>
    <row r="146" spans="1:129" x14ac:dyDescent="0.2">
      <c r="C146" s="84" t="s">
        <v>178</v>
      </c>
      <c r="D146" s="84">
        <f>H58</f>
        <v>32906</v>
      </c>
      <c r="E146" s="84">
        <f t="shared" si="43"/>
        <v>14293</v>
      </c>
      <c r="F146" s="84">
        <f t="shared" si="44"/>
        <v>1.8130398575749562E-2</v>
      </c>
      <c r="S146" s="84" t="s">
        <v>178</v>
      </c>
      <c r="T146" s="84">
        <f>X58</f>
        <v>40534</v>
      </c>
      <c r="U146" s="84">
        <f t="shared" si="45"/>
        <v>21313</v>
      </c>
      <c r="V146" s="84">
        <f t="shared" si="46"/>
        <v>2.6944061963040885E-2</v>
      </c>
      <c r="AI146" s="84" t="s">
        <v>178</v>
      </c>
      <c r="AJ146" s="84">
        <f>AN58</f>
        <v>52359</v>
      </c>
      <c r="AK146" s="84">
        <f t="shared" si="47"/>
        <v>30623</v>
      </c>
      <c r="AL146" s="84">
        <f t="shared" si="48"/>
        <v>3.7339718317186618E-2</v>
      </c>
      <c r="AY146" s="84" t="s">
        <v>178</v>
      </c>
      <c r="AZ146" s="84">
        <f>BD58</f>
        <v>45116</v>
      </c>
      <c r="BA146" s="84">
        <f t="shared" si="49"/>
        <v>22021</v>
      </c>
      <c r="BB146" s="84">
        <f t="shared" si="50"/>
        <v>2.6967197522690035E-2</v>
      </c>
      <c r="BO146" s="84" t="s">
        <v>178</v>
      </c>
      <c r="BP146" s="84">
        <f>BT58</f>
        <v>40466</v>
      </c>
      <c r="BQ146" s="84">
        <f t="shared" si="51"/>
        <v>20627</v>
      </c>
      <c r="BR146" s="84">
        <f t="shared" si="52"/>
        <v>2.4666113003491186E-2</v>
      </c>
      <c r="CE146" s="84" t="s">
        <v>178</v>
      </c>
      <c r="CF146" s="84">
        <f>CJ58</f>
        <v>34906</v>
      </c>
      <c r="CG146" s="84">
        <f t="shared" si="53"/>
        <v>10573</v>
      </c>
      <c r="CH146" s="84">
        <f t="shared" si="54"/>
        <v>1.2785645443519083E-2</v>
      </c>
      <c r="CT146" s="84"/>
      <c r="CU146" s="84" t="s">
        <v>178</v>
      </c>
      <c r="CV146" s="84">
        <f>CZ58</f>
        <v>33374</v>
      </c>
      <c r="CW146" s="84">
        <f t="shared" si="55"/>
        <v>9538</v>
      </c>
      <c r="CX146" s="84">
        <f t="shared" si="56"/>
        <v>1.1661809956595276E-2</v>
      </c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 t="s">
        <v>178</v>
      </c>
      <c r="DL146" s="84">
        <f>DP58</f>
        <v>25765</v>
      </c>
      <c r="DM146" s="84">
        <f t="shared" si="57"/>
        <v>2679</v>
      </c>
      <c r="DN146" s="84">
        <f t="shared" si="58"/>
        <v>3.2732231045484645E-3</v>
      </c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</row>
    <row r="147" spans="1:129" x14ac:dyDescent="0.2">
      <c r="C147" s="84" t="s">
        <v>179</v>
      </c>
      <c r="D147" s="84">
        <f>I58</f>
        <v>33265</v>
      </c>
      <c r="E147" s="84">
        <f t="shared" si="43"/>
        <v>14652</v>
      </c>
      <c r="F147" s="84">
        <f t="shared" si="44"/>
        <v>1.8585783245776435E-2</v>
      </c>
      <c r="S147" s="84" t="s">
        <v>179</v>
      </c>
      <c r="T147" s="84">
        <f>Y58</f>
        <v>40242</v>
      </c>
      <c r="U147" s="84">
        <f t="shared" si="45"/>
        <v>21021</v>
      </c>
      <c r="V147" s="84">
        <f t="shared" si="46"/>
        <v>2.6574913270073778E-2</v>
      </c>
      <c r="AI147" s="84" t="s">
        <v>179</v>
      </c>
      <c r="AJ147" s="84">
        <f>AO58</f>
        <v>51349</v>
      </c>
      <c r="AK147" s="84">
        <f t="shared" si="47"/>
        <v>29613</v>
      </c>
      <c r="AL147" s="84">
        <f t="shared" si="48"/>
        <v>3.6108189221397233E-2</v>
      </c>
      <c r="AY147" s="84" t="s">
        <v>179</v>
      </c>
      <c r="AZ147" s="84">
        <f>BE58</f>
        <v>41967</v>
      </c>
      <c r="BA147" s="84">
        <f t="shared" si="49"/>
        <v>18872</v>
      </c>
      <c r="BB147" s="84">
        <f t="shared" si="50"/>
        <v>2.311089195078363E-2</v>
      </c>
      <c r="BO147" s="84" t="s">
        <v>179</v>
      </c>
      <c r="BP147" s="84">
        <f>BU58</f>
        <v>49353</v>
      </c>
      <c r="BQ147" s="84">
        <f t="shared" si="51"/>
        <v>29514</v>
      </c>
      <c r="BR147" s="84">
        <f t="shared" si="52"/>
        <v>3.5293336849034705E-2</v>
      </c>
      <c r="CE147" s="84" t="s">
        <v>179</v>
      </c>
      <c r="CF147" s="84">
        <f>CK58</f>
        <v>30317</v>
      </c>
      <c r="CG147" s="84">
        <f t="shared" si="53"/>
        <v>5984</v>
      </c>
      <c r="CH147" s="84">
        <f t="shared" si="54"/>
        <v>7.23629077215721E-3</v>
      </c>
      <c r="CT147" s="84"/>
      <c r="CU147" s="84" t="s">
        <v>179</v>
      </c>
      <c r="CV147" s="84">
        <f>DA58</f>
        <v>32290</v>
      </c>
      <c r="CW147" s="84">
        <f t="shared" si="55"/>
        <v>8454</v>
      </c>
      <c r="CX147" s="84">
        <f t="shared" si="56"/>
        <v>1.0336437552218124E-2</v>
      </c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 t="s">
        <v>179</v>
      </c>
      <c r="DL147" s="84">
        <f>DQ58</f>
        <v>26177</v>
      </c>
      <c r="DM147" s="84">
        <f t="shared" si="57"/>
        <v>3091</v>
      </c>
      <c r="DN147" s="84">
        <f t="shared" si="58"/>
        <v>3.7766079194323644E-3</v>
      </c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</row>
    <row r="148" spans="1:129" x14ac:dyDescent="0.2">
      <c r="C148" s="84" t="s">
        <v>180</v>
      </c>
      <c r="D148" s="84">
        <f>J58</f>
        <v>34766</v>
      </c>
      <c r="E148" s="84">
        <f t="shared" si="43"/>
        <v>16153</v>
      </c>
      <c r="F148" s="84">
        <f t="shared" si="44"/>
        <v>2.0489773189259264E-2</v>
      </c>
      <c r="S148" s="84" t="s">
        <v>180</v>
      </c>
      <c r="T148" s="84">
        <f>Z58</f>
        <v>38282</v>
      </c>
      <c r="U148" s="84">
        <f t="shared" si="45"/>
        <v>19061</v>
      </c>
      <c r="V148" s="84">
        <f t="shared" si="46"/>
        <v>2.4097065878924708E-2</v>
      </c>
      <c r="AI148" s="84" t="s">
        <v>180</v>
      </c>
      <c r="AJ148" s="84">
        <f>AP58</f>
        <v>52037</v>
      </c>
      <c r="AK148" s="84">
        <f t="shared" si="47"/>
        <v>30301</v>
      </c>
      <c r="AL148" s="84">
        <f t="shared" si="48"/>
        <v>3.69470922094201E-2</v>
      </c>
      <c r="AY148" s="84" t="s">
        <v>180</v>
      </c>
      <c r="AZ148" s="84">
        <f>BF58</f>
        <v>38019</v>
      </c>
      <c r="BA148" s="84">
        <f t="shared" si="49"/>
        <v>14924</v>
      </c>
      <c r="BB148" s="84">
        <f t="shared" si="50"/>
        <v>1.8276120786005452E-2</v>
      </c>
      <c r="BO148" s="84" t="s">
        <v>180</v>
      </c>
      <c r="BP148" s="84">
        <f>BV58</f>
        <v>38520</v>
      </c>
      <c r="BQ148" s="84">
        <f t="shared" si="51"/>
        <v>18681</v>
      </c>
      <c r="BR148" s="84">
        <f t="shared" si="52"/>
        <v>2.233905352296596E-2</v>
      </c>
      <c r="CE148" s="84" t="s">
        <v>180</v>
      </c>
      <c r="CF148" s="84">
        <f>CL58</f>
        <v>33747</v>
      </c>
      <c r="CG148" s="84">
        <f t="shared" si="53"/>
        <v>9414</v>
      </c>
      <c r="CH148" s="84">
        <f t="shared" si="54"/>
        <v>1.1384097815689836E-2</v>
      </c>
      <c r="CT148" s="84"/>
      <c r="CU148" s="84" t="s">
        <v>180</v>
      </c>
      <c r="CV148" s="84">
        <f>DB58</f>
        <v>33015</v>
      </c>
      <c r="CW148" s="84">
        <f t="shared" si="55"/>
        <v>9179</v>
      </c>
      <c r="CX148" s="84">
        <f t="shared" si="56"/>
        <v>1.1222872047765573E-2</v>
      </c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 t="s">
        <v>180</v>
      </c>
      <c r="DL148" s="84">
        <f>DR58</f>
        <v>25755</v>
      </c>
      <c r="DM148" s="84">
        <f t="shared" si="57"/>
        <v>2669</v>
      </c>
      <c r="DN148" s="84">
        <f t="shared" si="58"/>
        <v>3.2610050265173018E-3</v>
      </c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</row>
    <row r="149" spans="1:129" x14ac:dyDescent="0.2">
      <c r="C149" s="84" t="s">
        <v>181</v>
      </c>
      <c r="D149" s="84">
        <f>K58</f>
        <v>32787</v>
      </c>
      <c r="E149" s="84">
        <f t="shared" si="43"/>
        <v>14174</v>
      </c>
      <c r="F149" s="84">
        <f t="shared" si="44"/>
        <v>1.7979449339723941E-2</v>
      </c>
      <c r="S149" s="84" t="s">
        <v>181</v>
      </c>
      <c r="T149" s="84">
        <f>AA58</f>
        <v>40229</v>
      </c>
      <c r="U149" s="84">
        <f t="shared" si="45"/>
        <v>21008</v>
      </c>
      <c r="V149" s="84">
        <f t="shared" si="46"/>
        <v>2.6558478567989628E-2</v>
      </c>
      <c r="AI149" s="84" t="s">
        <v>181</v>
      </c>
      <c r="AJ149" s="84">
        <f>AQ58</f>
        <v>46004</v>
      </c>
      <c r="AK149" s="84">
        <f t="shared" si="47"/>
        <v>24268</v>
      </c>
      <c r="AL149" s="84">
        <f t="shared" si="48"/>
        <v>2.9590839699620706E-2</v>
      </c>
      <c r="AY149" s="84" t="s">
        <v>181</v>
      </c>
      <c r="AZ149" s="84">
        <f>BG58</f>
        <v>42058</v>
      </c>
      <c r="BA149" s="84">
        <f t="shared" si="49"/>
        <v>18963</v>
      </c>
      <c r="BB149" s="84">
        <f t="shared" si="50"/>
        <v>2.322233171167391E-2</v>
      </c>
      <c r="BO149" s="84" t="s">
        <v>181</v>
      </c>
      <c r="BP149" s="84">
        <f>BW58</f>
        <v>47690</v>
      </c>
      <c r="BQ149" s="84">
        <f t="shared" si="51"/>
        <v>27851</v>
      </c>
      <c r="BR149" s="84">
        <f t="shared" si="52"/>
        <v>3.3304693521124404E-2</v>
      </c>
      <c r="CE149" s="84" t="s">
        <v>181</v>
      </c>
      <c r="CF149" s="84">
        <f>CM58</f>
        <v>34363</v>
      </c>
      <c r="CG149" s="84">
        <f t="shared" si="53"/>
        <v>10030</v>
      </c>
      <c r="CH149" s="84">
        <f t="shared" si="54"/>
        <v>1.2129010101058961E-2</v>
      </c>
      <c r="CT149" s="84"/>
      <c r="CU149" s="84" t="s">
        <v>181</v>
      </c>
      <c r="CV149" s="84">
        <f>DC58</f>
        <v>34143</v>
      </c>
      <c r="CW149" s="84">
        <f t="shared" si="55"/>
        <v>10307</v>
      </c>
      <c r="CX149" s="84">
        <f t="shared" si="56"/>
        <v>1.2602041856010432E-2</v>
      </c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 t="s">
        <v>181</v>
      </c>
      <c r="DL149" s="84">
        <f>DS58</f>
        <v>25940</v>
      </c>
      <c r="DM149" s="84">
        <f t="shared" si="57"/>
        <v>2854</v>
      </c>
      <c r="DN149" s="84">
        <f t="shared" si="58"/>
        <v>3.4870394700938102E-3</v>
      </c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</row>
    <row r="150" spans="1:129" x14ac:dyDescent="0.2">
      <c r="C150" s="84" t="s">
        <v>182</v>
      </c>
      <c r="D150" s="84">
        <f>L58</f>
        <v>33931</v>
      </c>
      <c r="E150" s="84">
        <f t="shared" si="43"/>
        <v>15318</v>
      </c>
      <c r="F150" s="84">
        <f t="shared" si="44"/>
        <v>1.943059157512991E-2</v>
      </c>
      <c r="S150" s="84" t="s">
        <v>182</v>
      </c>
      <c r="T150" s="84">
        <f>AB58</f>
        <v>39352</v>
      </c>
      <c r="U150" s="84">
        <f t="shared" si="45"/>
        <v>20131</v>
      </c>
      <c r="V150" s="84">
        <f t="shared" si="46"/>
        <v>2.5449768281235682E-2</v>
      </c>
      <c r="AI150" s="84" t="s">
        <v>182</v>
      </c>
      <c r="AJ150" s="84">
        <f>AR58</f>
        <v>50169</v>
      </c>
      <c r="AK150" s="84">
        <f t="shared" si="47"/>
        <v>28433</v>
      </c>
      <c r="AL150" s="84">
        <f t="shared" si="48"/>
        <v>3.466937305007893E-2</v>
      </c>
      <c r="AY150" s="84" t="s">
        <v>182</v>
      </c>
      <c r="AZ150" s="84">
        <f>BH58</f>
        <v>42821</v>
      </c>
      <c r="BA150" s="84">
        <f t="shared" si="49"/>
        <v>19726</v>
      </c>
      <c r="BB150" s="84">
        <f t="shared" si="50"/>
        <v>2.4156711245292384E-2</v>
      </c>
      <c r="BO150" s="84" t="s">
        <v>182</v>
      </c>
      <c r="BP150" s="84">
        <f>BX58</f>
        <v>48097</v>
      </c>
      <c r="BQ150" s="84">
        <f t="shared" si="51"/>
        <v>28258</v>
      </c>
      <c r="BR150" s="84">
        <f t="shared" si="52"/>
        <v>3.3791390956157172E-2</v>
      </c>
      <c r="CE150" s="84" t="s">
        <v>182</v>
      </c>
      <c r="CF150" s="84">
        <f>CN58</f>
        <v>34736</v>
      </c>
      <c r="CG150" s="84">
        <f t="shared" si="53"/>
        <v>10403</v>
      </c>
      <c r="CH150" s="84">
        <f t="shared" si="54"/>
        <v>1.2580069001128251E-2</v>
      </c>
      <c r="CT150" s="84"/>
      <c r="CU150" s="84" t="s">
        <v>182</v>
      </c>
      <c r="CV150" s="84">
        <f>DD58</f>
        <v>33997</v>
      </c>
      <c r="CW150" s="84">
        <f t="shared" si="55"/>
        <v>10161</v>
      </c>
      <c r="CX150" s="84">
        <f t="shared" si="56"/>
        <v>1.2423532288631222E-2</v>
      </c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 t="s">
        <v>182</v>
      </c>
      <c r="DL150" s="84">
        <f>DT58</f>
        <v>25944</v>
      </c>
      <c r="DM150" s="84">
        <f t="shared" si="57"/>
        <v>2858</v>
      </c>
      <c r="DN150" s="84">
        <f t="shared" si="58"/>
        <v>3.4919267013062754E-3</v>
      </c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</row>
    <row r="151" spans="1:129" x14ac:dyDescent="0.2">
      <c r="C151" s="84" t="s">
        <v>183</v>
      </c>
      <c r="D151" s="84">
        <f>M58</f>
        <v>33804</v>
      </c>
      <c r="E151" s="84">
        <f t="shared" si="43"/>
        <v>15191</v>
      </c>
      <c r="F151" s="84">
        <f t="shared" si="44"/>
        <v>1.9269494491304245E-2</v>
      </c>
      <c r="S151" s="84" t="s">
        <v>183</v>
      </c>
      <c r="T151" s="84">
        <f>AC58</f>
        <v>39753</v>
      </c>
      <c r="U151" s="84">
        <f t="shared" si="45"/>
        <v>20532</v>
      </c>
      <c r="V151" s="84">
        <f t="shared" si="46"/>
        <v>2.5956715630139137E-2</v>
      </c>
      <c r="AI151" s="84" t="s">
        <v>183</v>
      </c>
      <c r="AJ151" s="84">
        <f>AS58</f>
        <v>49335</v>
      </c>
      <c r="AK151" s="84">
        <f t="shared" si="47"/>
        <v>27599</v>
      </c>
      <c r="AL151" s="84">
        <f t="shared" si="48"/>
        <v>3.3652447044248884E-2</v>
      </c>
      <c r="AY151" s="84" t="s">
        <v>183</v>
      </c>
      <c r="AZ151" s="84">
        <f>BI58</f>
        <v>36448</v>
      </c>
      <c r="BA151" s="84">
        <f t="shared" si="49"/>
        <v>13353</v>
      </c>
      <c r="BB151" s="84">
        <f t="shared" si="50"/>
        <v>1.6352254144701876E-2</v>
      </c>
      <c r="BO151" s="84" t="s">
        <v>183</v>
      </c>
      <c r="BP151" s="84">
        <f>BY58</f>
        <v>55568</v>
      </c>
      <c r="BQ151" s="84">
        <f t="shared" si="51"/>
        <v>35729</v>
      </c>
      <c r="BR151" s="84">
        <f t="shared" si="52"/>
        <v>4.2725338221832387E-2</v>
      </c>
      <c r="CE151" s="84" t="s">
        <v>183</v>
      </c>
      <c r="CF151" s="84">
        <f>CO58</f>
        <v>37168</v>
      </c>
      <c r="CG151" s="84">
        <f t="shared" si="53"/>
        <v>12835</v>
      </c>
      <c r="CH151" s="84">
        <f t="shared" si="54"/>
        <v>1.5521021400507653E-2</v>
      </c>
      <c r="CT151" s="84"/>
      <c r="CU151" s="84" t="s">
        <v>183</v>
      </c>
      <c r="CV151" s="84">
        <f>DE58</f>
        <v>34600</v>
      </c>
      <c r="CW151" s="84">
        <f t="shared" si="55"/>
        <v>10764</v>
      </c>
      <c r="CX151" s="84">
        <f t="shared" si="56"/>
        <v>1.3160801255272756E-2</v>
      </c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 t="s">
        <v>183</v>
      </c>
      <c r="DL151" s="84">
        <f>DU58</f>
        <v>26364</v>
      </c>
      <c r="DM151" s="84">
        <f t="shared" si="57"/>
        <v>3278</v>
      </c>
      <c r="DN151" s="84">
        <f t="shared" si="58"/>
        <v>4.005085978615105E-3</v>
      </c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</row>
    <row r="152" spans="1:129" x14ac:dyDescent="0.2">
      <c r="C152" s="84" t="s">
        <v>184</v>
      </c>
      <c r="D152" s="84">
        <f>N58</f>
        <v>36095</v>
      </c>
      <c r="E152" s="84">
        <f t="shared" si="43"/>
        <v>17482</v>
      </c>
      <c r="F152" s="84">
        <f t="shared" si="44"/>
        <v>2.2175584405041197E-2</v>
      </c>
      <c r="S152" s="84" t="s">
        <v>184</v>
      </c>
      <c r="T152" s="84">
        <f>AD58</f>
        <v>39163</v>
      </c>
      <c r="U152" s="84">
        <f t="shared" si="45"/>
        <v>19942</v>
      </c>
      <c r="V152" s="84">
        <f t="shared" si="46"/>
        <v>2.5210832997089164E-2</v>
      </c>
      <c r="AI152" s="84" t="s">
        <v>184</v>
      </c>
      <c r="AJ152" s="84">
        <f>AT58</f>
        <v>48112</v>
      </c>
      <c r="AK152" s="84">
        <f t="shared" si="47"/>
        <v>26376</v>
      </c>
      <c r="AL152" s="84">
        <f t="shared" si="48"/>
        <v>3.2161199436179157E-2</v>
      </c>
      <c r="AY152" s="84" t="s">
        <v>184</v>
      </c>
      <c r="AZ152" s="84">
        <f>BJ58</f>
        <v>40074</v>
      </c>
      <c r="BA152" s="84">
        <f t="shared" si="49"/>
        <v>16979</v>
      </c>
      <c r="BB152" s="84">
        <f t="shared" si="50"/>
        <v>2.0792700001714459E-2</v>
      </c>
      <c r="BO152" s="84" t="s">
        <v>184</v>
      </c>
      <c r="BP152" s="84">
        <f>BZ58</f>
        <v>45409</v>
      </c>
      <c r="BQ152" s="84">
        <f t="shared" si="51"/>
        <v>25570</v>
      </c>
      <c r="BR152" s="84">
        <f t="shared" si="52"/>
        <v>3.0577035414712253E-2</v>
      </c>
      <c r="CE152" s="84" t="s">
        <v>184</v>
      </c>
      <c r="CF152" s="84">
        <f>CP58</f>
        <v>42235</v>
      </c>
      <c r="CG152" s="84">
        <f t="shared" si="53"/>
        <v>17902</v>
      </c>
      <c r="CH152" s="84">
        <f t="shared" si="54"/>
        <v>2.1648408656944916E-2</v>
      </c>
      <c r="CT152" s="84"/>
      <c r="CU152" s="84" t="s">
        <v>184</v>
      </c>
      <c r="CV152" s="84">
        <f>DF58</f>
        <v>36370</v>
      </c>
      <c r="CW152" s="84">
        <f t="shared" si="55"/>
        <v>12534</v>
      </c>
      <c r="CX152" s="84">
        <f t="shared" si="56"/>
        <v>1.5324924092678254E-2</v>
      </c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 t="s">
        <v>184</v>
      </c>
      <c r="DL152" s="84">
        <f>DV58</f>
        <v>27325</v>
      </c>
      <c r="DM152" s="84">
        <f t="shared" si="57"/>
        <v>4239</v>
      </c>
      <c r="DN152" s="84">
        <f t="shared" si="58"/>
        <v>5.1792432774098321E-3</v>
      </c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</row>
    <row r="157" spans="1:129" x14ac:dyDescent="0.2">
      <c r="A157" t="s">
        <v>189</v>
      </c>
      <c r="B157" t="s">
        <v>188</v>
      </c>
      <c r="C157" s="84" t="s">
        <v>124</v>
      </c>
      <c r="D157" t="s">
        <v>191</v>
      </c>
      <c r="E157" t="s">
        <v>192</v>
      </c>
      <c r="F157" t="s">
        <v>193</v>
      </c>
      <c r="G157" t="s">
        <v>194</v>
      </c>
    </row>
    <row r="158" spans="1:129" x14ac:dyDescent="0.2">
      <c r="A158">
        <v>1</v>
      </c>
      <c r="B158" t="s">
        <v>190</v>
      </c>
      <c r="C158" s="84" t="s">
        <v>125</v>
      </c>
      <c r="D158">
        <f>F93/$F93</f>
        <v>1</v>
      </c>
      <c r="E158">
        <f t="shared" ref="E158:E189" si="59">ROUND(AL93/$F93,3)</f>
        <v>-0.77700000000000002</v>
      </c>
      <c r="F158" s="84">
        <f t="shared" ref="F158:F189" si="60">ROUND(BR93/$F93,3)</f>
        <v>0.53900000000000003</v>
      </c>
      <c r="G158" s="84">
        <f>ROUND(CX93/$F93,3)</f>
        <v>0.875</v>
      </c>
    </row>
    <row r="159" spans="1:129" x14ac:dyDescent="0.2">
      <c r="A159">
        <v>1</v>
      </c>
      <c r="B159" t="s">
        <v>64</v>
      </c>
      <c r="C159" s="84" t="s">
        <v>126</v>
      </c>
      <c r="D159" s="84">
        <f t="shared" ref="D159:D217" si="61">F94/$F94</f>
        <v>1</v>
      </c>
      <c r="E159" s="84">
        <f t="shared" si="59"/>
        <v>0.999</v>
      </c>
      <c r="F159" s="84">
        <f t="shared" si="60"/>
        <v>1.0229999999999999</v>
      </c>
      <c r="G159" s="84">
        <f t="shared" ref="G159:G217" si="62">ROUND(CX94/$F94,3)</f>
        <v>1.0029999999999999</v>
      </c>
    </row>
    <row r="160" spans="1:129" x14ac:dyDescent="0.2">
      <c r="A160" s="84">
        <v>1</v>
      </c>
      <c r="B160">
        <v>0</v>
      </c>
      <c r="C160" s="84" t="s">
        <v>127</v>
      </c>
      <c r="D160" s="84">
        <f t="shared" si="61"/>
        <v>1</v>
      </c>
      <c r="E160" s="84">
        <f t="shared" si="59"/>
        <v>3.1869999999999998</v>
      </c>
      <c r="F160" s="84">
        <f t="shared" si="60"/>
        <v>12.327</v>
      </c>
      <c r="G160" s="84">
        <f t="shared" si="62"/>
        <v>29.321999999999999</v>
      </c>
    </row>
    <row r="161" spans="1:7" x14ac:dyDescent="0.2">
      <c r="A161" s="84">
        <v>1</v>
      </c>
      <c r="B161">
        <v>0</v>
      </c>
      <c r="C161" s="84" t="s">
        <v>128</v>
      </c>
      <c r="D161" s="84">
        <f t="shared" si="61"/>
        <v>1</v>
      </c>
      <c r="E161" s="84">
        <f t="shared" si="59"/>
        <v>2.54</v>
      </c>
      <c r="F161" s="84">
        <f t="shared" si="60"/>
        <v>10.432</v>
      </c>
      <c r="G161" s="84">
        <f t="shared" si="62"/>
        <v>27.972000000000001</v>
      </c>
    </row>
    <row r="162" spans="1:7" x14ac:dyDescent="0.2">
      <c r="A162" s="84">
        <v>1</v>
      </c>
      <c r="B162">
        <v>0</v>
      </c>
      <c r="C162" s="84" t="s">
        <v>129</v>
      </c>
      <c r="D162" s="84">
        <f t="shared" si="61"/>
        <v>1</v>
      </c>
      <c r="E162" s="84">
        <f t="shared" si="59"/>
        <v>2.4950000000000001</v>
      </c>
      <c r="F162" s="84">
        <f t="shared" si="60"/>
        <v>13.148</v>
      </c>
      <c r="G162" s="84">
        <f t="shared" si="62"/>
        <v>31.602</v>
      </c>
    </row>
    <row r="163" spans="1:7" x14ac:dyDescent="0.2">
      <c r="A163" s="84">
        <v>1</v>
      </c>
      <c r="B163">
        <v>0</v>
      </c>
      <c r="C163" s="84" t="s">
        <v>130</v>
      </c>
      <c r="D163" s="84">
        <f t="shared" si="61"/>
        <v>1</v>
      </c>
      <c r="E163" s="84">
        <f t="shared" si="59"/>
        <v>3.0830000000000002</v>
      </c>
      <c r="F163" s="84">
        <f t="shared" si="60"/>
        <v>16.053000000000001</v>
      </c>
      <c r="G163" s="84">
        <f t="shared" si="62"/>
        <v>37.871000000000002</v>
      </c>
    </row>
    <row r="164" spans="1:7" x14ac:dyDescent="0.2">
      <c r="A164" s="84">
        <v>1</v>
      </c>
      <c r="B164">
        <v>0</v>
      </c>
      <c r="C164" s="84" t="s">
        <v>131</v>
      </c>
      <c r="D164" s="84">
        <f t="shared" si="61"/>
        <v>1</v>
      </c>
      <c r="E164" s="84">
        <f t="shared" si="59"/>
        <v>3.81</v>
      </c>
      <c r="F164" s="84">
        <f t="shared" si="60"/>
        <v>17.995000000000001</v>
      </c>
      <c r="G164" s="84">
        <f t="shared" si="62"/>
        <v>35.073999999999998</v>
      </c>
    </row>
    <row r="165" spans="1:7" x14ac:dyDescent="0.2">
      <c r="A165" s="84">
        <v>1</v>
      </c>
      <c r="B165">
        <v>0</v>
      </c>
      <c r="C165" s="84" t="s">
        <v>132</v>
      </c>
      <c r="D165" s="84">
        <f t="shared" si="61"/>
        <v>1</v>
      </c>
      <c r="E165" s="84">
        <f t="shared" si="59"/>
        <v>3.3929999999999998</v>
      </c>
      <c r="F165" s="84">
        <f t="shared" si="60"/>
        <v>18.292999999999999</v>
      </c>
      <c r="G165" s="84">
        <f t="shared" si="62"/>
        <v>38.130000000000003</v>
      </c>
    </row>
    <row r="166" spans="1:7" x14ac:dyDescent="0.2">
      <c r="A166" s="84">
        <v>1</v>
      </c>
      <c r="B166">
        <v>0</v>
      </c>
      <c r="C166" s="84" t="s">
        <v>133</v>
      </c>
      <c r="D166" s="84">
        <f t="shared" si="61"/>
        <v>1</v>
      </c>
      <c r="E166" s="84">
        <f t="shared" si="59"/>
        <v>4.6459999999999999</v>
      </c>
      <c r="F166" s="84">
        <f t="shared" si="60"/>
        <v>20.262</v>
      </c>
      <c r="G166" s="84">
        <f t="shared" si="62"/>
        <v>39.44</v>
      </c>
    </row>
    <row r="167" spans="1:7" x14ac:dyDescent="0.2">
      <c r="A167" s="84">
        <v>1</v>
      </c>
      <c r="B167">
        <v>0</v>
      </c>
      <c r="C167" s="84" t="s">
        <v>134</v>
      </c>
      <c r="D167" s="84">
        <f t="shared" si="61"/>
        <v>1</v>
      </c>
      <c r="E167" s="84">
        <f t="shared" si="59"/>
        <v>3.9039999999999999</v>
      </c>
      <c r="F167" s="84">
        <f t="shared" si="60"/>
        <v>19.358000000000001</v>
      </c>
      <c r="G167" s="84">
        <f t="shared" si="62"/>
        <v>33.826999999999998</v>
      </c>
    </row>
    <row r="168" spans="1:7" x14ac:dyDescent="0.2">
      <c r="A168" s="84">
        <v>1</v>
      </c>
      <c r="B168" s="84" t="s">
        <v>190</v>
      </c>
      <c r="C168" s="84" t="s">
        <v>135</v>
      </c>
      <c r="D168" s="84">
        <f t="shared" si="61"/>
        <v>1</v>
      </c>
      <c r="E168" s="84">
        <f t="shared" si="59"/>
        <v>9.4779999999999998</v>
      </c>
      <c r="F168" s="84">
        <f t="shared" si="60"/>
        <v>-0.153</v>
      </c>
      <c r="G168" s="84">
        <f t="shared" si="62"/>
        <v>-5.1109999999999998</v>
      </c>
    </row>
    <row r="169" spans="1:7" x14ac:dyDescent="0.2">
      <c r="A169" s="84">
        <v>1</v>
      </c>
      <c r="B169" s="84" t="s">
        <v>64</v>
      </c>
      <c r="C169" s="84" t="s">
        <v>136</v>
      </c>
      <c r="D169" s="84">
        <f t="shared" si="61"/>
        <v>1</v>
      </c>
      <c r="E169" s="84">
        <f t="shared" si="59"/>
        <v>0.98899999999999999</v>
      </c>
      <c r="F169" s="84">
        <f t="shared" si="60"/>
        <v>0.999</v>
      </c>
      <c r="G169" s="84">
        <f t="shared" si="62"/>
        <v>0.98599999999999999</v>
      </c>
    </row>
    <row r="170" spans="1:7" x14ac:dyDescent="0.2">
      <c r="A170" s="84">
        <v>1</v>
      </c>
      <c r="B170" s="84" t="s">
        <v>78</v>
      </c>
      <c r="C170" s="84" t="s">
        <v>137</v>
      </c>
      <c r="D170" s="84">
        <f t="shared" si="61"/>
        <v>1</v>
      </c>
      <c r="E170" s="84">
        <f t="shared" si="59"/>
        <v>3.43</v>
      </c>
      <c r="F170" s="84">
        <f t="shared" si="60"/>
        <v>7.7380000000000004</v>
      </c>
      <c r="G170" s="84">
        <f t="shared" si="62"/>
        <v>21.559000000000001</v>
      </c>
    </row>
    <row r="171" spans="1:7" x14ac:dyDescent="0.2">
      <c r="A171" s="84">
        <v>1</v>
      </c>
      <c r="B171" s="84" t="s">
        <v>78</v>
      </c>
      <c r="C171" s="84" t="s">
        <v>138</v>
      </c>
      <c r="D171" s="84">
        <f t="shared" si="61"/>
        <v>1</v>
      </c>
      <c r="E171" s="84">
        <f t="shared" si="59"/>
        <v>2.7210000000000001</v>
      </c>
      <c r="F171" s="84">
        <f t="shared" si="60"/>
        <v>11.042</v>
      </c>
      <c r="G171" s="84">
        <f t="shared" si="62"/>
        <v>24.916</v>
      </c>
    </row>
    <row r="172" spans="1:7" x14ac:dyDescent="0.2">
      <c r="A172" s="84">
        <v>1</v>
      </c>
      <c r="B172" s="84" t="s">
        <v>78</v>
      </c>
      <c r="C172" s="84" t="s">
        <v>139</v>
      </c>
      <c r="D172" s="84">
        <f t="shared" si="61"/>
        <v>1</v>
      </c>
      <c r="E172" s="84">
        <f t="shared" si="59"/>
        <v>3.1669999999999998</v>
      </c>
      <c r="F172" s="84">
        <f t="shared" si="60"/>
        <v>10.275</v>
      </c>
      <c r="G172" s="84">
        <f t="shared" si="62"/>
        <v>30.311</v>
      </c>
    </row>
    <row r="173" spans="1:7" x14ac:dyDescent="0.2">
      <c r="A173" s="84">
        <v>1</v>
      </c>
      <c r="B173" s="84" t="s">
        <v>78</v>
      </c>
      <c r="C173" s="84" t="s">
        <v>140</v>
      </c>
      <c r="D173" s="84">
        <f t="shared" si="61"/>
        <v>1</v>
      </c>
      <c r="E173" s="84">
        <f t="shared" si="59"/>
        <v>3.109</v>
      </c>
      <c r="F173" s="84">
        <f t="shared" si="60"/>
        <v>10.49</v>
      </c>
      <c r="G173" s="84">
        <f t="shared" si="62"/>
        <v>27.207999999999998</v>
      </c>
    </row>
    <row r="174" spans="1:7" x14ac:dyDescent="0.2">
      <c r="A174" s="84">
        <v>1</v>
      </c>
      <c r="B174" s="84" t="s">
        <v>78</v>
      </c>
      <c r="C174" s="84" t="s">
        <v>141</v>
      </c>
      <c r="D174" s="84">
        <f t="shared" si="61"/>
        <v>1</v>
      </c>
      <c r="E174" s="84">
        <f t="shared" si="59"/>
        <v>2.9319999999999999</v>
      </c>
      <c r="F174" s="84">
        <f t="shared" si="60"/>
        <v>9.43</v>
      </c>
      <c r="G174" s="84">
        <f t="shared" si="62"/>
        <v>22.693000000000001</v>
      </c>
    </row>
    <row r="175" spans="1:7" x14ac:dyDescent="0.2">
      <c r="A175" s="84">
        <v>1</v>
      </c>
      <c r="B175" s="84" t="s">
        <v>78</v>
      </c>
      <c r="C175" s="84" t="s">
        <v>142</v>
      </c>
      <c r="D175" s="84">
        <f t="shared" si="61"/>
        <v>1</v>
      </c>
      <c r="E175" s="84">
        <f t="shared" si="59"/>
        <v>2.38</v>
      </c>
      <c r="F175" s="84">
        <f t="shared" si="60"/>
        <v>9.3819999999999997</v>
      </c>
      <c r="G175" s="84">
        <f t="shared" si="62"/>
        <v>26.614000000000001</v>
      </c>
    </row>
    <row r="176" spans="1:7" x14ac:dyDescent="0.2">
      <c r="A176" s="84">
        <v>1</v>
      </c>
      <c r="B176" s="84" t="s">
        <v>78</v>
      </c>
      <c r="C176" s="84" t="s">
        <v>143</v>
      </c>
      <c r="D176" s="84">
        <f t="shared" si="61"/>
        <v>1</v>
      </c>
      <c r="E176" s="84">
        <f t="shared" si="59"/>
        <v>3.4449999999999998</v>
      </c>
      <c r="F176" s="84">
        <f t="shared" si="60"/>
        <v>12.646000000000001</v>
      </c>
      <c r="G176" s="84">
        <f t="shared" si="62"/>
        <v>27.071000000000002</v>
      </c>
    </row>
    <row r="177" spans="1:7" x14ac:dyDescent="0.2">
      <c r="A177" s="84">
        <v>1</v>
      </c>
      <c r="B177" s="84" t="s">
        <v>78</v>
      </c>
      <c r="C177" s="84" t="s">
        <v>144</v>
      </c>
      <c r="D177" s="84">
        <f t="shared" si="61"/>
        <v>1</v>
      </c>
      <c r="E177" s="84">
        <f t="shared" si="59"/>
        <v>3.306</v>
      </c>
      <c r="F177" s="84">
        <f t="shared" si="60"/>
        <v>12.512</v>
      </c>
      <c r="G177" s="84">
        <f t="shared" si="62"/>
        <v>24.352</v>
      </c>
    </row>
    <row r="178" spans="1:7" x14ac:dyDescent="0.2">
      <c r="A178" s="84">
        <v>1</v>
      </c>
      <c r="B178" s="84" t="s">
        <v>190</v>
      </c>
      <c r="C178" s="84" t="s">
        <v>145</v>
      </c>
      <c r="D178" s="84">
        <f t="shared" si="61"/>
        <v>1</v>
      </c>
      <c r="E178" s="84">
        <f t="shared" si="59"/>
        <v>0.70099999999999996</v>
      </c>
      <c r="F178" s="84">
        <f t="shared" si="60"/>
        <v>0.84899999999999998</v>
      </c>
      <c r="G178" s="84">
        <f t="shared" si="62"/>
        <v>0.31</v>
      </c>
    </row>
    <row r="179" spans="1:7" x14ac:dyDescent="0.2">
      <c r="A179" s="84">
        <v>1</v>
      </c>
      <c r="B179" s="84" t="s">
        <v>64</v>
      </c>
      <c r="C179" s="84" t="s">
        <v>146</v>
      </c>
      <c r="D179" s="84">
        <f t="shared" si="61"/>
        <v>1</v>
      </c>
      <c r="E179" s="84">
        <f t="shared" si="59"/>
        <v>0.98499999999999999</v>
      </c>
      <c r="F179" s="84">
        <f t="shared" si="60"/>
        <v>0.99399999999999999</v>
      </c>
      <c r="G179" s="84">
        <f t="shared" si="62"/>
        <v>0.99099999999999999</v>
      </c>
    </row>
    <row r="180" spans="1:7" x14ac:dyDescent="0.2">
      <c r="A180" s="84">
        <v>1</v>
      </c>
      <c r="B180" s="84" t="s">
        <v>79</v>
      </c>
      <c r="C180" s="84" t="s">
        <v>147</v>
      </c>
      <c r="D180" s="84">
        <f t="shared" si="61"/>
        <v>1</v>
      </c>
      <c r="E180" s="84">
        <f t="shared" si="59"/>
        <v>3.7280000000000002</v>
      </c>
      <c r="F180" s="84">
        <f t="shared" si="60"/>
        <v>5.63</v>
      </c>
      <c r="G180" s="84">
        <f t="shared" si="62"/>
        <v>10.816000000000001</v>
      </c>
    </row>
    <row r="181" spans="1:7" x14ac:dyDescent="0.2">
      <c r="A181" s="84">
        <v>1</v>
      </c>
      <c r="B181" s="84" t="s">
        <v>79</v>
      </c>
      <c r="C181" s="84" t="s">
        <v>148</v>
      </c>
      <c r="D181" s="84">
        <f t="shared" si="61"/>
        <v>1</v>
      </c>
      <c r="E181" s="84">
        <f t="shared" si="59"/>
        <v>3.4380000000000002</v>
      </c>
      <c r="F181" s="84">
        <f t="shared" si="60"/>
        <v>4.8940000000000001</v>
      </c>
      <c r="G181" s="84">
        <f t="shared" si="62"/>
        <v>12.86</v>
      </c>
    </row>
    <row r="182" spans="1:7" x14ac:dyDescent="0.2">
      <c r="A182" s="84">
        <v>1</v>
      </c>
      <c r="B182" s="84" t="s">
        <v>79</v>
      </c>
      <c r="C182" s="84" t="s">
        <v>149</v>
      </c>
      <c r="D182" s="84">
        <f t="shared" si="61"/>
        <v>1</v>
      </c>
      <c r="E182" s="84">
        <f t="shared" si="59"/>
        <v>2.8639999999999999</v>
      </c>
      <c r="F182" s="84">
        <f t="shared" si="60"/>
        <v>4.0999999999999996</v>
      </c>
      <c r="G182" s="84">
        <f t="shared" si="62"/>
        <v>13.894</v>
      </c>
    </row>
    <row r="183" spans="1:7" x14ac:dyDescent="0.2">
      <c r="A183" s="84">
        <v>1</v>
      </c>
      <c r="B183" s="84" t="s">
        <v>79</v>
      </c>
      <c r="C183" s="84" t="s">
        <v>150</v>
      </c>
      <c r="D183" s="84">
        <f t="shared" si="61"/>
        <v>1</v>
      </c>
      <c r="E183" s="84">
        <f t="shared" si="59"/>
        <v>2.6059999999999999</v>
      </c>
      <c r="F183" s="84">
        <f t="shared" si="60"/>
        <v>5.016</v>
      </c>
      <c r="G183" s="84">
        <f t="shared" si="62"/>
        <v>10.896000000000001</v>
      </c>
    </row>
    <row r="184" spans="1:7" x14ac:dyDescent="0.2">
      <c r="A184" s="84">
        <v>1</v>
      </c>
      <c r="B184" s="84" t="s">
        <v>79</v>
      </c>
      <c r="C184" s="84" t="s">
        <v>151</v>
      </c>
      <c r="D184" s="84">
        <f t="shared" si="61"/>
        <v>1</v>
      </c>
      <c r="E184" s="84">
        <f t="shared" si="59"/>
        <v>2.67</v>
      </c>
      <c r="F184" s="84">
        <f t="shared" si="60"/>
        <v>7.1120000000000001</v>
      </c>
      <c r="G184" s="84">
        <f t="shared" si="62"/>
        <v>13.978999999999999</v>
      </c>
    </row>
    <row r="185" spans="1:7" x14ac:dyDescent="0.2">
      <c r="A185" s="84">
        <v>1</v>
      </c>
      <c r="B185" s="84" t="s">
        <v>79</v>
      </c>
      <c r="C185" s="84" t="s">
        <v>152</v>
      </c>
      <c r="D185" s="84">
        <f t="shared" si="61"/>
        <v>1</v>
      </c>
      <c r="E185" s="84">
        <f t="shared" si="59"/>
        <v>3.5659999999999998</v>
      </c>
      <c r="F185" s="84">
        <f t="shared" si="60"/>
        <v>7.1909999999999998</v>
      </c>
      <c r="G185" s="84">
        <f t="shared" si="62"/>
        <v>20.69</v>
      </c>
    </row>
    <row r="186" spans="1:7" x14ac:dyDescent="0.2">
      <c r="A186" s="84">
        <v>1</v>
      </c>
      <c r="B186" s="84" t="s">
        <v>79</v>
      </c>
      <c r="C186" s="84" t="s">
        <v>153</v>
      </c>
      <c r="D186" s="84">
        <f t="shared" si="61"/>
        <v>1</v>
      </c>
      <c r="E186" s="84">
        <f t="shared" si="59"/>
        <v>3.4220000000000002</v>
      </c>
      <c r="F186" s="84">
        <f t="shared" si="60"/>
        <v>6.0119999999999996</v>
      </c>
      <c r="G186" s="84">
        <f t="shared" si="62"/>
        <v>13.462999999999999</v>
      </c>
    </row>
    <row r="187" spans="1:7" x14ac:dyDescent="0.2">
      <c r="A187" s="84">
        <v>1</v>
      </c>
      <c r="B187" s="84" t="s">
        <v>79</v>
      </c>
      <c r="C187" s="84" t="s">
        <v>154</v>
      </c>
      <c r="D187" s="84">
        <f t="shared" si="61"/>
        <v>1</v>
      </c>
      <c r="E187" s="84">
        <f t="shared" si="59"/>
        <v>2.9609999999999999</v>
      </c>
      <c r="F187" s="84">
        <f t="shared" si="60"/>
        <v>7.4790000000000001</v>
      </c>
      <c r="G187" s="84">
        <f t="shared" si="62"/>
        <v>17.047000000000001</v>
      </c>
    </row>
    <row r="188" spans="1:7" x14ac:dyDescent="0.2">
      <c r="A188" s="84">
        <v>1</v>
      </c>
      <c r="B188" s="84" t="s">
        <v>190</v>
      </c>
      <c r="C188" s="84" t="s">
        <v>155</v>
      </c>
      <c r="D188" s="84">
        <f t="shared" si="61"/>
        <v>1</v>
      </c>
      <c r="E188" s="84">
        <f t="shared" si="59"/>
        <v>3.5</v>
      </c>
      <c r="F188" s="84">
        <f t="shared" si="60"/>
        <v>1.635</v>
      </c>
      <c r="G188" s="84">
        <f t="shared" si="62"/>
        <v>-6.9279999999999999</v>
      </c>
    </row>
    <row r="189" spans="1:7" x14ac:dyDescent="0.2">
      <c r="A189" s="84">
        <v>1</v>
      </c>
      <c r="B189" s="84" t="s">
        <v>64</v>
      </c>
      <c r="C189" s="84" t="s">
        <v>156</v>
      </c>
      <c r="D189" s="84">
        <f t="shared" si="61"/>
        <v>1</v>
      </c>
      <c r="E189" s="84">
        <f t="shared" si="59"/>
        <v>0.98499999999999999</v>
      </c>
      <c r="F189" s="84">
        <f t="shared" si="60"/>
        <v>0.98899999999999999</v>
      </c>
      <c r="G189" s="84">
        <f t="shared" si="62"/>
        <v>0.998</v>
      </c>
    </row>
    <row r="190" spans="1:7" x14ac:dyDescent="0.2">
      <c r="A190" s="84">
        <v>1</v>
      </c>
      <c r="B190" s="84" t="s">
        <v>80</v>
      </c>
      <c r="C190" s="84" t="s">
        <v>157</v>
      </c>
      <c r="D190" s="84">
        <f t="shared" si="61"/>
        <v>1</v>
      </c>
      <c r="E190" s="84">
        <f t="shared" ref="E190:E217" si="63">ROUND(AL125/$F125,3)</f>
        <v>2.8439999999999999</v>
      </c>
      <c r="F190" s="84">
        <f t="shared" ref="F190:F217" si="64">ROUND(BR125/$F125,3)</f>
        <v>3.79</v>
      </c>
      <c r="G190" s="84">
        <f t="shared" si="62"/>
        <v>4.7489999999999997</v>
      </c>
    </row>
    <row r="191" spans="1:7" x14ac:dyDescent="0.2">
      <c r="A191" s="84">
        <v>1</v>
      </c>
      <c r="B191" s="84" t="s">
        <v>80</v>
      </c>
      <c r="C191" s="84" t="s">
        <v>158</v>
      </c>
      <c r="D191" s="84">
        <f t="shared" si="61"/>
        <v>1</v>
      </c>
      <c r="E191" s="84">
        <f t="shared" si="63"/>
        <v>3.1579999999999999</v>
      </c>
      <c r="F191" s="84">
        <f t="shared" si="64"/>
        <v>2.508</v>
      </c>
      <c r="G191" s="84">
        <f t="shared" si="62"/>
        <v>4.125</v>
      </c>
    </row>
    <row r="192" spans="1:7" x14ac:dyDescent="0.2">
      <c r="A192" s="84">
        <v>1</v>
      </c>
      <c r="B192" s="84" t="s">
        <v>80</v>
      </c>
      <c r="C192" s="84" t="s">
        <v>159</v>
      </c>
      <c r="D192" s="84">
        <f t="shared" si="61"/>
        <v>1</v>
      </c>
      <c r="E192" s="84">
        <f t="shared" si="63"/>
        <v>3.4569999999999999</v>
      </c>
      <c r="F192" s="84">
        <f t="shared" si="64"/>
        <v>3.0070000000000001</v>
      </c>
      <c r="G192" s="84">
        <f t="shared" si="62"/>
        <v>4.5810000000000004</v>
      </c>
    </row>
    <row r="193" spans="1:7" x14ac:dyDescent="0.2">
      <c r="A193" s="84">
        <v>1</v>
      </c>
      <c r="B193" s="84" t="s">
        <v>80</v>
      </c>
      <c r="C193" s="84" t="s">
        <v>160</v>
      </c>
      <c r="D193" s="84">
        <f t="shared" si="61"/>
        <v>1</v>
      </c>
      <c r="E193" s="84">
        <f t="shared" si="63"/>
        <v>2.1869999999999998</v>
      </c>
      <c r="F193" s="84">
        <f t="shared" si="64"/>
        <v>2.4279999999999999</v>
      </c>
      <c r="G193" s="84">
        <f t="shared" si="62"/>
        <v>4.8019999999999996</v>
      </c>
    </row>
    <row r="194" spans="1:7" x14ac:dyDescent="0.2">
      <c r="A194" s="84">
        <v>1</v>
      </c>
      <c r="B194" s="84" t="s">
        <v>80</v>
      </c>
      <c r="C194" s="84" t="s">
        <v>161</v>
      </c>
      <c r="D194" s="84">
        <f t="shared" si="61"/>
        <v>1</v>
      </c>
      <c r="E194" s="84">
        <f t="shared" si="63"/>
        <v>2.5449999999999999</v>
      </c>
      <c r="F194" s="84">
        <f t="shared" si="64"/>
        <v>3.8679999999999999</v>
      </c>
      <c r="G194" s="84">
        <f t="shared" si="62"/>
        <v>5.1470000000000002</v>
      </c>
    </row>
    <row r="195" spans="1:7" x14ac:dyDescent="0.2">
      <c r="A195" s="84">
        <v>1</v>
      </c>
      <c r="B195" s="84" t="s">
        <v>80</v>
      </c>
      <c r="C195" s="84" t="s">
        <v>162</v>
      </c>
      <c r="D195" s="84">
        <f t="shared" si="61"/>
        <v>1</v>
      </c>
      <c r="E195" s="84">
        <f t="shared" si="63"/>
        <v>2.4159999999999999</v>
      </c>
      <c r="F195" s="84">
        <f t="shared" si="64"/>
        <v>3.2240000000000002</v>
      </c>
      <c r="G195" s="84">
        <f t="shared" si="62"/>
        <v>6.7080000000000002</v>
      </c>
    </row>
    <row r="196" spans="1:7" x14ac:dyDescent="0.2">
      <c r="A196" s="84">
        <v>1</v>
      </c>
      <c r="B196" s="84" t="s">
        <v>80</v>
      </c>
      <c r="C196" s="84" t="s">
        <v>163</v>
      </c>
      <c r="D196" s="84">
        <f t="shared" si="61"/>
        <v>1</v>
      </c>
      <c r="E196" s="84">
        <f t="shared" si="63"/>
        <v>2.8180000000000001</v>
      </c>
      <c r="F196" s="84">
        <f t="shared" si="64"/>
        <v>2.097</v>
      </c>
      <c r="G196" s="84">
        <f t="shared" si="62"/>
        <v>5.375</v>
      </c>
    </row>
    <row r="197" spans="1:7" x14ac:dyDescent="0.2">
      <c r="A197" s="84">
        <v>1</v>
      </c>
      <c r="B197" s="84" t="s">
        <v>80</v>
      </c>
      <c r="C197" s="84" t="s">
        <v>164</v>
      </c>
      <c r="D197" s="84">
        <f t="shared" si="61"/>
        <v>1</v>
      </c>
      <c r="E197" s="84">
        <f t="shared" si="63"/>
        <v>2.9159999999999999</v>
      </c>
      <c r="F197" s="84">
        <f t="shared" si="64"/>
        <v>3.7010000000000001</v>
      </c>
      <c r="G197" s="84">
        <f t="shared" si="62"/>
        <v>6.601</v>
      </c>
    </row>
    <row r="198" spans="1:7" x14ac:dyDescent="0.2">
      <c r="A198" s="84">
        <v>1</v>
      </c>
      <c r="B198" s="84" t="s">
        <v>190</v>
      </c>
      <c r="C198" s="84" t="s">
        <v>165</v>
      </c>
      <c r="D198" s="84">
        <f t="shared" si="61"/>
        <v>1</v>
      </c>
      <c r="E198" s="84">
        <f t="shared" si="63"/>
        <v>-1.282</v>
      </c>
      <c r="F198" s="84">
        <f t="shared" si="64"/>
        <v>-1.3520000000000001</v>
      </c>
      <c r="G198" s="84">
        <f t="shared" si="62"/>
        <v>-3.7189999999999999</v>
      </c>
    </row>
    <row r="199" spans="1:7" x14ac:dyDescent="0.2">
      <c r="A199" s="84">
        <v>1</v>
      </c>
      <c r="B199" s="84" t="s">
        <v>64</v>
      </c>
      <c r="C199" s="84" t="s">
        <v>166</v>
      </c>
      <c r="D199" s="84">
        <f t="shared" si="61"/>
        <v>1</v>
      </c>
      <c r="E199" s="84">
        <f t="shared" si="63"/>
        <v>0.99199999999999999</v>
      </c>
      <c r="F199" s="84">
        <f t="shared" si="64"/>
        <v>0.999</v>
      </c>
      <c r="G199" s="84">
        <f t="shared" si="62"/>
        <v>0.998</v>
      </c>
    </row>
    <row r="200" spans="1:7" x14ac:dyDescent="0.2">
      <c r="A200" s="84">
        <v>1</v>
      </c>
      <c r="B200" s="84" t="s">
        <v>81</v>
      </c>
      <c r="C200" s="84" t="s">
        <v>167</v>
      </c>
      <c r="D200" s="84">
        <f t="shared" si="61"/>
        <v>1</v>
      </c>
      <c r="E200" s="84">
        <f t="shared" si="63"/>
        <v>1.6379999999999999</v>
      </c>
      <c r="F200" s="84">
        <f t="shared" si="64"/>
        <v>0.88500000000000001</v>
      </c>
      <c r="G200" s="84">
        <f t="shared" si="62"/>
        <v>1.2150000000000001</v>
      </c>
    </row>
    <row r="201" spans="1:7" x14ac:dyDescent="0.2">
      <c r="A201" s="84">
        <v>1</v>
      </c>
      <c r="B201" s="84" t="s">
        <v>81</v>
      </c>
      <c r="C201" s="84" t="s">
        <v>168</v>
      </c>
      <c r="D201" s="84">
        <f t="shared" si="61"/>
        <v>1</v>
      </c>
      <c r="E201" s="84">
        <f t="shared" si="63"/>
        <v>1.321</v>
      </c>
      <c r="F201" s="84">
        <f t="shared" si="64"/>
        <v>1.38</v>
      </c>
      <c r="G201" s="84">
        <f t="shared" si="62"/>
        <v>0.82</v>
      </c>
    </row>
    <row r="202" spans="1:7" x14ac:dyDescent="0.2">
      <c r="A202" s="84">
        <v>1</v>
      </c>
      <c r="B202" s="84" t="s">
        <v>81</v>
      </c>
      <c r="C202" s="84" t="s">
        <v>169</v>
      </c>
      <c r="D202" s="84">
        <f t="shared" si="61"/>
        <v>1</v>
      </c>
      <c r="E202" s="84">
        <f t="shared" si="63"/>
        <v>2.39</v>
      </c>
      <c r="F202" s="84">
        <f t="shared" si="64"/>
        <v>2.7170000000000001</v>
      </c>
      <c r="G202" s="84">
        <f t="shared" si="62"/>
        <v>1.415</v>
      </c>
    </row>
    <row r="203" spans="1:7" x14ac:dyDescent="0.2">
      <c r="A203" s="84">
        <v>1</v>
      </c>
      <c r="B203" s="84" t="s">
        <v>81</v>
      </c>
      <c r="C203" s="84" t="s">
        <v>170</v>
      </c>
      <c r="D203" s="84">
        <f t="shared" si="61"/>
        <v>1</v>
      </c>
      <c r="E203" s="84">
        <f t="shared" si="63"/>
        <v>1.7</v>
      </c>
      <c r="F203" s="84">
        <f t="shared" si="64"/>
        <v>2.0830000000000002</v>
      </c>
      <c r="G203" s="84">
        <f t="shared" si="62"/>
        <v>1.21</v>
      </c>
    </row>
    <row r="204" spans="1:7" x14ac:dyDescent="0.2">
      <c r="A204" s="84">
        <v>1</v>
      </c>
      <c r="B204" s="84" t="s">
        <v>81</v>
      </c>
      <c r="C204" s="84" t="s">
        <v>171</v>
      </c>
      <c r="D204" s="84">
        <f t="shared" si="61"/>
        <v>1</v>
      </c>
      <c r="E204" s="84">
        <f t="shared" si="63"/>
        <v>2.1190000000000002</v>
      </c>
      <c r="F204" s="84">
        <f t="shared" si="64"/>
        <v>2.137</v>
      </c>
      <c r="G204" s="84">
        <f t="shared" si="62"/>
        <v>1.2210000000000001</v>
      </c>
    </row>
    <row r="205" spans="1:7" x14ac:dyDescent="0.2">
      <c r="A205" s="84">
        <v>1</v>
      </c>
      <c r="B205" s="84" t="s">
        <v>81</v>
      </c>
      <c r="C205" s="84" t="s">
        <v>172</v>
      </c>
      <c r="D205" s="84">
        <f t="shared" si="61"/>
        <v>1</v>
      </c>
      <c r="E205" s="84">
        <f t="shared" si="63"/>
        <v>2.032</v>
      </c>
      <c r="F205" s="84">
        <f t="shared" si="64"/>
        <v>2.5049999999999999</v>
      </c>
      <c r="G205" s="84">
        <f t="shared" si="62"/>
        <v>1.323</v>
      </c>
    </row>
    <row r="206" spans="1:7" x14ac:dyDescent="0.2">
      <c r="A206" s="84">
        <v>1</v>
      </c>
      <c r="B206" s="84" t="s">
        <v>81</v>
      </c>
      <c r="C206" s="84" t="s">
        <v>173</v>
      </c>
      <c r="D206" s="84">
        <f t="shared" si="61"/>
        <v>1</v>
      </c>
      <c r="E206" s="84">
        <f t="shared" si="63"/>
        <v>1.8560000000000001</v>
      </c>
      <c r="F206" s="84">
        <f t="shared" si="64"/>
        <v>2.3780000000000001</v>
      </c>
      <c r="G206" s="84">
        <f t="shared" si="62"/>
        <v>1.361</v>
      </c>
    </row>
    <row r="207" spans="1:7" x14ac:dyDescent="0.2">
      <c r="A207" s="84">
        <v>1</v>
      </c>
      <c r="B207" s="84" t="s">
        <v>81</v>
      </c>
      <c r="C207" s="84" t="s">
        <v>174</v>
      </c>
      <c r="D207" s="84">
        <f t="shared" si="61"/>
        <v>1</v>
      </c>
      <c r="E207" s="84">
        <f t="shared" si="63"/>
        <v>1.8540000000000001</v>
      </c>
      <c r="F207" s="84">
        <f t="shared" si="64"/>
        <v>2.34</v>
      </c>
      <c r="G207" s="84">
        <f t="shared" si="62"/>
        <v>1.2110000000000001</v>
      </c>
    </row>
    <row r="208" spans="1:7" x14ac:dyDescent="0.2">
      <c r="A208" s="84">
        <v>1</v>
      </c>
      <c r="B208" s="84" t="s">
        <v>190</v>
      </c>
      <c r="C208" s="84" t="s">
        <v>175</v>
      </c>
      <c r="D208" s="84">
        <f t="shared" si="61"/>
        <v>1</v>
      </c>
      <c r="E208" s="84">
        <f t="shared" si="63"/>
        <v>-1.806</v>
      </c>
      <c r="F208" s="84">
        <f t="shared" si="64"/>
        <v>-1.7709999999999999</v>
      </c>
      <c r="G208" s="84">
        <f t="shared" si="62"/>
        <v>1.577</v>
      </c>
    </row>
    <row r="209" spans="1:7" x14ac:dyDescent="0.2">
      <c r="A209" s="84">
        <v>1</v>
      </c>
      <c r="B209" s="84" t="s">
        <v>64</v>
      </c>
      <c r="C209" s="84" t="s">
        <v>176</v>
      </c>
      <c r="D209" s="84">
        <f t="shared" si="61"/>
        <v>1</v>
      </c>
      <c r="E209" s="84">
        <f t="shared" si="63"/>
        <v>1.0309999999999999</v>
      </c>
      <c r="F209" s="84">
        <f t="shared" si="64"/>
        <v>0.996</v>
      </c>
      <c r="G209" s="84">
        <f t="shared" si="62"/>
        <v>0.98899999999999999</v>
      </c>
    </row>
    <row r="210" spans="1:7" x14ac:dyDescent="0.2">
      <c r="A210" s="84">
        <v>1</v>
      </c>
      <c r="B210" s="84" t="s">
        <v>82</v>
      </c>
      <c r="C210" s="84" t="s">
        <v>177</v>
      </c>
      <c r="D210" s="84">
        <f t="shared" si="61"/>
        <v>1</v>
      </c>
      <c r="E210" s="84">
        <f t="shared" si="63"/>
        <v>1.6970000000000001</v>
      </c>
      <c r="F210" s="84">
        <f t="shared" si="64"/>
        <v>1.625</v>
      </c>
      <c r="G210" s="84">
        <f t="shared" si="62"/>
        <v>0.36499999999999999</v>
      </c>
    </row>
    <row r="211" spans="1:7" x14ac:dyDescent="0.2">
      <c r="A211" s="84">
        <v>1</v>
      </c>
      <c r="B211" s="84" t="s">
        <v>82</v>
      </c>
      <c r="C211" s="84" t="s">
        <v>178</v>
      </c>
      <c r="D211" s="84">
        <f t="shared" si="61"/>
        <v>1</v>
      </c>
      <c r="E211" s="84">
        <f t="shared" si="63"/>
        <v>2.06</v>
      </c>
      <c r="F211" s="84">
        <f t="shared" si="64"/>
        <v>1.36</v>
      </c>
      <c r="G211" s="84">
        <f t="shared" si="62"/>
        <v>0.64300000000000002</v>
      </c>
    </row>
    <row r="212" spans="1:7" x14ac:dyDescent="0.2">
      <c r="A212" s="84">
        <v>1</v>
      </c>
      <c r="B212" s="84" t="s">
        <v>82</v>
      </c>
      <c r="C212" s="84" t="s">
        <v>179</v>
      </c>
      <c r="D212" s="84">
        <f t="shared" si="61"/>
        <v>1</v>
      </c>
      <c r="E212" s="84">
        <f t="shared" si="63"/>
        <v>1.9430000000000001</v>
      </c>
      <c r="F212" s="84">
        <f t="shared" si="64"/>
        <v>1.899</v>
      </c>
      <c r="G212" s="84">
        <f t="shared" si="62"/>
        <v>0.55600000000000005</v>
      </c>
    </row>
    <row r="213" spans="1:7" x14ac:dyDescent="0.2">
      <c r="A213" s="84">
        <v>1</v>
      </c>
      <c r="B213" s="84" t="s">
        <v>82</v>
      </c>
      <c r="C213" s="84" t="s">
        <v>180</v>
      </c>
      <c r="D213" s="84">
        <f t="shared" si="61"/>
        <v>1</v>
      </c>
      <c r="E213" s="84">
        <f t="shared" si="63"/>
        <v>1.8029999999999999</v>
      </c>
      <c r="F213" s="84">
        <f t="shared" si="64"/>
        <v>1.0900000000000001</v>
      </c>
      <c r="G213" s="84">
        <f t="shared" si="62"/>
        <v>0.54800000000000004</v>
      </c>
    </row>
    <row r="214" spans="1:7" x14ac:dyDescent="0.2">
      <c r="A214" s="84">
        <v>1</v>
      </c>
      <c r="B214" s="84" t="s">
        <v>82</v>
      </c>
      <c r="C214" s="84" t="s">
        <v>181</v>
      </c>
      <c r="D214" s="84">
        <f t="shared" si="61"/>
        <v>1</v>
      </c>
      <c r="E214" s="84">
        <f t="shared" si="63"/>
        <v>1.6459999999999999</v>
      </c>
      <c r="F214" s="84">
        <f t="shared" si="64"/>
        <v>1.8520000000000001</v>
      </c>
      <c r="G214" s="84">
        <f t="shared" si="62"/>
        <v>0.70099999999999996</v>
      </c>
    </row>
    <row r="215" spans="1:7" x14ac:dyDescent="0.2">
      <c r="A215" s="84">
        <v>1</v>
      </c>
      <c r="B215" s="84" t="s">
        <v>82</v>
      </c>
      <c r="C215" s="84" t="s">
        <v>182</v>
      </c>
      <c r="D215" s="84">
        <f t="shared" si="61"/>
        <v>1</v>
      </c>
      <c r="E215" s="84">
        <f t="shared" si="63"/>
        <v>1.784</v>
      </c>
      <c r="F215" s="84">
        <f t="shared" si="64"/>
        <v>1.7390000000000001</v>
      </c>
      <c r="G215" s="84">
        <f t="shared" si="62"/>
        <v>0.63900000000000001</v>
      </c>
    </row>
    <row r="216" spans="1:7" x14ac:dyDescent="0.2">
      <c r="A216" s="84">
        <v>1</v>
      </c>
      <c r="B216" s="84" t="s">
        <v>82</v>
      </c>
      <c r="C216" s="84" t="s">
        <v>183</v>
      </c>
      <c r="D216" s="84">
        <f t="shared" si="61"/>
        <v>1</v>
      </c>
      <c r="E216" s="84">
        <f t="shared" si="63"/>
        <v>1.746</v>
      </c>
      <c r="F216" s="84">
        <f t="shared" si="64"/>
        <v>2.2170000000000001</v>
      </c>
      <c r="G216" s="84">
        <f t="shared" si="62"/>
        <v>0.68300000000000005</v>
      </c>
    </row>
    <row r="217" spans="1:7" x14ac:dyDescent="0.2">
      <c r="A217" s="84">
        <v>1</v>
      </c>
      <c r="B217" s="84" t="s">
        <v>82</v>
      </c>
      <c r="C217" s="84" t="s">
        <v>184</v>
      </c>
      <c r="D217" s="84">
        <f t="shared" si="61"/>
        <v>1</v>
      </c>
      <c r="E217" s="84">
        <f t="shared" si="63"/>
        <v>1.45</v>
      </c>
      <c r="F217" s="84">
        <f t="shared" si="64"/>
        <v>1.379</v>
      </c>
      <c r="G217" s="84">
        <f t="shared" si="62"/>
        <v>0.69099999999999995</v>
      </c>
    </row>
    <row r="219" spans="1:7" x14ac:dyDescent="0.2">
      <c r="A219" s="84" t="s">
        <v>189</v>
      </c>
      <c r="B219" s="84" t="s">
        <v>188</v>
      </c>
      <c r="C219" s="84" t="s">
        <v>124</v>
      </c>
    </row>
    <row r="220" spans="1:7" x14ac:dyDescent="0.2">
      <c r="A220" s="84">
        <v>2</v>
      </c>
      <c r="B220" s="84" t="s">
        <v>190</v>
      </c>
      <c r="C220" s="84" t="s">
        <v>125</v>
      </c>
      <c r="D220" s="84">
        <f>V93/$V93</f>
        <v>1</v>
      </c>
      <c r="E220" s="84">
        <f>ROUND(BB93/$V93,3)</f>
        <v>1.196</v>
      </c>
      <c r="F220" s="84">
        <f>ROUND(CH93/$V93,3)</f>
        <v>1.181</v>
      </c>
      <c r="G220" s="84">
        <f>ROUND(DN93/$V93,3)</f>
        <v>1.0609999999999999</v>
      </c>
    </row>
    <row r="221" spans="1:7" x14ac:dyDescent="0.2">
      <c r="A221" s="84">
        <v>2</v>
      </c>
      <c r="B221" s="84" t="s">
        <v>64</v>
      </c>
      <c r="C221" s="84" t="s">
        <v>126</v>
      </c>
      <c r="D221" s="84">
        <f t="shared" ref="D221:D279" si="65">V94/$V94</f>
        <v>1</v>
      </c>
      <c r="E221" s="84">
        <f t="shared" ref="E221:E279" si="66">ROUND(BB94/$V94,3)</f>
        <v>0.998</v>
      </c>
      <c r="F221" s="84">
        <f t="shared" ref="F221:F279" si="67">ROUND(CH94/$V94,3)</f>
        <v>0.98599999999999999</v>
      </c>
      <c r="G221" s="84">
        <f t="shared" ref="G221:G279" si="68">ROUND(DN94/$V94,3)</f>
        <v>0.996</v>
      </c>
    </row>
    <row r="222" spans="1:7" x14ac:dyDescent="0.2">
      <c r="A222" s="84">
        <v>2</v>
      </c>
      <c r="B222" s="84" t="s">
        <v>83</v>
      </c>
      <c r="C222" s="84" t="s">
        <v>127</v>
      </c>
      <c r="D222" s="84">
        <f t="shared" si="65"/>
        <v>1</v>
      </c>
      <c r="E222" s="84">
        <f t="shared" si="66"/>
        <v>1.26</v>
      </c>
      <c r="F222" s="84">
        <f t="shared" si="67"/>
        <v>0.49299999999999999</v>
      </c>
      <c r="G222" s="84">
        <f t="shared" si="68"/>
        <v>0.153</v>
      </c>
    </row>
    <row r="223" spans="1:7" x14ac:dyDescent="0.2">
      <c r="A223" s="84">
        <v>2</v>
      </c>
      <c r="B223" s="84" t="s">
        <v>83</v>
      </c>
      <c r="C223" s="84" t="s">
        <v>128</v>
      </c>
      <c r="D223" s="84">
        <f t="shared" si="65"/>
        <v>1</v>
      </c>
      <c r="E223" s="84">
        <f t="shared" si="66"/>
        <v>1.4279999999999999</v>
      </c>
      <c r="F223" s="84">
        <f t="shared" si="67"/>
        <v>0.40899999999999997</v>
      </c>
      <c r="G223" s="84">
        <f t="shared" si="68"/>
        <v>0.151</v>
      </c>
    </row>
    <row r="224" spans="1:7" x14ac:dyDescent="0.2">
      <c r="A224" s="84">
        <v>2</v>
      </c>
      <c r="B224" s="84" t="s">
        <v>83</v>
      </c>
      <c r="C224" s="84" t="s">
        <v>129</v>
      </c>
      <c r="D224" s="84">
        <f t="shared" si="65"/>
        <v>1</v>
      </c>
      <c r="E224" s="84">
        <f t="shared" si="66"/>
        <v>1.4059999999999999</v>
      </c>
      <c r="F224" s="84">
        <f t="shared" si="67"/>
        <v>0.39400000000000002</v>
      </c>
      <c r="G224" s="84">
        <f t="shared" si="68"/>
        <v>0.16900000000000001</v>
      </c>
    </row>
    <row r="225" spans="1:7" x14ac:dyDescent="0.2">
      <c r="A225" s="84">
        <v>2</v>
      </c>
      <c r="B225" s="84" t="s">
        <v>83</v>
      </c>
      <c r="C225" s="84" t="s">
        <v>130</v>
      </c>
      <c r="D225" s="84">
        <f t="shared" si="65"/>
        <v>1</v>
      </c>
      <c r="E225" s="84">
        <f t="shared" si="66"/>
        <v>1.6080000000000001</v>
      </c>
      <c r="F225" s="84">
        <f t="shared" si="67"/>
        <v>0.44800000000000001</v>
      </c>
      <c r="G225" s="84">
        <f t="shared" si="68"/>
        <v>0.20499999999999999</v>
      </c>
    </row>
    <row r="226" spans="1:7" x14ac:dyDescent="0.2">
      <c r="A226" s="84">
        <v>2</v>
      </c>
      <c r="B226" s="84" t="s">
        <v>83</v>
      </c>
      <c r="C226" s="84" t="s">
        <v>131</v>
      </c>
      <c r="D226" s="84">
        <f t="shared" si="65"/>
        <v>1</v>
      </c>
      <c r="E226" s="84">
        <f t="shared" si="66"/>
        <v>1.8280000000000001</v>
      </c>
      <c r="F226" s="84">
        <f t="shared" si="67"/>
        <v>0.60499999999999998</v>
      </c>
      <c r="G226" s="84">
        <f t="shared" si="68"/>
        <v>0.24</v>
      </c>
    </row>
    <row r="227" spans="1:7" x14ac:dyDescent="0.2">
      <c r="A227" s="84">
        <v>2</v>
      </c>
      <c r="B227" s="84" t="s">
        <v>83</v>
      </c>
      <c r="C227" s="84" t="s">
        <v>132</v>
      </c>
      <c r="D227" s="84">
        <f t="shared" si="65"/>
        <v>1</v>
      </c>
      <c r="E227" s="84">
        <f t="shared" si="66"/>
        <v>1.4930000000000001</v>
      </c>
      <c r="F227" s="84">
        <f t="shared" si="67"/>
        <v>0.64500000000000002</v>
      </c>
      <c r="G227" s="84">
        <f t="shared" si="68"/>
        <v>0.26800000000000002</v>
      </c>
    </row>
    <row r="228" spans="1:7" x14ac:dyDescent="0.2">
      <c r="A228" s="84">
        <v>2</v>
      </c>
      <c r="B228" s="84" t="s">
        <v>83</v>
      </c>
      <c r="C228" s="84" t="s">
        <v>133</v>
      </c>
      <c r="D228" s="84">
        <f t="shared" si="65"/>
        <v>1</v>
      </c>
      <c r="E228" s="84">
        <f t="shared" si="66"/>
        <v>1.3879999999999999</v>
      </c>
      <c r="F228" s="84">
        <f t="shared" si="67"/>
        <v>0.54</v>
      </c>
      <c r="G228" s="84">
        <f t="shared" si="68"/>
        <v>0.26900000000000002</v>
      </c>
    </row>
    <row r="229" spans="1:7" x14ac:dyDescent="0.2">
      <c r="A229" s="84">
        <v>2</v>
      </c>
      <c r="B229" s="84" t="s">
        <v>83</v>
      </c>
      <c r="C229" s="84" t="s">
        <v>134</v>
      </c>
      <c r="D229" s="84">
        <f t="shared" si="65"/>
        <v>1</v>
      </c>
      <c r="E229" s="84">
        <f t="shared" si="66"/>
        <v>1.8859999999999999</v>
      </c>
      <c r="F229" s="84">
        <f t="shared" si="67"/>
        <v>1.028</v>
      </c>
      <c r="G229" s="84">
        <f t="shared" si="68"/>
        <v>0.67300000000000004</v>
      </c>
    </row>
    <row r="230" spans="1:7" x14ac:dyDescent="0.2">
      <c r="A230" s="84">
        <v>2</v>
      </c>
      <c r="B230" s="84" t="s">
        <v>190</v>
      </c>
      <c r="C230" s="84" t="s">
        <v>135</v>
      </c>
      <c r="D230" s="84">
        <f t="shared" si="65"/>
        <v>1</v>
      </c>
      <c r="E230" s="84">
        <f t="shared" si="66"/>
        <v>-1.4650000000000001</v>
      </c>
      <c r="F230" s="84">
        <f t="shared" si="67"/>
        <v>4.407</v>
      </c>
      <c r="G230" s="84">
        <f t="shared" si="68"/>
        <v>0.81699999999999995</v>
      </c>
    </row>
    <row r="231" spans="1:7" x14ac:dyDescent="0.2">
      <c r="A231" s="84">
        <v>2</v>
      </c>
      <c r="B231" s="84" t="s">
        <v>64</v>
      </c>
      <c r="C231" s="84" t="s">
        <v>136</v>
      </c>
      <c r="D231" s="84">
        <f t="shared" si="65"/>
        <v>1</v>
      </c>
      <c r="E231" s="84">
        <f t="shared" si="66"/>
        <v>1.0089999999999999</v>
      </c>
      <c r="F231" s="84">
        <f t="shared" si="67"/>
        <v>1.0029999999999999</v>
      </c>
      <c r="G231" s="84">
        <f t="shared" si="68"/>
        <v>0.997</v>
      </c>
    </row>
    <row r="232" spans="1:7" x14ac:dyDescent="0.2">
      <c r="A232" s="84">
        <v>2</v>
      </c>
      <c r="B232" s="84" t="s">
        <v>84</v>
      </c>
      <c r="C232" s="84" t="s">
        <v>137</v>
      </c>
      <c r="D232" s="84">
        <f t="shared" si="65"/>
        <v>1</v>
      </c>
      <c r="E232" s="84">
        <f t="shared" si="66"/>
        <v>1.3129999999999999</v>
      </c>
      <c r="F232" s="84">
        <f t="shared" si="67"/>
        <v>0.46800000000000003</v>
      </c>
      <c r="G232" s="84">
        <f t="shared" si="68"/>
        <v>0.08</v>
      </c>
    </row>
    <row r="233" spans="1:7" x14ac:dyDescent="0.2">
      <c r="A233" s="84">
        <v>2</v>
      </c>
      <c r="B233" s="84" t="s">
        <v>84</v>
      </c>
      <c r="C233" s="84" t="s">
        <v>138</v>
      </c>
      <c r="D233" s="84">
        <f t="shared" si="65"/>
        <v>1</v>
      </c>
      <c r="E233" s="84">
        <f t="shared" si="66"/>
        <v>1.07</v>
      </c>
      <c r="F233" s="84">
        <f t="shared" si="67"/>
        <v>0.4</v>
      </c>
      <c r="G233" s="84">
        <f t="shared" si="68"/>
        <v>8.7999999999999995E-2</v>
      </c>
    </row>
    <row r="234" spans="1:7" x14ac:dyDescent="0.2">
      <c r="A234" s="84">
        <v>2</v>
      </c>
      <c r="B234" s="84" t="s">
        <v>84</v>
      </c>
      <c r="C234" s="84" t="s">
        <v>139</v>
      </c>
      <c r="D234" s="84">
        <f t="shared" si="65"/>
        <v>1</v>
      </c>
      <c r="E234" s="84">
        <f t="shared" si="66"/>
        <v>1.157</v>
      </c>
      <c r="F234" s="84">
        <f t="shared" si="67"/>
        <v>0.38800000000000001</v>
      </c>
      <c r="G234" s="84">
        <f t="shared" si="68"/>
        <v>4.2999999999999997E-2</v>
      </c>
    </row>
    <row r="235" spans="1:7" x14ac:dyDescent="0.2">
      <c r="A235" s="84">
        <v>2</v>
      </c>
      <c r="B235" s="84" t="s">
        <v>84</v>
      </c>
      <c r="C235" s="84" t="s">
        <v>140</v>
      </c>
      <c r="D235" s="84">
        <f t="shared" si="65"/>
        <v>1</v>
      </c>
      <c r="E235" s="84">
        <f t="shared" si="66"/>
        <v>1.08</v>
      </c>
      <c r="F235" s="84">
        <f t="shared" si="67"/>
        <v>0.67200000000000004</v>
      </c>
      <c r="G235" s="84">
        <f t="shared" si="68"/>
        <v>6.2E-2</v>
      </c>
    </row>
    <row r="236" spans="1:7" x14ac:dyDescent="0.2">
      <c r="A236" s="84">
        <v>2</v>
      </c>
      <c r="B236" s="84" t="s">
        <v>84</v>
      </c>
      <c r="C236" s="84" t="s">
        <v>141</v>
      </c>
      <c r="D236" s="84">
        <f t="shared" si="65"/>
        <v>1</v>
      </c>
      <c r="E236" s="84">
        <f t="shared" si="66"/>
        <v>1.2709999999999999</v>
      </c>
      <c r="F236" s="84">
        <f t="shared" si="67"/>
        <v>0.69</v>
      </c>
      <c r="G236" s="84">
        <f t="shared" si="68"/>
        <v>5.0999999999999997E-2</v>
      </c>
    </row>
    <row r="237" spans="1:7" x14ac:dyDescent="0.2">
      <c r="A237" s="84">
        <v>2</v>
      </c>
      <c r="B237" s="84" t="s">
        <v>84</v>
      </c>
      <c r="C237" s="84" t="s">
        <v>142</v>
      </c>
      <c r="D237" s="84">
        <f t="shared" si="65"/>
        <v>1</v>
      </c>
      <c r="E237" s="84">
        <f t="shared" si="66"/>
        <v>1.157</v>
      </c>
      <c r="F237" s="84">
        <f t="shared" si="67"/>
        <v>0.54700000000000004</v>
      </c>
      <c r="G237" s="84">
        <f t="shared" si="68"/>
        <v>0.05</v>
      </c>
    </row>
    <row r="238" spans="1:7" x14ac:dyDescent="0.2">
      <c r="A238" s="84">
        <v>2</v>
      </c>
      <c r="B238" s="84" t="s">
        <v>84</v>
      </c>
      <c r="C238" s="84" t="s">
        <v>143</v>
      </c>
      <c r="D238" s="84">
        <f t="shared" si="65"/>
        <v>1</v>
      </c>
      <c r="E238" s="84">
        <f t="shared" si="66"/>
        <v>1.9670000000000001</v>
      </c>
      <c r="F238" s="84">
        <f t="shared" si="67"/>
        <v>0.73599999999999999</v>
      </c>
      <c r="G238" s="84">
        <f t="shared" si="68"/>
        <v>0.129</v>
      </c>
    </row>
    <row r="239" spans="1:7" x14ac:dyDescent="0.2">
      <c r="A239" s="84">
        <v>2</v>
      </c>
      <c r="B239" s="84" t="s">
        <v>84</v>
      </c>
      <c r="C239" s="84" t="s">
        <v>144</v>
      </c>
      <c r="D239" s="84">
        <f t="shared" si="65"/>
        <v>1</v>
      </c>
      <c r="E239" s="84">
        <f t="shared" si="66"/>
        <v>2.0259999999999998</v>
      </c>
      <c r="F239" s="84">
        <f t="shared" si="67"/>
        <v>0.67900000000000005</v>
      </c>
      <c r="G239" s="84">
        <f t="shared" si="68"/>
        <v>0.19800000000000001</v>
      </c>
    </row>
    <row r="240" spans="1:7" x14ac:dyDescent="0.2">
      <c r="A240" s="84">
        <v>2</v>
      </c>
      <c r="B240" s="84" t="s">
        <v>190</v>
      </c>
      <c r="C240" s="84" t="s">
        <v>145</v>
      </c>
      <c r="D240" s="84">
        <f t="shared" si="65"/>
        <v>1</v>
      </c>
      <c r="E240" s="84">
        <f t="shared" si="66"/>
        <v>-0.14499999999999999</v>
      </c>
      <c r="F240" s="84">
        <f t="shared" si="67"/>
        <v>-0.113</v>
      </c>
      <c r="G240" s="84">
        <f t="shared" si="68"/>
        <v>0.59399999999999997</v>
      </c>
    </row>
    <row r="241" spans="1:7" x14ac:dyDescent="0.2">
      <c r="A241" s="84">
        <v>2</v>
      </c>
      <c r="B241" s="84" t="s">
        <v>64</v>
      </c>
      <c r="C241" s="84" t="s">
        <v>146</v>
      </c>
      <c r="D241" s="84">
        <f t="shared" si="65"/>
        <v>1</v>
      </c>
      <c r="E241" s="84">
        <f t="shared" si="66"/>
        <v>0.98799999999999999</v>
      </c>
      <c r="F241" s="84">
        <f t="shared" si="67"/>
        <v>0.995</v>
      </c>
      <c r="G241" s="84">
        <f t="shared" si="68"/>
        <v>0.98799999999999999</v>
      </c>
    </row>
    <row r="242" spans="1:7" x14ac:dyDescent="0.2">
      <c r="A242" s="84">
        <v>2</v>
      </c>
      <c r="B242" s="84" t="s">
        <v>85</v>
      </c>
      <c r="C242" s="84" t="s">
        <v>147</v>
      </c>
      <c r="D242" s="84">
        <f t="shared" si="65"/>
        <v>1</v>
      </c>
      <c r="E242" s="84">
        <f t="shared" si="66"/>
        <v>1.2350000000000001</v>
      </c>
      <c r="F242" s="84">
        <f t="shared" si="67"/>
        <v>0.39300000000000002</v>
      </c>
      <c r="G242" s="84">
        <f t="shared" si="68"/>
        <v>4.2000000000000003E-2</v>
      </c>
    </row>
    <row r="243" spans="1:7" x14ac:dyDescent="0.2">
      <c r="A243" s="84">
        <v>2</v>
      </c>
      <c r="B243" s="84" t="s">
        <v>85</v>
      </c>
      <c r="C243" s="84" t="s">
        <v>148</v>
      </c>
      <c r="D243" s="84">
        <f t="shared" si="65"/>
        <v>1</v>
      </c>
      <c r="E243" s="84">
        <f t="shared" si="66"/>
        <v>0.93</v>
      </c>
      <c r="F243" s="84">
        <f t="shared" si="67"/>
        <v>0.26900000000000002</v>
      </c>
      <c r="G243" s="84">
        <f t="shared" si="68"/>
        <v>5.7000000000000002E-2</v>
      </c>
    </row>
    <row r="244" spans="1:7" x14ac:dyDescent="0.2">
      <c r="A244" s="84">
        <v>2</v>
      </c>
      <c r="B244" s="84" t="s">
        <v>85</v>
      </c>
      <c r="C244" s="84" t="s">
        <v>149</v>
      </c>
      <c r="D244" s="84">
        <f t="shared" si="65"/>
        <v>1</v>
      </c>
      <c r="E244" s="84">
        <f t="shared" si="66"/>
        <v>0.88600000000000001</v>
      </c>
      <c r="F244" s="84">
        <f t="shared" si="67"/>
        <v>0.245</v>
      </c>
      <c r="G244" s="84">
        <f t="shared" si="68"/>
        <v>4.4999999999999998E-2</v>
      </c>
    </row>
    <row r="245" spans="1:7" x14ac:dyDescent="0.2">
      <c r="A245" s="84">
        <v>2</v>
      </c>
      <c r="B245" s="84" t="s">
        <v>85</v>
      </c>
      <c r="C245" s="84" t="s">
        <v>150</v>
      </c>
      <c r="D245" s="84">
        <f t="shared" si="65"/>
        <v>1</v>
      </c>
      <c r="E245" s="84">
        <f t="shared" si="66"/>
        <v>1.0389999999999999</v>
      </c>
      <c r="F245" s="84">
        <f t="shared" si="67"/>
        <v>0.23100000000000001</v>
      </c>
      <c r="G245" s="84">
        <f t="shared" si="68"/>
        <v>4.9000000000000002E-2</v>
      </c>
    </row>
    <row r="246" spans="1:7" x14ac:dyDescent="0.2">
      <c r="A246" s="84">
        <v>2</v>
      </c>
      <c r="B246" s="84" t="s">
        <v>85</v>
      </c>
      <c r="C246" s="84" t="s">
        <v>151</v>
      </c>
      <c r="D246" s="84">
        <f t="shared" si="65"/>
        <v>1</v>
      </c>
      <c r="E246" s="84">
        <f t="shared" si="66"/>
        <v>1.292</v>
      </c>
      <c r="F246" s="84">
        <f t="shared" si="67"/>
        <v>0.29799999999999999</v>
      </c>
      <c r="G246" s="84">
        <f t="shared" si="68"/>
        <v>0.13400000000000001</v>
      </c>
    </row>
    <row r="247" spans="1:7" x14ac:dyDescent="0.2">
      <c r="A247" s="84">
        <v>2</v>
      </c>
      <c r="B247" s="84" t="s">
        <v>85</v>
      </c>
      <c r="C247" s="84" t="s">
        <v>152</v>
      </c>
      <c r="D247" s="84">
        <f t="shared" si="65"/>
        <v>1</v>
      </c>
      <c r="E247" s="84">
        <f t="shared" si="66"/>
        <v>1.409</v>
      </c>
      <c r="F247" s="84">
        <f t="shared" si="67"/>
        <v>0.58199999999999996</v>
      </c>
      <c r="G247" s="84">
        <f t="shared" si="68"/>
        <v>0.13300000000000001</v>
      </c>
    </row>
    <row r="248" spans="1:7" x14ac:dyDescent="0.2">
      <c r="A248" s="84">
        <v>2</v>
      </c>
      <c r="B248" s="84" t="s">
        <v>85</v>
      </c>
      <c r="C248" s="84" t="s">
        <v>153</v>
      </c>
      <c r="D248" s="84">
        <f t="shared" si="65"/>
        <v>1</v>
      </c>
      <c r="E248" s="84">
        <f t="shared" si="66"/>
        <v>0.97899999999999998</v>
      </c>
      <c r="F248" s="84">
        <f t="shared" si="67"/>
        <v>0.66100000000000003</v>
      </c>
      <c r="G248" s="84">
        <f t="shared" si="68"/>
        <v>0.151</v>
      </c>
    </row>
    <row r="249" spans="1:7" x14ac:dyDescent="0.2">
      <c r="A249" s="84">
        <v>2</v>
      </c>
      <c r="B249" s="84" t="s">
        <v>85</v>
      </c>
      <c r="C249" s="84" t="s">
        <v>154</v>
      </c>
      <c r="D249" s="84">
        <f t="shared" si="65"/>
        <v>1</v>
      </c>
      <c r="E249" s="84">
        <f t="shared" si="66"/>
        <v>0.99299999999999999</v>
      </c>
      <c r="F249" s="84">
        <f t="shared" si="67"/>
        <v>0.47799999999999998</v>
      </c>
      <c r="G249" s="84">
        <f t="shared" si="68"/>
        <v>0.104</v>
      </c>
    </row>
    <row r="250" spans="1:7" x14ac:dyDescent="0.2">
      <c r="A250" s="84">
        <v>2</v>
      </c>
      <c r="B250" s="84" t="s">
        <v>190</v>
      </c>
      <c r="C250" s="84" t="s">
        <v>155</v>
      </c>
      <c r="D250" s="84">
        <f t="shared" si="65"/>
        <v>1</v>
      </c>
      <c r="E250" s="84">
        <f t="shared" si="66"/>
        <v>-3.8330000000000002</v>
      </c>
      <c r="F250" s="84">
        <f t="shared" si="67"/>
        <v>5.6559999999999997</v>
      </c>
      <c r="G250" s="84">
        <f t="shared" si="68"/>
        <v>3.32</v>
      </c>
    </row>
    <row r="251" spans="1:7" x14ac:dyDescent="0.2">
      <c r="A251" s="84">
        <v>2</v>
      </c>
      <c r="B251" s="84" t="s">
        <v>64</v>
      </c>
      <c r="C251" s="84" t="s">
        <v>156</v>
      </c>
      <c r="D251" s="84">
        <f t="shared" si="65"/>
        <v>1</v>
      </c>
      <c r="E251" s="84">
        <f t="shared" si="66"/>
        <v>0.99199999999999999</v>
      </c>
      <c r="F251" s="84">
        <f t="shared" si="67"/>
        <v>0.98899999999999999</v>
      </c>
      <c r="G251" s="84">
        <f t="shared" si="68"/>
        <v>0.99299999999999999</v>
      </c>
    </row>
    <row r="252" spans="1:7" x14ac:dyDescent="0.2">
      <c r="A252" s="84">
        <v>2</v>
      </c>
      <c r="B252" s="84">
        <v>1</v>
      </c>
      <c r="C252" s="84" t="s">
        <v>157</v>
      </c>
      <c r="D252" s="84">
        <f t="shared" si="65"/>
        <v>1</v>
      </c>
      <c r="E252" s="84">
        <f t="shared" si="66"/>
        <v>0.92</v>
      </c>
      <c r="F252" s="84">
        <f t="shared" si="67"/>
        <v>0.21299999999999999</v>
      </c>
      <c r="G252" s="84">
        <f t="shared" si="68"/>
        <v>4.3999999999999997E-2</v>
      </c>
    </row>
    <row r="253" spans="1:7" x14ac:dyDescent="0.2">
      <c r="A253" s="84">
        <v>2</v>
      </c>
      <c r="B253" s="84">
        <v>1</v>
      </c>
      <c r="C253" s="84" t="s">
        <v>158</v>
      </c>
      <c r="D253" s="84">
        <f t="shared" si="65"/>
        <v>1</v>
      </c>
      <c r="E253" s="84">
        <f t="shared" si="66"/>
        <v>1.0369999999999999</v>
      </c>
      <c r="F253" s="84">
        <f t="shared" si="67"/>
        <v>0.26200000000000001</v>
      </c>
      <c r="G253" s="84">
        <f t="shared" si="68"/>
        <v>5.5E-2</v>
      </c>
    </row>
    <row r="254" spans="1:7" x14ac:dyDescent="0.2">
      <c r="A254" s="84">
        <v>2</v>
      </c>
      <c r="B254" s="84">
        <v>1</v>
      </c>
      <c r="C254" s="84" t="s">
        <v>159</v>
      </c>
      <c r="D254" s="84">
        <f t="shared" si="65"/>
        <v>1</v>
      </c>
      <c r="E254" s="84">
        <f t="shared" si="66"/>
        <v>0.96899999999999997</v>
      </c>
      <c r="F254" s="84">
        <f t="shared" si="67"/>
        <v>0.246</v>
      </c>
      <c r="G254" s="84">
        <f t="shared" si="68"/>
        <v>6.5000000000000002E-2</v>
      </c>
    </row>
    <row r="255" spans="1:7" x14ac:dyDescent="0.2">
      <c r="A255" s="84">
        <v>2</v>
      </c>
      <c r="B255" s="84">
        <v>1</v>
      </c>
      <c r="C255" s="84" t="s">
        <v>160</v>
      </c>
      <c r="D255" s="84">
        <f t="shared" si="65"/>
        <v>1</v>
      </c>
      <c r="E255" s="84">
        <f t="shared" si="66"/>
        <v>0.99099999999999999</v>
      </c>
      <c r="F255" s="84">
        <f t="shared" si="67"/>
        <v>0.26300000000000001</v>
      </c>
      <c r="G255" s="84">
        <f t="shared" si="68"/>
        <v>7.9000000000000001E-2</v>
      </c>
    </row>
    <row r="256" spans="1:7" x14ac:dyDescent="0.2">
      <c r="A256" s="84">
        <v>2</v>
      </c>
      <c r="B256" s="84">
        <v>1</v>
      </c>
      <c r="C256" s="84" t="s">
        <v>161</v>
      </c>
      <c r="D256" s="84">
        <f t="shared" si="65"/>
        <v>1</v>
      </c>
      <c r="E256" s="84">
        <f t="shared" si="66"/>
        <v>1.139</v>
      </c>
      <c r="F256" s="84">
        <f t="shared" si="67"/>
        <v>0.17899999999999999</v>
      </c>
      <c r="G256" s="84">
        <f t="shared" si="68"/>
        <v>7.1999999999999995E-2</v>
      </c>
    </row>
    <row r="257" spans="1:7" x14ac:dyDescent="0.2">
      <c r="A257" s="84">
        <v>2</v>
      </c>
      <c r="B257" s="84">
        <v>1</v>
      </c>
      <c r="C257" s="84" t="s">
        <v>162</v>
      </c>
      <c r="D257" s="84">
        <f t="shared" si="65"/>
        <v>1</v>
      </c>
      <c r="E257" s="84">
        <f t="shared" si="66"/>
        <v>1.028</v>
      </c>
      <c r="F257" s="84">
        <f t="shared" si="67"/>
        <v>0.23699999999999999</v>
      </c>
      <c r="G257" s="84">
        <f t="shared" si="68"/>
        <v>4.5999999999999999E-2</v>
      </c>
    </row>
    <row r="258" spans="1:7" x14ac:dyDescent="0.2">
      <c r="A258" s="84">
        <v>2</v>
      </c>
      <c r="B258" s="84">
        <v>1</v>
      </c>
      <c r="C258" s="84" t="s">
        <v>163</v>
      </c>
      <c r="D258" s="84">
        <f t="shared" si="65"/>
        <v>1</v>
      </c>
      <c r="E258" s="84">
        <f t="shared" si="66"/>
        <v>0.91</v>
      </c>
      <c r="F258" s="84">
        <f t="shared" si="67"/>
        <v>0.27300000000000002</v>
      </c>
      <c r="G258" s="84">
        <f t="shared" si="68"/>
        <v>6.2E-2</v>
      </c>
    </row>
    <row r="259" spans="1:7" x14ac:dyDescent="0.2">
      <c r="A259" s="84">
        <v>2</v>
      </c>
      <c r="B259" s="84">
        <v>1</v>
      </c>
      <c r="C259" s="84" t="s">
        <v>164</v>
      </c>
      <c r="D259" s="84">
        <f t="shared" si="65"/>
        <v>1</v>
      </c>
      <c r="E259" s="84">
        <f t="shared" si="66"/>
        <v>1.169</v>
      </c>
      <c r="F259" s="84">
        <f t="shared" si="67"/>
        <v>0.51200000000000001</v>
      </c>
      <c r="G259" s="84">
        <f t="shared" si="68"/>
        <v>7.8E-2</v>
      </c>
    </row>
    <row r="260" spans="1:7" x14ac:dyDescent="0.2">
      <c r="A260" s="84">
        <v>2</v>
      </c>
      <c r="B260" s="84" t="s">
        <v>190</v>
      </c>
      <c r="C260" s="84" t="s">
        <v>165</v>
      </c>
      <c r="D260" s="84">
        <f t="shared" si="65"/>
        <v>1</v>
      </c>
      <c r="E260" s="84">
        <f t="shared" si="66"/>
        <v>4.1669999999999998</v>
      </c>
      <c r="F260" s="84">
        <f t="shared" si="67"/>
        <v>-5.5410000000000004</v>
      </c>
      <c r="G260" s="84">
        <f t="shared" si="68"/>
        <v>0.52900000000000003</v>
      </c>
    </row>
    <row r="261" spans="1:7" x14ac:dyDescent="0.2">
      <c r="A261" s="84">
        <v>2</v>
      </c>
      <c r="B261" s="84" t="s">
        <v>64</v>
      </c>
      <c r="C261" s="84" t="s">
        <v>166</v>
      </c>
      <c r="D261" s="84">
        <f t="shared" si="65"/>
        <v>1</v>
      </c>
      <c r="E261" s="84">
        <f t="shared" si="66"/>
        <v>0.999</v>
      </c>
      <c r="F261" s="84">
        <f t="shared" si="67"/>
        <v>1.002</v>
      </c>
      <c r="G261" s="84">
        <f t="shared" si="68"/>
        <v>1.0049999999999999</v>
      </c>
    </row>
    <row r="262" spans="1:7" x14ac:dyDescent="0.2">
      <c r="A262" s="84">
        <v>2</v>
      </c>
      <c r="B262" s="84">
        <v>2</v>
      </c>
      <c r="C262" s="84" t="s">
        <v>167</v>
      </c>
      <c r="D262" s="84">
        <f t="shared" si="65"/>
        <v>1</v>
      </c>
      <c r="E262" s="84">
        <f t="shared" si="66"/>
        <v>0.73199999999999998</v>
      </c>
      <c r="F262" s="84">
        <f t="shared" si="67"/>
        <v>0.12</v>
      </c>
      <c r="G262" s="84">
        <f t="shared" si="68"/>
        <v>5.5E-2</v>
      </c>
    </row>
    <row r="263" spans="1:7" x14ac:dyDescent="0.2">
      <c r="A263" s="84">
        <v>2</v>
      </c>
      <c r="B263" s="84">
        <v>2</v>
      </c>
      <c r="C263" s="84" t="s">
        <v>168</v>
      </c>
      <c r="D263" s="84">
        <f t="shared" si="65"/>
        <v>1</v>
      </c>
      <c r="E263" s="84">
        <f t="shared" si="66"/>
        <v>0.93300000000000005</v>
      </c>
      <c r="F263" s="84">
        <f t="shared" si="67"/>
        <v>0.185</v>
      </c>
      <c r="G263" s="84">
        <f t="shared" si="68"/>
        <v>4.2999999999999997E-2</v>
      </c>
    </row>
    <row r="264" spans="1:7" x14ac:dyDescent="0.2">
      <c r="A264" s="84">
        <v>2</v>
      </c>
      <c r="B264" s="84">
        <v>2</v>
      </c>
      <c r="C264" s="84" t="s">
        <v>169</v>
      </c>
      <c r="D264" s="84">
        <f t="shared" si="65"/>
        <v>1</v>
      </c>
      <c r="E264" s="84">
        <f t="shared" si="66"/>
        <v>0.93600000000000005</v>
      </c>
      <c r="F264" s="84">
        <f t="shared" si="67"/>
        <v>0.217</v>
      </c>
      <c r="G264" s="84">
        <f t="shared" si="68"/>
        <v>7.1999999999999995E-2</v>
      </c>
    </row>
    <row r="265" spans="1:7" x14ac:dyDescent="0.2">
      <c r="A265" s="84">
        <v>2</v>
      </c>
      <c r="B265" s="84">
        <v>2</v>
      </c>
      <c r="C265" s="84" t="s">
        <v>170</v>
      </c>
      <c r="D265" s="84">
        <f t="shared" si="65"/>
        <v>1</v>
      </c>
      <c r="E265" s="84">
        <f t="shared" si="66"/>
        <v>0.873</v>
      </c>
      <c r="F265" s="84">
        <f t="shared" si="67"/>
        <v>0.312</v>
      </c>
      <c r="G265" s="84">
        <f t="shared" si="68"/>
        <v>6.4000000000000001E-2</v>
      </c>
    </row>
    <row r="266" spans="1:7" x14ac:dyDescent="0.2">
      <c r="A266" s="84">
        <v>2</v>
      </c>
      <c r="B266" s="84">
        <v>2</v>
      </c>
      <c r="C266" s="84" t="s">
        <v>171</v>
      </c>
      <c r="D266" s="84">
        <f t="shared" si="65"/>
        <v>1</v>
      </c>
      <c r="E266" s="84">
        <f t="shared" si="66"/>
        <v>0.76300000000000001</v>
      </c>
      <c r="F266" s="84">
        <f t="shared" si="67"/>
        <v>0.27200000000000002</v>
      </c>
      <c r="G266" s="84">
        <f t="shared" si="68"/>
        <v>8.6999999999999994E-2</v>
      </c>
    </row>
    <row r="267" spans="1:7" x14ac:dyDescent="0.2">
      <c r="A267" s="84">
        <v>2</v>
      </c>
      <c r="B267" s="84">
        <v>2</v>
      </c>
      <c r="C267" s="84" t="s">
        <v>172</v>
      </c>
      <c r="D267" s="84">
        <f t="shared" si="65"/>
        <v>1</v>
      </c>
      <c r="E267" s="84">
        <f t="shared" si="66"/>
        <v>0.83</v>
      </c>
      <c r="F267" s="84">
        <f t="shared" si="67"/>
        <v>0.33700000000000002</v>
      </c>
      <c r="G267" s="84">
        <f t="shared" si="68"/>
        <v>6.6000000000000003E-2</v>
      </c>
    </row>
    <row r="268" spans="1:7" x14ac:dyDescent="0.2">
      <c r="A268" s="84">
        <v>2</v>
      </c>
      <c r="B268" s="84">
        <v>2</v>
      </c>
      <c r="C268" s="84" t="s">
        <v>173</v>
      </c>
      <c r="D268" s="84">
        <f t="shared" si="65"/>
        <v>1</v>
      </c>
      <c r="E268" s="84">
        <f t="shared" si="66"/>
        <v>0.90500000000000003</v>
      </c>
      <c r="F268" s="84">
        <f t="shared" si="67"/>
        <v>0.377</v>
      </c>
      <c r="G268" s="84">
        <f t="shared" si="68"/>
        <v>0.13900000000000001</v>
      </c>
    </row>
    <row r="269" spans="1:7" x14ac:dyDescent="0.2">
      <c r="A269" s="84">
        <v>2</v>
      </c>
      <c r="B269" s="84">
        <v>2</v>
      </c>
      <c r="C269" s="84" t="s">
        <v>174</v>
      </c>
      <c r="D269" s="84">
        <f t="shared" si="65"/>
        <v>1</v>
      </c>
      <c r="E269" s="84">
        <f t="shared" si="66"/>
        <v>0.93500000000000005</v>
      </c>
      <c r="F269" s="84">
        <f t="shared" si="67"/>
        <v>0.433</v>
      </c>
      <c r="G269" s="84">
        <f t="shared" si="68"/>
        <v>0.15</v>
      </c>
    </row>
    <row r="270" spans="1:7" x14ac:dyDescent="0.2">
      <c r="A270" s="84">
        <v>2</v>
      </c>
      <c r="B270" s="84" t="s">
        <v>190</v>
      </c>
      <c r="C270" s="84" t="s">
        <v>175</v>
      </c>
      <c r="D270" s="84">
        <f t="shared" si="65"/>
        <v>1</v>
      </c>
      <c r="E270" s="84">
        <f t="shared" si="66"/>
        <v>5.0670000000000002</v>
      </c>
      <c r="F270" s="84">
        <f t="shared" si="67"/>
        <v>-19.670999999999999</v>
      </c>
      <c r="G270" s="84">
        <f t="shared" si="68"/>
        <v>-5.1790000000000003</v>
      </c>
    </row>
    <row r="271" spans="1:7" x14ac:dyDescent="0.2">
      <c r="A271" s="84">
        <v>2</v>
      </c>
      <c r="B271" s="84" t="s">
        <v>64</v>
      </c>
      <c r="C271" s="84" t="s">
        <v>176</v>
      </c>
      <c r="D271" s="84">
        <f t="shared" si="65"/>
        <v>1</v>
      </c>
      <c r="E271" s="84">
        <f t="shared" si="66"/>
        <v>0.98899999999999999</v>
      </c>
      <c r="F271" s="84">
        <f t="shared" si="67"/>
        <v>0.99399999999999999</v>
      </c>
      <c r="G271" s="84">
        <f t="shared" si="68"/>
        <v>0.997</v>
      </c>
    </row>
    <row r="272" spans="1:7" x14ac:dyDescent="0.2">
      <c r="A272" s="84">
        <v>2</v>
      </c>
      <c r="B272" s="84">
        <v>5</v>
      </c>
      <c r="C272" s="84" t="s">
        <v>177</v>
      </c>
      <c r="D272" s="84">
        <f t="shared" si="65"/>
        <v>1</v>
      </c>
      <c r="E272" s="84">
        <f t="shared" si="66"/>
        <v>0.60799999999999998</v>
      </c>
      <c r="F272" s="84">
        <f t="shared" si="67"/>
        <v>0.252</v>
      </c>
      <c r="G272" s="84">
        <f t="shared" si="68"/>
        <v>9.0999999999999998E-2</v>
      </c>
    </row>
    <row r="273" spans="1:7" x14ac:dyDescent="0.2">
      <c r="A273" s="84">
        <v>2</v>
      </c>
      <c r="B273" s="84">
        <v>5</v>
      </c>
      <c r="C273" s="84" t="s">
        <v>178</v>
      </c>
      <c r="D273" s="84">
        <f t="shared" si="65"/>
        <v>1</v>
      </c>
      <c r="E273" s="84">
        <f t="shared" si="66"/>
        <v>1.0009999999999999</v>
      </c>
      <c r="F273" s="84">
        <f t="shared" si="67"/>
        <v>0.47499999999999998</v>
      </c>
      <c r="G273" s="84">
        <f t="shared" si="68"/>
        <v>0.121</v>
      </c>
    </row>
    <row r="274" spans="1:7" x14ac:dyDescent="0.2">
      <c r="A274" s="84">
        <v>2</v>
      </c>
      <c r="B274" s="84">
        <v>5</v>
      </c>
      <c r="C274" s="84" t="s">
        <v>179</v>
      </c>
      <c r="D274" s="84">
        <f t="shared" si="65"/>
        <v>1</v>
      </c>
      <c r="E274" s="84">
        <f t="shared" si="66"/>
        <v>0.87</v>
      </c>
      <c r="F274" s="84">
        <f t="shared" si="67"/>
        <v>0.27200000000000002</v>
      </c>
      <c r="G274" s="84">
        <f t="shared" si="68"/>
        <v>0.14199999999999999</v>
      </c>
    </row>
    <row r="275" spans="1:7" x14ac:dyDescent="0.2">
      <c r="A275" s="84">
        <v>2</v>
      </c>
      <c r="B275" s="84">
        <v>5</v>
      </c>
      <c r="C275" s="84" t="s">
        <v>180</v>
      </c>
      <c r="D275" s="84">
        <f t="shared" si="65"/>
        <v>1</v>
      </c>
      <c r="E275" s="84">
        <f t="shared" si="66"/>
        <v>0.75800000000000001</v>
      </c>
      <c r="F275" s="84">
        <f t="shared" si="67"/>
        <v>0.47199999999999998</v>
      </c>
      <c r="G275" s="84">
        <f t="shared" si="68"/>
        <v>0.13500000000000001</v>
      </c>
    </row>
    <row r="276" spans="1:7" x14ac:dyDescent="0.2">
      <c r="A276" s="84">
        <v>2</v>
      </c>
      <c r="B276" s="84">
        <v>5</v>
      </c>
      <c r="C276" s="84" t="s">
        <v>181</v>
      </c>
      <c r="D276" s="84">
        <f t="shared" si="65"/>
        <v>1</v>
      </c>
      <c r="E276" s="84">
        <f t="shared" si="66"/>
        <v>0.874</v>
      </c>
      <c r="F276" s="84">
        <f t="shared" si="67"/>
        <v>0.45700000000000002</v>
      </c>
      <c r="G276" s="84">
        <f t="shared" si="68"/>
        <v>0.13100000000000001</v>
      </c>
    </row>
    <row r="277" spans="1:7" x14ac:dyDescent="0.2">
      <c r="A277" s="84">
        <v>2</v>
      </c>
      <c r="B277" s="84">
        <v>5</v>
      </c>
      <c r="C277" s="84" t="s">
        <v>182</v>
      </c>
      <c r="D277" s="84">
        <f t="shared" si="65"/>
        <v>1</v>
      </c>
      <c r="E277" s="84">
        <f t="shared" si="66"/>
        <v>0.94899999999999995</v>
      </c>
      <c r="F277" s="84">
        <f t="shared" si="67"/>
        <v>0.49399999999999999</v>
      </c>
      <c r="G277" s="84">
        <f t="shared" si="68"/>
        <v>0.13700000000000001</v>
      </c>
    </row>
    <row r="278" spans="1:7" x14ac:dyDescent="0.2">
      <c r="A278" s="84">
        <v>2</v>
      </c>
      <c r="B278" s="84">
        <v>5</v>
      </c>
      <c r="C278" s="84" t="s">
        <v>183</v>
      </c>
      <c r="D278" s="84">
        <f t="shared" si="65"/>
        <v>1</v>
      </c>
      <c r="E278" s="84">
        <f t="shared" si="66"/>
        <v>0.63</v>
      </c>
      <c r="F278" s="84">
        <f t="shared" si="67"/>
        <v>0.59799999999999998</v>
      </c>
      <c r="G278" s="84">
        <f t="shared" si="68"/>
        <v>0.154</v>
      </c>
    </row>
    <row r="279" spans="1:7" x14ac:dyDescent="0.2">
      <c r="A279" s="84">
        <v>2</v>
      </c>
      <c r="B279" s="84">
        <v>5</v>
      </c>
      <c r="C279" s="84" t="s">
        <v>184</v>
      </c>
      <c r="D279" s="84">
        <f t="shared" si="65"/>
        <v>1</v>
      </c>
      <c r="E279" s="84">
        <f t="shared" si="66"/>
        <v>0.82499999999999996</v>
      </c>
      <c r="F279" s="84">
        <f t="shared" si="67"/>
        <v>0.85899999999999999</v>
      </c>
      <c r="G279" s="84">
        <f t="shared" si="68"/>
        <v>0.20499999999999999</v>
      </c>
    </row>
    <row r="281" spans="1:7" x14ac:dyDescent="0.2">
      <c r="A281" t="s">
        <v>188</v>
      </c>
    </row>
    <row r="282" spans="1:7" x14ac:dyDescent="0.2">
      <c r="B282" s="84">
        <v>0</v>
      </c>
      <c r="C282" s="84">
        <v>2</v>
      </c>
      <c r="D282" s="84">
        <v>5</v>
      </c>
      <c r="E282" s="84">
        <v>7</v>
      </c>
    </row>
    <row r="283" spans="1:7" x14ac:dyDescent="0.2">
      <c r="A283">
        <v>0</v>
      </c>
      <c r="B283">
        <f>AVERAGE(D160:D167)</f>
        <v>1</v>
      </c>
      <c r="C283" s="84">
        <f t="shared" ref="C283:E283" si="69">AVERAGE(E160:E167)</f>
        <v>3.3822500000000004</v>
      </c>
      <c r="D283" s="84">
        <f t="shared" si="69"/>
        <v>15.983499999999999</v>
      </c>
      <c r="E283" s="84">
        <f t="shared" si="69"/>
        <v>34.15475</v>
      </c>
    </row>
    <row r="284" spans="1:7" x14ac:dyDescent="0.2">
      <c r="A284" t="s">
        <v>78</v>
      </c>
      <c r="B284">
        <f>AVERAGE(D170:D177)</f>
        <v>1</v>
      </c>
      <c r="C284" s="84">
        <f t="shared" ref="C284:E284" si="70">AVERAGE(E170:E177)</f>
        <v>3.0612500000000002</v>
      </c>
      <c r="D284" s="84">
        <f t="shared" si="70"/>
        <v>10.439375</v>
      </c>
      <c r="E284" s="84">
        <f t="shared" si="70"/>
        <v>25.590499999999999</v>
      </c>
    </row>
    <row r="285" spans="1:7" x14ac:dyDescent="0.2">
      <c r="A285" t="s">
        <v>79</v>
      </c>
      <c r="B285">
        <f>AVERAGE(D180:D187)</f>
        <v>1</v>
      </c>
      <c r="C285" s="84">
        <f t="shared" ref="C285:E285" si="71">AVERAGE(E180:E187)</f>
        <v>3.1568749999999999</v>
      </c>
      <c r="D285" s="84">
        <f t="shared" si="71"/>
        <v>5.9292500000000006</v>
      </c>
      <c r="E285" s="84">
        <f t="shared" si="71"/>
        <v>14.205625</v>
      </c>
    </row>
    <row r="286" spans="1:7" x14ac:dyDescent="0.2">
      <c r="A286" t="s">
        <v>80</v>
      </c>
      <c r="B286">
        <f>AVERAGE(D190:D197)</f>
        <v>1</v>
      </c>
      <c r="C286" s="84">
        <f t="shared" ref="C286:E286" si="72">AVERAGE(E190:E197)</f>
        <v>2.7926250000000001</v>
      </c>
      <c r="D286" s="84">
        <f t="shared" si="72"/>
        <v>3.0778750000000006</v>
      </c>
      <c r="E286" s="84">
        <f t="shared" si="72"/>
        <v>5.2609999999999992</v>
      </c>
    </row>
    <row r="287" spans="1:7" x14ac:dyDescent="0.2">
      <c r="A287" t="s">
        <v>81</v>
      </c>
      <c r="B287">
        <f>AVERAGE(D200:D207)</f>
        <v>1</v>
      </c>
      <c r="C287" s="84">
        <f t="shared" ref="C287:E287" si="73">AVERAGE(E200:E207)</f>
        <v>1.86375</v>
      </c>
      <c r="D287" s="84">
        <f t="shared" si="73"/>
        <v>2.0531250000000001</v>
      </c>
      <c r="E287" s="84">
        <f t="shared" si="73"/>
        <v>1.2220000000000002</v>
      </c>
    </row>
    <row r="288" spans="1:7" x14ac:dyDescent="0.2">
      <c r="A288" t="s">
        <v>82</v>
      </c>
      <c r="B288">
        <f>AVERAGE(D210:D217)</f>
        <v>1</v>
      </c>
      <c r="C288" s="84">
        <f t="shared" ref="C288:E288" si="74">AVERAGE(E210:E217)</f>
        <v>1.7661250000000002</v>
      </c>
      <c r="D288" s="84">
        <f t="shared" si="74"/>
        <v>1.6451250000000002</v>
      </c>
      <c r="E288" s="84">
        <f t="shared" si="74"/>
        <v>0.60324999999999995</v>
      </c>
    </row>
    <row r="289" spans="1:5" x14ac:dyDescent="0.2">
      <c r="A289" t="s">
        <v>83</v>
      </c>
      <c r="B289">
        <f>AVERAGE(D222:D229)</f>
        <v>1</v>
      </c>
      <c r="C289" s="84">
        <f t="shared" ref="C289:E289" si="75">AVERAGE(E222:E229)</f>
        <v>1.5371249999999999</v>
      </c>
      <c r="D289" s="84">
        <f t="shared" si="75"/>
        <v>0.57024999999999992</v>
      </c>
      <c r="E289" s="84">
        <f t="shared" si="75"/>
        <v>0.26600000000000001</v>
      </c>
    </row>
    <row r="290" spans="1:5" x14ac:dyDescent="0.2">
      <c r="A290" t="s">
        <v>84</v>
      </c>
      <c r="B290">
        <f>AVERAGE(D232:D239)</f>
        <v>1</v>
      </c>
      <c r="C290" s="84">
        <f t="shared" ref="C290:E290" si="76">AVERAGE(E232:E239)</f>
        <v>1.380125</v>
      </c>
      <c r="D290" s="84">
        <f t="shared" si="76"/>
        <v>0.57250000000000012</v>
      </c>
      <c r="E290" s="84">
        <f t="shared" si="76"/>
        <v>8.7624999999999981E-2</v>
      </c>
    </row>
    <row r="291" spans="1:5" x14ac:dyDescent="0.2">
      <c r="A291" t="s">
        <v>85</v>
      </c>
      <c r="B291">
        <f>AVERAGE(D242:D249)</f>
        <v>1</v>
      </c>
      <c r="C291" s="84">
        <f t="shared" ref="C291:E291" si="77">AVERAGE(E242:E249)</f>
        <v>1.095375</v>
      </c>
      <c r="D291" s="84">
        <f t="shared" si="77"/>
        <v>0.394625</v>
      </c>
      <c r="E291" s="84">
        <f t="shared" si="77"/>
        <v>8.9374999999999996E-2</v>
      </c>
    </row>
    <row r="292" spans="1:5" x14ac:dyDescent="0.2">
      <c r="A292">
        <v>1</v>
      </c>
      <c r="B292">
        <f>AVERAGE(D252:D259)</f>
        <v>1</v>
      </c>
      <c r="C292" s="84">
        <f t="shared" ref="C292:E292" si="78">AVERAGE(E252:E259)</f>
        <v>1.020375</v>
      </c>
      <c r="D292" s="84">
        <f t="shared" si="78"/>
        <v>0.27312500000000001</v>
      </c>
      <c r="E292" s="84">
        <f t="shared" si="78"/>
        <v>6.2625E-2</v>
      </c>
    </row>
    <row r="293" spans="1:5" x14ac:dyDescent="0.2">
      <c r="A293">
        <v>2</v>
      </c>
      <c r="B293">
        <f>AVERAGE(D262:D269)</f>
        <v>1</v>
      </c>
      <c r="C293" s="84">
        <f t="shared" ref="C293:E293" si="79">AVERAGE(E262:E269)</f>
        <v>0.863375</v>
      </c>
      <c r="D293" s="84">
        <f t="shared" si="79"/>
        <v>0.28162500000000001</v>
      </c>
      <c r="E293" s="84">
        <f t="shared" si="79"/>
        <v>8.4500000000000006E-2</v>
      </c>
    </row>
    <row r="294" spans="1:5" x14ac:dyDescent="0.2">
      <c r="A294">
        <v>5</v>
      </c>
      <c r="B294">
        <f>AVERAGE(D272:D279)</f>
        <v>1</v>
      </c>
      <c r="C294" s="84">
        <f t="shared" ref="C294:E294" si="80">AVERAGE(E272:E279)</f>
        <v>0.81437499999999996</v>
      </c>
      <c r="D294" s="84">
        <f t="shared" si="80"/>
        <v>0.484875</v>
      </c>
      <c r="E294" s="84">
        <f t="shared" si="80"/>
        <v>0.13950000000000001</v>
      </c>
    </row>
    <row r="296" spans="1:5" x14ac:dyDescent="0.2">
      <c r="A296" s="84" t="s">
        <v>56</v>
      </c>
      <c r="B296" s="84" t="s">
        <v>191</v>
      </c>
      <c r="C296" s="84" t="s">
        <v>192</v>
      </c>
      <c r="D296" s="84" t="s">
        <v>193</v>
      </c>
      <c r="E296" s="84" t="s">
        <v>194</v>
      </c>
    </row>
    <row r="297" spans="1:5" x14ac:dyDescent="0.2">
      <c r="A297" s="84">
        <v>0</v>
      </c>
      <c r="B297" s="84">
        <f>_xlfn.STDEV.P(D160:D167)</f>
        <v>0</v>
      </c>
      <c r="C297" s="84">
        <f t="shared" ref="C297:D297" si="81">_xlfn.STDEV.P(E160:E167)</f>
        <v>0.67792362217287883</v>
      </c>
      <c r="D297" s="84">
        <f t="shared" si="81"/>
        <v>3.3783644341604187</v>
      </c>
      <c r="E297" s="84">
        <f>_xlfn.STDEV.P(G160:G167)</f>
        <v>3.9780308806619313</v>
      </c>
    </row>
    <row r="298" spans="1:5" x14ac:dyDescent="0.2">
      <c r="A298" s="84" t="s">
        <v>78</v>
      </c>
      <c r="B298" s="84">
        <f>_xlfn.STDEV.P(D170:D177)</f>
        <v>0</v>
      </c>
      <c r="C298" s="84">
        <f t="shared" ref="C297:E298" si="82">_xlfn.STDEV.P(E170:E177)</f>
        <v>0.34517812430685596</v>
      </c>
      <c r="D298" s="84">
        <f t="shared" si="82"/>
        <v>1.5407795865648708</v>
      </c>
      <c r="E298" s="84">
        <f t="shared" si="82"/>
        <v>2.6166818205506113</v>
      </c>
    </row>
    <row r="299" spans="1:5" x14ac:dyDescent="0.2">
      <c r="A299" s="84" t="s">
        <v>79</v>
      </c>
      <c r="B299" s="84">
        <f>_xlfn.STDEV.P(D180:D187)</f>
        <v>0</v>
      </c>
      <c r="C299" s="84">
        <f t="shared" ref="C299:E299" si="83">_xlfn.STDEV.P(E180:E187)</f>
        <v>0.40428066905925797</v>
      </c>
      <c r="D299" s="84">
        <f t="shared" si="83"/>
        <v>1.1587146704430722</v>
      </c>
      <c r="E299" s="84">
        <f t="shared" si="83"/>
        <v>3.0633799526625811</v>
      </c>
    </row>
    <row r="300" spans="1:5" x14ac:dyDescent="0.2">
      <c r="A300" s="84" t="s">
        <v>80</v>
      </c>
      <c r="B300" s="84">
        <f>_xlfn.STDEV.P(D190:D197)</f>
        <v>0</v>
      </c>
      <c r="C300" s="84">
        <f t="shared" ref="C300:E300" si="84">_xlfn.STDEV.P(E190:E197)</f>
        <v>0.38133710070618543</v>
      </c>
      <c r="D300" s="84">
        <f t="shared" si="84"/>
        <v>0.63789604119715027</v>
      </c>
      <c r="E300" s="84">
        <f t="shared" si="84"/>
        <v>0.8761508146432363</v>
      </c>
    </row>
    <row r="301" spans="1:5" x14ac:dyDescent="0.2">
      <c r="A301" s="84" t="s">
        <v>81</v>
      </c>
      <c r="B301" s="84">
        <f>_xlfn.STDEV.P(D200:D207)</f>
        <v>0</v>
      </c>
      <c r="C301" s="84">
        <f t="shared" ref="C301:E301" si="85">_xlfn.STDEV.P(E200:E207)</f>
        <v>0.30473543853644586</v>
      </c>
      <c r="D301" s="84">
        <f t="shared" si="85"/>
        <v>0.57644415113261371</v>
      </c>
      <c r="E301" s="84">
        <f t="shared" si="85"/>
        <v>0.16907468763833217</v>
      </c>
    </row>
    <row r="302" spans="1:5" x14ac:dyDescent="0.2">
      <c r="A302" s="84" t="s">
        <v>82</v>
      </c>
      <c r="B302" s="84">
        <f>_xlfn.STDEV.P(D210:D217)</f>
        <v>0</v>
      </c>
      <c r="C302" s="84">
        <f t="shared" ref="C302:E302" si="86">_xlfn.STDEV.P(E210:E217)</f>
        <v>0.17279860929706584</v>
      </c>
      <c r="D302" s="84">
        <f t="shared" si="86"/>
        <v>0.33611584219581175</v>
      </c>
      <c r="E302" s="84">
        <f t="shared" si="86"/>
        <v>0.10519119497372453</v>
      </c>
    </row>
    <row r="303" spans="1:5" x14ac:dyDescent="0.2">
      <c r="A303" s="84" t="s">
        <v>83</v>
      </c>
      <c r="B303" s="84">
        <f>_xlfn.STDEV.P(D222:D229)</f>
        <v>0</v>
      </c>
      <c r="C303" s="84">
        <f t="shared" ref="C303:E303" si="87">_xlfn.STDEV.P(E222:E229)</f>
        <v>0.20658862353721341</v>
      </c>
      <c r="D303" s="84">
        <f t="shared" si="87"/>
        <v>0.1921013729779153</v>
      </c>
      <c r="E303" s="84">
        <f t="shared" si="87"/>
        <v>0.16025838511603693</v>
      </c>
    </row>
    <row r="304" spans="1:5" x14ac:dyDescent="0.2">
      <c r="A304" s="84" t="s">
        <v>84</v>
      </c>
      <c r="B304" s="84">
        <f>_xlfn.STDEV.P(D232:D239)</f>
        <v>0</v>
      </c>
      <c r="C304" s="84">
        <f t="shared" ref="C304:E304" si="88">_xlfn.STDEV.P(E232:E239)</f>
        <v>0.36465958012233823</v>
      </c>
      <c r="D304" s="84">
        <f t="shared" si="88"/>
        <v>0.13093318906984533</v>
      </c>
      <c r="E304" s="84">
        <f t="shared" si="88"/>
        <v>4.9190795632923077E-2</v>
      </c>
    </row>
    <row r="305" spans="1:5" x14ac:dyDescent="0.2">
      <c r="A305" s="84" t="s">
        <v>85</v>
      </c>
      <c r="B305" s="84">
        <f>_xlfn.STDEV.P(D242:D249)</f>
        <v>0</v>
      </c>
      <c r="C305" s="84">
        <f t="shared" ref="C305:E305" si="89">_xlfn.STDEV.P(E242:E249)</f>
        <v>0.17850275733164536</v>
      </c>
      <c r="D305" s="84">
        <f t="shared" si="89"/>
        <v>0.15301056948786243</v>
      </c>
      <c r="E305" s="84">
        <f t="shared" si="89"/>
        <v>4.3008538396462632E-2</v>
      </c>
    </row>
    <row r="306" spans="1:5" x14ac:dyDescent="0.2">
      <c r="A306" s="84">
        <v>1</v>
      </c>
      <c r="B306" s="84">
        <f>_xlfn.STDEV.P(D252:D259)</f>
        <v>0</v>
      </c>
      <c r="C306" s="84">
        <f t="shared" ref="C306:E306" si="90">_xlfn.STDEV.P(E252:E259)</f>
        <v>8.8215556309530804E-2</v>
      </c>
      <c r="D306" s="84">
        <f t="shared" si="90"/>
        <v>9.4738373297201972E-2</v>
      </c>
      <c r="E306" s="84">
        <f t="shared" si="90"/>
        <v>1.2648492993238364E-2</v>
      </c>
    </row>
    <row r="307" spans="1:5" x14ac:dyDescent="0.2">
      <c r="A307" s="84">
        <v>2</v>
      </c>
      <c r="B307" s="84">
        <f>_xlfn.STDEV.P(D262:D269)</f>
        <v>0</v>
      </c>
      <c r="C307" s="84">
        <f t="shared" ref="C307:E307" si="91">_xlfn.STDEV.P(E262:E269)</f>
        <v>7.5436956294643837E-2</v>
      </c>
      <c r="D307" s="84">
        <f t="shared" si="91"/>
        <v>9.7293290493229725E-2</v>
      </c>
      <c r="E307" s="84">
        <f t="shared" si="91"/>
        <v>3.67049043044659E-2</v>
      </c>
    </row>
    <row r="308" spans="1:5" x14ac:dyDescent="0.2">
      <c r="A308" s="84">
        <v>5</v>
      </c>
      <c r="B308" s="84">
        <f>_xlfn.STDEV.P(D272:D279)</f>
        <v>0</v>
      </c>
      <c r="C308" s="84">
        <f t="shared" ref="C308:E308" si="92">_xlfn.STDEV.P(E272:E279)</f>
        <v>0.1320406542508783</v>
      </c>
      <c r="D308" s="84">
        <f t="shared" si="92"/>
        <v>0.17798766635640798</v>
      </c>
      <c r="E308" s="84">
        <f t="shared" si="92"/>
        <v>3.0207614933986375E-2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AD9E-7349-4BE7-AD7F-66A960D129DB}">
  <dimension ref="A2:DX308"/>
  <sheetViews>
    <sheetView topLeftCell="B213" zoomScale="55" zoomScaleNormal="55" workbookViewId="0">
      <selection activeCell="AI288" sqref="AI288"/>
    </sheetView>
  </sheetViews>
  <sheetFormatPr baseColWidth="10" defaultRowHeight="12.75" x14ac:dyDescent="0.2"/>
  <sheetData>
    <row r="2" spans="2:128" x14ac:dyDescent="0.2">
      <c r="B2" t="s">
        <v>74</v>
      </c>
    </row>
    <row r="4" spans="2:128" x14ac:dyDescent="0.2">
      <c r="B4" t="s">
        <v>75</v>
      </c>
    </row>
    <row r="5" spans="2:128" x14ac:dyDescent="0.2">
      <c r="C5" t="s">
        <v>52</v>
      </c>
    </row>
    <row r="6" spans="2:128" x14ac:dyDescent="0.2">
      <c r="C6" t="s">
        <v>58</v>
      </c>
    </row>
    <row r="7" spans="2:128" x14ac:dyDescent="0.2">
      <c r="C7" t="s">
        <v>53</v>
      </c>
    </row>
    <row r="8" spans="2:128" x14ac:dyDescent="0.2">
      <c r="B8" t="s">
        <v>59</v>
      </c>
    </row>
    <row r="9" spans="2:128" x14ac:dyDescent="0.2">
      <c r="B9" t="s">
        <v>60</v>
      </c>
    </row>
    <row r="10" spans="2:128" x14ac:dyDescent="0.2">
      <c r="B10" t="s">
        <v>61</v>
      </c>
    </row>
    <row r="12" spans="2:128" x14ac:dyDescent="0.2">
      <c r="B12" t="s">
        <v>116</v>
      </c>
      <c r="C12" s="5" t="s">
        <v>95</v>
      </c>
      <c r="D12" s="6">
        <v>1</v>
      </c>
      <c r="E12" s="6">
        <v>2</v>
      </c>
      <c r="F12" s="6">
        <v>3</v>
      </c>
      <c r="G12" s="6">
        <v>4</v>
      </c>
      <c r="H12" s="6">
        <v>5</v>
      </c>
      <c r="I12" s="6">
        <v>6</v>
      </c>
      <c r="J12" s="6">
        <v>7</v>
      </c>
      <c r="K12" s="6">
        <v>8</v>
      </c>
      <c r="L12" s="6">
        <v>9</v>
      </c>
      <c r="M12" s="6">
        <v>10</v>
      </c>
      <c r="N12" s="6">
        <v>11</v>
      </c>
      <c r="O12" s="6">
        <v>12</v>
      </c>
      <c r="R12" s="5" t="s">
        <v>95</v>
      </c>
      <c r="S12" s="6">
        <v>1</v>
      </c>
      <c r="T12" s="6">
        <v>2</v>
      </c>
      <c r="U12" s="6">
        <v>3</v>
      </c>
      <c r="V12" s="6">
        <v>4</v>
      </c>
      <c r="W12" s="6">
        <v>5</v>
      </c>
      <c r="X12" s="6">
        <v>6</v>
      </c>
      <c r="Y12" s="6">
        <v>7</v>
      </c>
      <c r="Z12" s="6">
        <v>8</v>
      </c>
      <c r="AA12" s="6">
        <v>9</v>
      </c>
      <c r="AB12" s="6">
        <v>10</v>
      </c>
      <c r="AC12" s="6">
        <v>11</v>
      </c>
      <c r="AD12" s="6">
        <v>12</v>
      </c>
      <c r="AH12" t="s">
        <v>117</v>
      </c>
      <c r="AI12" s="5" t="s">
        <v>95</v>
      </c>
      <c r="AJ12" s="6">
        <v>1</v>
      </c>
      <c r="AK12" s="6">
        <v>2</v>
      </c>
      <c r="AL12" s="6">
        <v>3</v>
      </c>
      <c r="AM12" s="6">
        <v>4</v>
      </c>
      <c r="AN12" s="6">
        <v>5</v>
      </c>
      <c r="AO12" s="6">
        <v>6</v>
      </c>
      <c r="AP12" s="6">
        <v>7</v>
      </c>
      <c r="AQ12" s="6">
        <v>8</v>
      </c>
      <c r="AR12" s="6">
        <v>9</v>
      </c>
      <c r="AS12" s="6">
        <v>10</v>
      </c>
      <c r="AT12" s="6">
        <v>11</v>
      </c>
      <c r="AU12" s="6">
        <v>12</v>
      </c>
      <c r="AX12" s="5" t="s">
        <v>95</v>
      </c>
      <c r="AY12" s="6">
        <v>1</v>
      </c>
      <c r="AZ12" s="6">
        <v>2</v>
      </c>
      <c r="BA12" s="6">
        <v>3</v>
      </c>
      <c r="BB12" s="6">
        <v>4</v>
      </c>
      <c r="BC12" s="6">
        <v>5</v>
      </c>
      <c r="BD12" s="6">
        <v>6</v>
      </c>
      <c r="BE12" s="6">
        <v>7</v>
      </c>
      <c r="BF12" s="6">
        <v>8</v>
      </c>
      <c r="BG12" s="6">
        <v>9</v>
      </c>
      <c r="BH12" s="6">
        <v>10</v>
      </c>
      <c r="BI12" s="6">
        <v>11</v>
      </c>
      <c r="BJ12" s="6">
        <v>12</v>
      </c>
      <c r="BN12" s="84" t="s">
        <v>119</v>
      </c>
      <c r="BO12" s="70" t="s">
        <v>121</v>
      </c>
      <c r="BP12" s="71">
        <v>1</v>
      </c>
      <c r="BQ12" s="71">
        <v>2</v>
      </c>
      <c r="BR12" s="71">
        <v>3</v>
      </c>
      <c r="BS12" s="71">
        <v>4</v>
      </c>
      <c r="BT12" s="71">
        <v>5</v>
      </c>
      <c r="BU12" s="71">
        <v>6</v>
      </c>
      <c r="BV12" s="71">
        <v>7</v>
      </c>
      <c r="BW12" s="71">
        <v>8</v>
      </c>
      <c r="BX12" s="71">
        <v>9</v>
      </c>
      <c r="BY12" s="71">
        <v>10</v>
      </c>
      <c r="BZ12" s="71">
        <v>11</v>
      </c>
      <c r="CA12" s="71">
        <v>12</v>
      </c>
      <c r="CB12" s="84"/>
      <c r="CC12" s="84"/>
      <c r="CD12" s="70" t="s">
        <v>121</v>
      </c>
      <c r="CE12" s="71">
        <v>1</v>
      </c>
      <c r="CF12" s="71">
        <v>2</v>
      </c>
      <c r="CG12" s="71">
        <v>3</v>
      </c>
      <c r="CH12" s="71">
        <v>4</v>
      </c>
      <c r="CI12" s="71">
        <v>5</v>
      </c>
      <c r="CJ12" s="71">
        <v>6</v>
      </c>
      <c r="CK12" s="71">
        <v>7</v>
      </c>
      <c r="CL12" s="71">
        <v>8</v>
      </c>
      <c r="CM12" s="71">
        <v>9</v>
      </c>
      <c r="CN12" s="71">
        <v>10</v>
      </c>
      <c r="CO12" s="71">
        <v>11</v>
      </c>
      <c r="CP12" s="71">
        <v>12</v>
      </c>
      <c r="CQ12" s="84"/>
      <c r="CR12" s="84"/>
      <c r="CT12" s="84" t="s">
        <v>196</v>
      </c>
      <c r="CU12" s="70" t="s">
        <v>198</v>
      </c>
      <c r="CV12" s="71">
        <v>1</v>
      </c>
      <c r="CW12" s="71">
        <v>2</v>
      </c>
      <c r="CX12" s="71">
        <v>3</v>
      </c>
      <c r="CY12" s="71">
        <v>4</v>
      </c>
      <c r="CZ12" s="71">
        <v>5</v>
      </c>
      <c r="DA12" s="71">
        <v>6</v>
      </c>
      <c r="DB12" s="71">
        <v>7</v>
      </c>
      <c r="DC12" s="71">
        <v>8</v>
      </c>
      <c r="DD12" s="71">
        <v>9</v>
      </c>
      <c r="DE12" s="71">
        <v>10</v>
      </c>
      <c r="DF12" s="71">
        <v>11</v>
      </c>
      <c r="DG12" s="71">
        <v>12</v>
      </c>
      <c r="DH12" s="84"/>
      <c r="DI12" s="84"/>
      <c r="DJ12" s="70" t="s">
        <v>198</v>
      </c>
      <c r="DK12" s="71">
        <v>1</v>
      </c>
      <c r="DL12" s="71">
        <v>2</v>
      </c>
      <c r="DM12" s="71">
        <v>3</v>
      </c>
      <c r="DN12" s="71">
        <v>4</v>
      </c>
      <c r="DO12" s="71">
        <v>5</v>
      </c>
      <c r="DP12" s="71">
        <v>6</v>
      </c>
      <c r="DQ12" s="71">
        <v>7</v>
      </c>
      <c r="DR12" s="71">
        <v>8</v>
      </c>
      <c r="DS12" s="71">
        <v>9</v>
      </c>
      <c r="DT12" s="71">
        <v>10</v>
      </c>
      <c r="DU12" s="71">
        <v>11</v>
      </c>
      <c r="DV12" s="71">
        <v>12</v>
      </c>
      <c r="DW12" s="84"/>
      <c r="DX12" s="84"/>
    </row>
    <row r="13" spans="2:128" x14ac:dyDescent="0.2">
      <c r="C13" s="6" t="s">
        <v>29</v>
      </c>
      <c r="D13" s="7"/>
      <c r="E13" s="7"/>
      <c r="F13" s="7"/>
      <c r="G13" s="7"/>
      <c r="H13" s="14"/>
      <c r="I13" s="14"/>
      <c r="J13" s="14"/>
      <c r="K13" s="7"/>
      <c r="L13" s="7"/>
      <c r="M13" s="7"/>
      <c r="N13" s="7"/>
      <c r="O13" s="7"/>
      <c r="R13" s="6" t="s">
        <v>29</v>
      </c>
      <c r="S13" s="7"/>
      <c r="T13" s="7"/>
      <c r="U13" s="7"/>
      <c r="V13" s="7"/>
      <c r="W13" s="14"/>
      <c r="X13" s="14"/>
      <c r="Y13" s="14"/>
      <c r="Z13" s="7"/>
      <c r="AA13" s="7"/>
      <c r="AB13" s="7"/>
      <c r="AC13" s="7"/>
      <c r="AD13" s="7"/>
      <c r="AI13" s="6" t="s">
        <v>29</v>
      </c>
      <c r="AJ13" s="7"/>
      <c r="AK13" s="7"/>
      <c r="AL13" s="7"/>
      <c r="AM13" s="7"/>
      <c r="AN13" s="14"/>
      <c r="AO13" s="14"/>
      <c r="AP13" s="14"/>
      <c r="AQ13" s="7"/>
      <c r="AR13" s="7"/>
      <c r="AS13" s="7"/>
      <c r="AT13" s="7"/>
      <c r="AU13" s="7"/>
      <c r="AX13" s="6" t="s">
        <v>29</v>
      </c>
      <c r="AY13" s="7"/>
      <c r="AZ13" s="7"/>
      <c r="BA13" s="7"/>
      <c r="BB13" s="7"/>
      <c r="BC13" s="14"/>
      <c r="BD13" s="14"/>
      <c r="BE13" s="14"/>
      <c r="BF13" s="7"/>
      <c r="BG13" s="7"/>
      <c r="BH13" s="7"/>
      <c r="BI13" s="7"/>
      <c r="BJ13" s="7"/>
      <c r="BN13" s="84"/>
      <c r="BO13" s="71" t="s">
        <v>29</v>
      </c>
      <c r="BP13" s="74"/>
      <c r="BQ13" s="74"/>
      <c r="BR13" s="74"/>
      <c r="BS13" s="74"/>
      <c r="BT13" s="14"/>
      <c r="BU13" s="14"/>
      <c r="BV13" s="14"/>
      <c r="BW13" s="74"/>
      <c r="BX13" s="74"/>
      <c r="BY13" s="74"/>
      <c r="BZ13" s="74"/>
      <c r="CA13" s="74"/>
      <c r="CB13" s="84"/>
      <c r="CC13" s="84"/>
      <c r="CD13" s="71" t="s">
        <v>29</v>
      </c>
      <c r="CE13" s="74"/>
      <c r="CF13" s="74"/>
      <c r="CG13" s="74"/>
      <c r="CH13" s="74"/>
      <c r="CI13" s="14"/>
      <c r="CJ13" s="14"/>
      <c r="CK13" s="14"/>
      <c r="CL13" s="74"/>
      <c r="CM13" s="74"/>
      <c r="CN13" s="74"/>
      <c r="CO13" s="74"/>
      <c r="CP13" s="74"/>
      <c r="CQ13" s="84"/>
      <c r="CR13" s="84"/>
      <c r="CT13" s="84"/>
      <c r="CU13" s="71" t="s">
        <v>29</v>
      </c>
      <c r="CV13" s="74"/>
      <c r="CW13" s="74"/>
      <c r="CX13" s="74"/>
      <c r="CY13" s="74"/>
      <c r="CZ13" s="14"/>
      <c r="DA13" s="14"/>
      <c r="DB13" s="14"/>
      <c r="DC13" s="74"/>
      <c r="DD13" s="74"/>
      <c r="DE13" s="74"/>
      <c r="DF13" s="74"/>
      <c r="DG13" s="74"/>
      <c r="DH13" s="84"/>
      <c r="DI13" s="84"/>
      <c r="DJ13" s="71" t="s">
        <v>29</v>
      </c>
      <c r="DK13" s="74"/>
      <c r="DL13" s="74"/>
      <c r="DM13" s="74"/>
      <c r="DN13" s="74"/>
      <c r="DO13" s="14"/>
      <c r="DP13" s="14"/>
      <c r="DQ13" s="14"/>
      <c r="DR13" s="74"/>
      <c r="DS13" s="74"/>
      <c r="DT13" s="74"/>
      <c r="DU13" s="74"/>
      <c r="DV13" s="74"/>
      <c r="DW13" s="84"/>
      <c r="DX13" s="84"/>
    </row>
    <row r="14" spans="2:128" x14ac:dyDescent="0.2">
      <c r="C14" s="6" t="s">
        <v>33</v>
      </c>
      <c r="D14" s="7"/>
      <c r="E14" s="7" t="s">
        <v>77</v>
      </c>
      <c r="F14" s="7" t="s">
        <v>64</v>
      </c>
      <c r="G14" s="7">
        <v>0</v>
      </c>
      <c r="H14" s="7">
        <v>0</v>
      </c>
      <c r="I14" s="14">
        <v>0</v>
      </c>
      <c r="J14" s="14">
        <v>0</v>
      </c>
      <c r="K14" s="14">
        <v>0</v>
      </c>
      <c r="L14" s="7">
        <v>0</v>
      </c>
      <c r="M14" s="7">
        <v>0</v>
      </c>
      <c r="N14" s="7">
        <v>0</v>
      </c>
      <c r="O14" s="7"/>
      <c r="R14" s="6" t="s">
        <v>33</v>
      </c>
      <c r="S14" s="7"/>
      <c r="T14" s="7" t="s">
        <v>77</v>
      </c>
      <c r="U14" s="7" t="s">
        <v>64</v>
      </c>
      <c r="V14" s="7" t="s">
        <v>83</v>
      </c>
      <c r="W14" s="7" t="s">
        <v>83</v>
      </c>
      <c r="X14" s="7" t="s">
        <v>83</v>
      </c>
      <c r="Y14" s="7" t="s">
        <v>83</v>
      </c>
      <c r="Z14" s="7" t="s">
        <v>83</v>
      </c>
      <c r="AA14" s="7" t="s">
        <v>83</v>
      </c>
      <c r="AB14" s="7" t="s">
        <v>83</v>
      </c>
      <c r="AC14" s="7" t="s">
        <v>83</v>
      </c>
      <c r="AD14" s="7"/>
      <c r="AI14" s="6" t="s">
        <v>33</v>
      </c>
      <c r="AJ14" s="7"/>
      <c r="AK14" s="7" t="s">
        <v>77</v>
      </c>
      <c r="AL14" s="7" t="s">
        <v>64</v>
      </c>
      <c r="AM14" s="7">
        <v>0</v>
      </c>
      <c r="AN14" s="7">
        <v>0</v>
      </c>
      <c r="AO14" s="14">
        <v>0</v>
      </c>
      <c r="AP14" s="14">
        <v>0</v>
      </c>
      <c r="AQ14" s="14">
        <v>0</v>
      </c>
      <c r="AR14" s="7">
        <v>0</v>
      </c>
      <c r="AS14" s="7">
        <v>0</v>
      </c>
      <c r="AT14" s="7">
        <v>0</v>
      </c>
      <c r="AU14" s="7"/>
      <c r="AX14" s="6" t="s">
        <v>33</v>
      </c>
      <c r="AY14" s="7"/>
      <c r="AZ14" s="7" t="s">
        <v>77</v>
      </c>
      <c r="BA14" s="7" t="s">
        <v>64</v>
      </c>
      <c r="BB14" s="7" t="s">
        <v>83</v>
      </c>
      <c r="BC14" s="7" t="s">
        <v>83</v>
      </c>
      <c r="BD14" s="7" t="s">
        <v>83</v>
      </c>
      <c r="BE14" s="7" t="s">
        <v>83</v>
      </c>
      <c r="BF14" s="7" t="s">
        <v>83</v>
      </c>
      <c r="BG14" s="7" t="s">
        <v>83</v>
      </c>
      <c r="BH14" s="7" t="s">
        <v>83</v>
      </c>
      <c r="BI14" s="7" t="s">
        <v>83</v>
      </c>
      <c r="BJ14" s="7"/>
      <c r="BN14" s="84"/>
      <c r="BO14" s="71" t="s">
        <v>33</v>
      </c>
      <c r="BP14" s="74"/>
      <c r="BQ14" s="74" t="s">
        <v>77</v>
      </c>
      <c r="BR14" s="74" t="s">
        <v>64</v>
      </c>
      <c r="BS14" s="74">
        <v>0</v>
      </c>
      <c r="BT14" s="74">
        <v>0</v>
      </c>
      <c r="BU14" s="14">
        <v>0</v>
      </c>
      <c r="BV14" s="14">
        <v>0</v>
      </c>
      <c r="BW14" s="14">
        <v>0</v>
      </c>
      <c r="BX14" s="74">
        <v>0</v>
      </c>
      <c r="BY14" s="74">
        <v>0</v>
      </c>
      <c r="BZ14" s="74">
        <v>0</v>
      </c>
      <c r="CA14" s="74"/>
      <c r="CB14" s="84"/>
      <c r="CC14" s="84"/>
      <c r="CD14" s="71" t="s">
        <v>33</v>
      </c>
      <c r="CE14" s="74"/>
      <c r="CF14" s="74" t="s">
        <v>77</v>
      </c>
      <c r="CG14" s="74" t="s">
        <v>64</v>
      </c>
      <c r="CH14" s="74" t="s">
        <v>83</v>
      </c>
      <c r="CI14" s="74" t="s">
        <v>83</v>
      </c>
      <c r="CJ14" s="74" t="s">
        <v>83</v>
      </c>
      <c r="CK14" s="74" t="s">
        <v>83</v>
      </c>
      <c r="CL14" s="74" t="s">
        <v>83</v>
      </c>
      <c r="CM14" s="74" t="s">
        <v>83</v>
      </c>
      <c r="CN14" s="74" t="s">
        <v>83</v>
      </c>
      <c r="CO14" s="74" t="s">
        <v>83</v>
      </c>
      <c r="CP14" s="74"/>
      <c r="CQ14" s="84"/>
      <c r="CR14" s="84"/>
      <c r="CT14" s="84"/>
      <c r="CU14" s="71" t="s">
        <v>33</v>
      </c>
      <c r="CV14" s="74"/>
      <c r="CW14" s="74" t="s">
        <v>77</v>
      </c>
      <c r="CX14" s="74" t="s">
        <v>64</v>
      </c>
      <c r="CY14" s="74">
        <v>0</v>
      </c>
      <c r="CZ14" s="74">
        <v>0</v>
      </c>
      <c r="DA14" s="14">
        <v>0</v>
      </c>
      <c r="DB14" s="14">
        <v>0</v>
      </c>
      <c r="DC14" s="14">
        <v>0</v>
      </c>
      <c r="DD14" s="74">
        <v>0</v>
      </c>
      <c r="DE14" s="74">
        <v>0</v>
      </c>
      <c r="DF14" s="74">
        <v>0</v>
      </c>
      <c r="DG14" s="74"/>
      <c r="DH14" s="84"/>
      <c r="DI14" s="84"/>
      <c r="DJ14" s="71" t="s">
        <v>33</v>
      </c>
      <c r="DK14" s="74"/>
      <c r="DL14" s="74" t="s">
        <v>77</v>
      </c>
      <c r="DM14" s="74" t="s">
        <v>64</v>
      </c>
      <c r="DN14" s="74" t="s">
        <v>83</v>
      </c>
      <c r="DO14" s="74" t="s">
        <v>83</v>
      </c>
      <c r="DP14" s="74" t="s">
        <v>83</v>
      </c>
      <c r="DQ14" s="74" t="s">
        <v>83</v>
      </c>
      <c r="DR14" s="74" t="s">
        <v>83</v>
      </c>
      <c r="DS14" s="74" t="s">
        <v>83</v>
      </c>
      <c r="DT14" s="74" t="s">
        <v>83</v>
      </c>
      <c r="DU14" s="74" t="s">
        <v>83</v>
      </c>
      <c r="DV14" s="74"/>
      <c r="DW14" s="84"/>
      <c r="DX14" s="84"/>
    </row>
    <row r="15" spans="2:128" x14ac:dyDescent="0.2">
      <c r="C15" s="6" t="s">
        <v>36</v>
      </c>
      <c r="D15" s="7"/>
      <c r="E15" s="7" t="s">
        <v>77</v>
      </c>
      <c r="F15" s="7" t="s">
        <v>64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/>
      <c r="R15" s="6" t="s">
        <v>36</v>
      </c>
      <c r="S15" s="7"/>
      <c r="T15" s="7" t="s">
        <v>77</v>
      </c>
      <c r="U15" s="7" t="s">
        <v>64</v>
      </c>
      <c r="V15" s="7" t="s">
        <v>84</v>
      </c>
      <c r="W15" s="7" t="s">
        <v>84</v>
      </c>
      <c r="X15" s="7" t="s">
        <v>84</v>
      </c>
      <c r="Y15" s="7" t="s">
        <v>84</v>
      </c>
      <c r="Z15" s="7" t="s">
        <v>84</v>
      </c>
      <c r="AA15" s="7" t="s">
        <v>84</v>
      </c>
      <c r="AB15" s="7" t="s">
        <v>84</v>
      </c>
      <c r="AC15" s="7" t="s">
        <v>84</v>
      </c>
      <c r="AD15" s="7"/>
      <c r="AI15" s="6" t="s">
        <v>36</v>
      </c>
      <c r="AJ15" s="7"/>
      <c r="AK15" s="7" t="s">
        <v>77</v>
      </c>
      <c r="AL15" s="7" t="s">
        <v>64</v>
      </c>
      <c r="AM15" s="7" t="s">
        <v>78</v>
      </c>
      <c r="AN15" s="7" t="s">
        <v>78</v>
      </c>
      <c r="AO15" s="7" t="s">
        <v>78</v>
      </c>
      <c r="AP15" s="7" t="s">
        <v>78</v>
      </c>
      <c r="AQ15" s="7" t="s">
        <v>78</v>
      </c>
      <c r="AR15" s="7" t="s">
        <v>78</v>
      </c>
      <c r="AS15" s="7" t="s">
        <v>78</v>
      </c>
      <c r="AT15" s="7" t="s">
        <v>78</v>
      </c>
      <c r="AU15" s="7"/>
      <c r="AX15" s="6" t="s">
        <v>36</v>
      </c>
      <c r="AY15" s="7"/>
      <c r="AZ15" s="7" t="s">
        <v>77</v>
      </c>
      <c r="BA15" s="7" t="s">
        <v>64</v>
      </c>
      <c r="BB15" s="7" t="s">
        <v>84</v>
      </c>
      <c r="BC15" s="7" t="s">
        <v>84</v>
      </c>
      <c r="BD15" s="7" t="s">
        <v>84</v>
      </c>
      <c r="BE15" s="7" t="s">
        <v>84</v>
      </c>
      <c r="BF15" s="7" t="s">
        <v>84</v>
      </c>
      <c r="BG15" s="7" t="s">
        <v>84</v>
      </c>
      <c r="BH15" s="7" t="s">
        <v>84</v>
      </c>
      <c r="BI15" s="7" t="s">
        <v>84</v>
      </c>
      <c r="BJ15" s="7"/>
      <c r="BN15" s="84"/>
      <c r="BO15" s="71" t="s">
        <v>36</v>
      </c>
      <c r="BP15" s="74"/>
      <c r="BQ15" s="74" t="s">
        <v>77</v>
      </c>
      <c r="BR15" s="74" t="s">
        <v>64</v>
      </c>
      <c r="BS15" s="74" t="s">
        <v>78</v>
      </c>
      <c r="BT15" s="74" t="s">
        <v>78</v>
      </c>
      <c r="BU15" s="74" t="s">
        <v>78</v>
      </c>
      <c r="BV15" s="74" t="s">
        <v>78</v>
      </c>
      <c r="BW15" s="74" t="s">
        <v>78</v>
      </c>
      <c r="BX15" s="74" t="s">
        <v>78</v>
      </c>
      <c r="BY15" s="74" t="s">
        <v>78</v>
      </c>
      <c r="BZ15" s="74" t="s">
        <v>78</v>
      </c>
      <c r="CA15" s="74"/>
      <c r="CB15" s="84"/>
      <c r="CC15" s="84"/>
      <c r="CD15" s="71" t="s">
        <v>36</v>
      </c>
      <c r="CE15" s="74"/>
      <c r="CF15" s="74" t="s">
        <v>77</v>
      </c>
      <c r="CG15" s="74" t="s">
        <v>64</v>
      </c>
      <c r="CH15" s="74" t="s">
        <v>84</v>
      </c>
      <c r="CI15" s="74" t="s">
        <v>84</v>
      </c>
      <c r="CJ15" s="74" t="s">
        <v>84</v>
      </c>
      <c r="CK15" s="74" t="s">
        <v>84</v>
      </c>
      <c r="CL15" s="74" t="s">
        <v>84</v>
      </c>
      <c r="CM15" s="74" t="s">
        <v>84</v>
      </c>
      <c r="CN15" s="74" t="s">
        <v>84</v>
      </c>
      <c r="CO15" s="74" t="s">
        <v>84</v>
      </c>
      <c r="CP15" s="74"/>
      <c r="CQ15" s="84"/>
      <c r="CR15" s="84"/>
      <c r="CT15" s="84"/>
      <c r="CU15" s="71" t="s">
        <v>36</v>
      </c>
      <c r="CV15" s="74"/>
      <c r="CW15" s="74" t="s">
        <v>77</v>
      </c>
      <c r="CX15" s="74" t="s">
        <v>64</v>
      </c>
      <c r="CY15" s="74" t="s">
        <v>78</v>
      </c>
      <c r="CZ15" s="74" t="s">
        <v>78</v>
      </c>
      <c r="DA15" s="74" t="s">
        <v>78</v>
      </c>
      <c r="DB15" s="74" t="s">
        <v>78</v>
      </c>
      <c r="DC15" s="74" t="s">
        <v>78</v>
      </c>
      <c r="DD15" s="74" t="s">
        <v>78</v>
      </c>
      <c r="DE15" s="74" t="s">
        <v>78</v>
      </c>
      <c r="DF15" s="74" t="s">
        <v>78</v>
      </c>
      <c r="DG15" s="74"/>
      <c r="DH15" s="84"/>
      <c r="DI15" s="84"/>
      <c r="DJ15" s="71" t="s">
        <v>36</v>
      </c>
      <c r="DK15" s="74"/>
      <c r="DL15" s="74" t="s">
        <v>77</v>
      </c>
      <c r="DM15" s="74" t="s">
        <v>64</v>
      </c>
      <c r="DN15" s="74" t="s">
        <v>84</v>
      </c>
      <c r="DO15" s="74" t="s">
        <v>84</v>
      </c>
      <c r="DP15" s="74" t="s">
        <v>84</v>
      </c>
      <c r="DQ15" s="74" t="s">
        <v>84</v>
      </c>
      <c r="DR15" s="74" t="s">
        <v>84</v>
      </c>
      <c r="DS15" s="74" t="s">
        <v>84</v>
      </c>
      <c r="DT15" s="74" t="s">
        <v>84</v>
      </c>
      <c r="DU15" s="74" t="s">
        <v>84</v>
      </c>
      <c r="DV15" s="74"/>
      <c r="DW15" s="84"/>
      <c r="DX15" s="84"/>
    </row>
    <row r="16" spans="2:128" x14ac:dyDescent="0.2">
      <c r="C16" s="6" t="s">
        <v>39</v>
      </c>
      <c r="D16" s="7"/>
      <c r="E16" s="7" t="s">
        <v>77</v>
      </c>
      <c r="F16" s="7" t="s">
        <v>64</v>
      </c>
      <c r="G16" s="7" t="s">
        <v>79</v>
      </c>
      <c r="H16" s="7" t="s">
        <v>79</v>
      </c>
      <c r="I16" s="7" t="s">
        <v>79</v>
      </c>
      <c r="J16" s="7" t="s">
        <v>79</v>
      </c>
      <c r="K16" s="7" t="s">
        <v>79</v>
      </c>
      <c r="L16" s="7" t="s">
        <v>79</v>
      </c>
      <c r="M16" s="7" t="s">
        <v>79</v>
      </c>
      <c r="N16" s="7" t="s">
        <v>79</v>
      </c>
      <c r="O16" s="7"/>
      <c r="R16" s="6" t="s">
        <v>39</v>
      </c>
      <c r="S16" s="7"/>
      <c r="T16" s="7" t="s">
        <v>77</v>
      </c>
      <c r="U16" s="7" t="s">
        <v>64</v>
      </c>
      <c r="V16" s="7" t="s">
        <v>85</v>
      </c>
      <c r="W16" s="7" t="s">
        <v>85</v>
      </c>
      <c r="X16" s="7" t="s">
        <v>85</v>
      </c>
      <c r="Y16" s="7" t="s">
        <v>85</v>
      </c>
      <c r="Z16" s="7" t="s">
        <v>85</v>
      </c>
      <c r="AA16" s="7" t="s">
        <v>85</v>
      </c>
      <c r="AB16" s="7" t="s">
        <v>85</v>
      </c>
      <c r="AC16" s="7" t="s">
        <v>85</v>
      </c>
      <c r="AD16" s="7"/>
      <c r="AI16" s="6" t="s">
        <v>39</v>
      </c>
      <c r="AJ16" s="7"/>
      <c r="AK16" s="7" t="s">
        <v>77</v>
      </c>
      <c r="AL16" s="7" t="s">
        <v>64</v>
      </c>
      <c r="AM16" s="7" t="s">
        <v>79</v>
      </c>
      <c r="AN16" s="7" t="s">
        <v>79</v>
      </c>
      <c r="AO16" s="7" t="s">
        <v>79</v>
      </c>
      <c r="AP16" s="7" t="s">
        <v>79</v>
      </c>
      <c r="AQ16" s="7" t="s">
        <v>79</v>
      </c>
      <c r="AR16" s="7" t="s">
        <v>79</v>
      </c>
      <c r="AS16" s="7" t="s">
        <v>79</v>
      </c>
      <c r="AT16" s="7" t="s">
        <v>79</v>
      </c>
      <c r="AU16" s="7"/>
      <c r="AX16" s="6" t="s">
        <v>39</v>
      </c>
      <c r="AY16" s="7"/>
      <c r="AZ16" s="7" t="s">
        <v>77</v>
      </c>
      <c r="BA16" s="7" t="s">
        <v>64</v>
      </c>
      <c r="BB16" s="7" t="s">
        <v>85</v>
      </c>
      <c r="BC16" s="7" t="s">
        <v>85</v>
      </c>
      <c r="BD16" s="7" t="s">
        <v>85</v>
      </c>
      <c r="BE16" s="7" t="s">
        <v>85</v>
      </c>
      <c r="BF16" s="7" t="s">
        <v>85</v>
      </c>
      <c r="BG16" s="7" t="s">
        <v>85</v>
      </c>
      <c r="BH16" s="7" t="s">
        <v>85</v>
      </c>
      <c r="BI16" s="7" t="s">
        <v>85</v>
      </c>
      <c r="BJ16" s="7"/>
      <c r="BN16" s="84"/>
      <c r="BO16" s="71" t="s">
        <v>39</v>
      </c>
      <c r="BP16" s="74"/>
      <c r="BQ16" s="74" t="s">
        <v>77</v>
      </c>
      <c r="BR16" s="74" t="s">
        <v>64</v>
      </c>
      <c r="BS16" s="74" t="s">
        <v>79</v>
      </c>
      <c r="BT16" s="74" t="s">
        <v>79</v>
      </c>
      <c r="BU16" s="74" t="s">
        <v>79</v>
      </c>
      <c r="BV16" s="74" t="s">
        <v>79</v>
      </c>
      <c r="BW16" s="74" t="s">
        <v>79</v>
      </c>
      <c r="BX16" s="74" t="s">
        <v>79</v>
      </c>
      <c r="BY16" s="74" t="s">
        <v>79</v>
      </c>
      <c r="BZ16" s="74" t="s">
        <v>79</v>
      </c>
      <c r="CA16" s="74"/>
      <c r="CB16" s="84"/>
      <c r="CC16" s="84"/>
      <c r="CD16" s="71" t="s">
        <v>39</v>
      </c>
      <c r="CE16" s="74"/>
      <c r="CF16" s="74" t="s">
        <v>77</v>
      </c>
      <c r="CG16" s="74" t="s">
        <v>64</v>
      </c>
      <c r="CH16" s="74" t="s">
        <v>85</v>
      </c>
      <c r="CI16" s="74" t="s">
        <v>85</v>
      </c>
      <c r="CJ16" s="74" t="s">
        <v>85</v>
      </c>
      <c r="CK16" s="74" t="s">
        <v>85</v>
      </c>
      <c r="CL16" s="74" t="s">
        <v>85</v>
      </c>
      <c r="CM16" s="74" t="s">
        <v>85</v>
      </c>
      <c r="CN16" s="74" t="s">
        <v>85</v>
      </c>
      <c r="CO16" s="74" t="s">
        <v>85</v>
      </c>
      <c r="CP16" s="74"/>
      <c r="CQ16" s="84"/>
      <c r="CR16" s="84"/>
      <c r="CT16" s="84"/>
      <c r="CU16" s="71" t="s">
        <v>39</v>
      </c>
      <c r="CV16" s="74"/>
      <c r="CW16" s="74" t="s">
        <v>77</v>
      </c>
      <c r="CX16" s="74" t="s">
        <v>64</v>
      </c>
      <c r="CY16" s="74" t="s">
        <v>79</v>
      </c>
      <c r="CZ16" s="74" t="s">
        <v>79</v>
      </c>
      <c r="DA16" s="74" t="s">
        <v>79</v>
      </c>
      <c r="DB16" s="74" t="s">
        <v>79</v>
      </c>
      <c r="DC16" s="74" t="s">
        <v>79</v>
      </c>
      <c r="DD16" s="74" t="s">
        <v>79</v>
      </c>
      <c r="DE16" s="74" t="s">
        <v>79</v>
      </c>
      <c r="DF16" s="74" t="s">
        <v>79</v>
      </c>
      <c r="DG16" s="74"/>
      <c r="DH16" s="84"/>
      <c r="DI16" s="84"/>
      <c r="DJ16" s="71" t="s">
        <v>39</v>
      </c>
      <c r="DK16" s="74"/>
      <c r="DL16" s="74" t="s">
        <v>77</v>
      </c>
      <c r="DM16" s="74" t="s">
        <v>64</v>
      </c>
      <c r="DN16" s="74" t="s">
        <v>85</v>
      </c>
      <c r="DO16" s="74" t="s">
        <v>85</v>
      </c>
      <c r="DP16" s="74" t="s">
        <v>85</v>
      </c>
      <c r="DQ16" s="74" t="s">
        <v>85</v>
      </c>
      <c r="DR16" s="74" t="s">
        <v>85</v>
      </c>
      <c r="DS16" s="74" t="s">
        <v>85</v>
      </c>
      <c r="DT16" s="74" t="s">
        <v>85</v>
      </c>
      <c r="DU16" s="74" t="s">
        <v>85</v>
      </c>
      <c r="DV16" s="74"/>
      <c r="DW16" s="84"/>
      <c r="DX16" s="84"/>
    </row>
    <row r="17" spans="2:128" x14ac:dyDescent="0.2">
      <c r="C17" s="6" t="s">
        <v>42</v>
      </c>
      <c r="D17" s="7"/>
      <c r="E17" s="7" t="s">
        <v>77</v>
      </c>
      <c r="F17" s="7" t="s">
        <v>64</v>
      </c>
      <c r="G17" s="7" t="s">
        <v>80</v>
      </c>
      <c r="H17" s="7" t="s">
        <v>80</v>
      </c>
      <c r="I17" s="7" t="s">
        <v>80</v>
      </c>
      <c r="J17" s="7" t="s">
        <v>80</v>
      </c>
      <c r="K17" s="7" t="s">
        <v>80</v>
      </c>
      <c r="L17" s="7" t="s">
        <v>80</v>
      </c>
      <c r="M17" s="7" t="s">
        <v>80</v>
      </c>
      <c r="N17" s="7" t="s">
        <v>80</v>
      </c>
      <c r="O17" s="7"/>
      <c r="R17" s="6" t="s">
        <v>42</v>
      </c>
      <c r="S17" s="7"/>
      <c r="T17" s="7" t="s">
        <v>77</v>
      </c>
      <c r="U17" s="7" t="s">
        <v>64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/>
      <c r="AI17" s="6" t="s">
        <v>42</v>
      </c>
      <c r="AJ17" s="7"/>
      <c r="AK17" s="7" t="s">
        <v>77</v>
      </c>
      <c r="AL17" s="7" t="s">
        <v>64</v>
      </c>
      <c r="AM17" s="7" t="s">
        <v>80</v>
      </c>
      <c r="AN17" s="7" t="s">
        <v>80</v>
      </c>
      <c r="AO17" s="7" t="s">
        <v>80</v>
      </c>
      <c r="AP17" s="7" t="s">
        <v>80</v>
      </c>
      <c r="AQ17" s="7" t="s">
        <v>80</v>
      </c>
      <c r="AR17" s="7" t="s">
        <v>80</v>
      </c>
      <c r="AS17" s="7" t="s">
        <v>80</v>
      </c>
      <c r="AT17" s="7" t="s">
        <v>80</v>
      </c>
      <c r="AU17" s="7"/>
      <c r="AX17" s="6" t="s">
        <v>42</v>
      </c>
      <c r="AY17" s="7"/>
      <c r="AZ17" s="7" t="s">
        <v>77</v>
      </c>
      <c r="BA17" s="7" t="s">
        <v>64</v>
      </c>
      <c r="BB17" s="7">
        <v>1</v>
      </c>
      <c r="BC17" s="7">
        <v>1</v>
      </c>
      <c r="BD17" s="7">
        <v>1</v>
      </c>
      <c r="BE17" s="7">
        <v>1</v>
      </c>
      <c r="BF17" s="7">
        <v>1</v>
      </c>
      <c r="BG17" s="7">
        <v>1</v>
      </c>
      <c r="BH17" s="7">
        <v>1</v>
      </c>
      <c r="BI17" s="7">
        <v>1</v>
      </c>
      <c r="BJ17" s="7"/>
      <c r="BN17" s="84"/>
      <c r="BO17" s="71" t="s">
        <v>42</v>
      </c>
      <c r="BP17" s="74"/>
      <c r="BQ17" s="74" t="s">
        <v>77</v>
      </c>
      <c r="BR17" s="74" t="s">
        <v>64</v>
      </c>
      <c r="BS17" s="74" t="s">
        <v>80</v>
      </c>
      <c r="BT17" s="74" t="s">
        <v>80</v>
      </c>
      <c r="BU17" s="74" t="s">
        <v>80</v>
      </c>
      <c r="BV17" s="74" t="s">
        <v>80</v>
      </c>
      <c r="BW17" s="74" t="s">
        <v>80</v>
      </c>
      <c r="BX17" s="74" t="s">
        <v>80</v>
      </c>
      <c r="BY17" s="74" t="s">
        <v>80</v>
      </c>
      <c r="BZ17" s="74" t="s">
        <v>80</v>
      </c>
      <c r="CA17" s="74"/>
      <c r="CB17" s="84"/>
      <c r="CC17" s="84"/>
      <c r="CD17" s="71" t="s">
        <v>42</v>
      </c>
      <c r="CE17" s="74"/>
      <c r="CF17" s="74" t="s">
        <v>77</v>
      </c>
      <c r="CG17" s="74" t="s">
        <v>64</v>
      </c>
      <c r="CH17" s="74">
        <v>1</v>
      </c>
      <c r="CI17" s="74">
        <v>1</v>
      </c>
      <c r="CJ17" s="74">
        <v>1</v>
      </c>
      <c r="CK17" s="74">
        <v>1</v>
      </c>
      <c r="CL17" s="74">
        <v>1</v>
      </c>
      <c r="CM17" s="74">
        <v>1</v>
      </c>
      <c r="CN17" s="74">
        <v>1</v>
      </c>
      <c r="CO17" s="74">
        <v>1</v>
      </c>
      <c r="CP17" s="74"/>
      <c r="CQ17" s="84"/>
      <c r="CR17" s="84"/>
      <c r="CT17" s="84"/>
      <c r="CU17" s="71" t="s">
        <v>42</v>
      </c>
      <c r="CV17" s="74"/>
      <c r="CW17" s="74" t="s">
        <v>77</v>
      </c>
      <c r="CX17" s="74" t="s">
        <v>64</v>
      </c>
      <c r="CY17" s="74" t="s">
        <v>80</v>
      </c>
      <c r="CZ17" s="74" t="s">
        <v>80</v>
      </c>
      <c r="DA17" s="74" t="s">
        <v>80</v>
      </c>
      <c r="DB17" s="74" t="s">
        <v>80</v>
      </c>
      <c r="DC17" s="74" t="s">
        <v>80</v>
      </c>
      <c r="DD17" s="74" t="s">
        <v>80</v>
      </c>
      <c r="DE17" s="74" t="s">
        <v>80</v>
      </c>
      <c r="DF17" s="74" t="s">
        <v>80</v>
      </c>
      <c r="DG17" s="74"/>
      <c r="DH17" s="84"/>
      <c r="DI17" s="84"/>
      <c r="DJ17" s="71" t="s">
        <v>42</v>
      </c>
      <c r="DK17" s="74"/>
      <c r="DL17" s="74" t="s">
        <v>77</v>
      </c>
      <c r="DM17" s="74" t="s">
        <v>64</v>
      </c>
      <c r="DN17" s="74">
        <v>1</v>
      </c>
      <c r="DO17" s="74">
        <v>1</v>
      </c>
      <c r="DP17" s="74">
        <v>1</v>
      </c>
      <c r="DQ17" s="74">
        <v>1</v>
      </c>
      <c r="DR17" s="74">
        <v>1</v>
      </c>
      <c r="DS17" s="74">
        <v>1</v>
      </c>
      <c r="DT17" s="74">
        <v>1</v>
      </c>
      <c r="DU17" s="74">
        <v>1</v>
      </c>
      <c r="DV17" s="74"/>
      <c r="DW17" s="84"/>
      <c r="DX17" s="84"/>
    </row>
    <row r="18" spans="2:128" x14ac:dyDescent="0.2">
      <c r="C18" s="6" t="s">
        <v>43</v>
      </c>
      <c r="D18" s="7"/>
      <c r="E18" s="7" t="s">
        <v>77</v>
      </c>
      <c r="F18" s="7" t="s">
        <v>64</v>
      </c>
      <c r="G18" s="7" t="s">
        <v>81</v>
      </c>
      <c r="H18" s="7" t="s">
        <v>81</v>
      </c>
      <c r="I18" s="7" t="s">
        <v>81</v>
      </c>
      <c r="J18" s="7" t="s">
        <v>81</v>
      </c>
      <c r="K18" s="7" t="s">
        <v>81</v>
      </c>
      <c r="L18" s="7" t="s">
        <v>81</v>
      </c>
      <c r="M18" s="7" t="s">
        <v>81</v>
      </c>
      <c r="N18" s="7" t="s">
        <v>81</v>
      </c>
      <c r="O18" s="7"/>
      <c r="R18" s="6" t="s">
        <v>43</v>
      </c>
      <c r="S18" s="7"/>
      <c r="T18" s="7" t="s">
        <v>77</v>
      </c>
      <c r="U18" s="7" t="s">
        <v>64</v>
      </c>
      <c r="V18" s="7">
        <v>2</v>
      </c>
      <c r="W18" s="7">
        <v>2</v>
      </c>
      <c r="X18" s="7">
        <v>2</v>
      </c>
      <c r="Y18" s="7">
        <v>2</v>
      </c>
      <c r="Z18" s="7">
        <v>2</v>
      </c>
      <c r="AA18" s="7">
        <v>2</v>
      </c>
      <c r="AB18" s="7">
        <v>2</v>
      </c>
      <c r="AC18" s="7">
        <v>2</v>
      </c>
      <c r="AD18" s="7"/>
      <c r="AI18" s="6" t="s">
        <v>43</v>
      </c>
      <c r="AJ18" s="7"/>
      <c r="AK18" s="7" t="s">
        <v>77</v>
      </c>
      <c r="AL18" s="7" t="s">
        <v>64</v>
      </c>
      <c r="AM18" s="7" t="s">
        <v>81</v>
      </c>
      <c r="AN18" s="7" t="s">
        <v>81</v>
      </c>
      <c r="AO18" s="7" t="s">
        <v>81</v>
      </c>
      <c r="AP18" s="7" t="s">
        <v>81</v>
      </c>
      <c r="AQ18" s="7" t="s">
        <v>81</v>
      </c>
      <c r="AR18" s="7" t="s">
        <v>81</v>
      </c>
      <c r="AS18" s="7" t="s">
        <v>81</v>
      </c>
      <c r="AT18" s="7" t="s">
        <v>81</v>
      </c>
      <c r="AU18" s="7"/>
      <c r="AX18" s="6" t="s">
        <v>43</v>
      </c>
      <c r="AY18" s="7"/>
      <c r="AZ18" s="7" t="s">
        <v>77</v>
      </c>
      <c r="BA18" s="7" t="s">
        <v>64</v>
      </c>
      <c r="BB18" s="7">
        <v>2</v>
      </c>
      <c r="BC18" s="7">
        <v>2</v>
      </c>
      <c r="BD18" s="7">
        <v>2</v>
      </c>
      <c r="BE18" s="7">
        <v>2</v>
      </c>
      <c r="BF18" s="7">
        <v>2</v>
      </c>
      <c r="BG18" s="7">
        <v>2</v>
      </c>
      <c r="BH18" s="7">
        <v>2</v>
      </c>
      <c r="BI18" s="7">
        <v>2</v>
      </c>
      <c r="BJ18" s="7"/>
      <c r="BN18" s="84"/>
      <c r="BO18" s="71" t="s">
        <v>43</v>
      </c>
      <c r="BP18" s="74"/>
      <c r="BQ18" s="74" t="s">
        <v>77</v>
      </c>
      <c r="BR18" s="74" t="s">
        <v>64</v>
      </c>
      <c r="BS18" s="74" t="s">
        <v>81</v>
      </c>
      <c r="BT18" s="74" t="s">
        <v>81</v>
      </c>
      <c r="BU18" s="74" t="s">
        <v>81</v>
      </c>
      <c r="BV18" s="74" t="s">
        <v>81</v>
      </c>
      <c r="BW18" s="74" t="s">
        <v>81</v>
      </c>
      <c r="BX18" s="74" t="s">
        <v>81</v>
      </c>
      <c r="BY18" s="74" t="s">
        <v>81</v>
      </c>
      <c r="BZ18" s="74" t="s">
        <v>81</v>
      </c>
      <c r="CA18" s="74"/>
      <c r="CB18" s="84"/>
      <c r="CC18" s="84"/>
      <c r="CD18" s="71" t="s">
        <v>43</v>
      </c>
      <c r="CE18" s="74"/>
      <c r="CF18" s="74" t="s">
        <v>77</v>
      </c>
      <c r="CG18" s="74" t="s">
        <v>64</v>
      </c>
      <c r="CH18" s="74">
        <v>2</v>
      </c>
      <c r="CI18" s="74">
        <v>2</v>
      </c>
      <c r="CJ18" s="74">
        <v>2</v>
      </c>
      <c r="CK18" s="74">
        <v>2</v>
      </c>
      <c r="CL18" s="74">
        <v>2</v>
      </c>
      <c r="CM18" s="74">
        <v>2</v>
      </c>
      <c r="CN18" s="74">
        <v>2</v>
      </c>
      <c r="CO18" s="74">
        <v>2</v>
      </c>
      <c r="CP18" s="74"/>
      <c r="CQ18" s="84"/>
      <c r="CR18" s="84"/>
      <c r="CT18" s="84"/>
      <c r="CU18" s="71" t="s">
        <v>43</v>
      </c>
      <c r="CV18" s="74"/>
      <c r="CW18" s="74" t="s">
        <v>77</v>
      </c>
      <c r="CX18" s="74" t="s">
        <v>64</v>
      </c>
      <c r="CY18" s="74" t="s">
        <v>81</v>
      </c>
      <c r="CZ18" s="74" t="s">
        <v>81</v>
      </c>
      <c r="DA18" s="74" t="s">
        <v>81</v>
      </c>
      <c r="DB18" s="74" t="s">
        <v>81</v>
      </c>
      <c r="DC18" s="74" t="s">
        <v>81</v>
      </c>
      <c r="DD18" s="74" t="s">
        <v>81</v>
      </c>
      <c r="DE18" s="74" t="s">
        <v>81</v>
      </c>
      <c r="DF18" s="74" t="s">
        <v>81</v>
      </c>
      <c r="DG18" s="74"/>
      <c r="DH18" s="84"/>
      <c r="DI18" s="84"/>
      <c r="DJ18" s="71" t="s">
        <v>43</v>
      </c>
      <c r="DK18" s="74"/>
      <c r="DL18" s="74" t="s">
        <v>77</v>
      </c>
      <c r="DM18" s="74" t="s">
        <v>64</v>
      </c>
      <c r="DN18" s="74">
        <v>2</v>
      </c>
      <c r="DO18" s="74">
        <v>2</v>
      </c>
      <c r="DP18" s="74">
        <v>2</v>
      </c>
      <c r="DQ18" s="74">
        <v>2</v>
      </c>
      <c r="DR18" s="74">
        <v>2</v>
      </c>
      <c r="DS18" s="74">
        <v>2</v>
      </c>
      <c r="DT18" s="74">
        <v>2</v>
      </c>
      <c r="DU18" s="74">
        <v>2</v>
      </c>
      <c r="DV18" s="74"/>
      <c r="DW18" s="84"/>
      <c r="DX18" s="84"/>
    </row>
    <row r="19" spans="2:128" x14ac:dyDescent="0.2">
      <c r="C19" s="6" t="s">
        <v>44</v>
      </c>
      <c r="D19" s="7"/>
      <c r="E19" s="7" t="s">
        <v>77</v>
      </c>
      <c r="F19" s="7" t="s">
        <v>64</v>
      </c>
      <c r="G19" s="7" t="s">
        <v>82</v>
      </c>
      <c r="H19" s="7" t="s">
        <v>82</v>
      </c>
      <c r="I19" s="7" t="s">
        <v>82</v>
      </c>
      <c r="J19" s="7" t="s">
        <v>82</v>
      </c>
      <c r="K19" s="7" t="s">
        <v>82</v>
      </c>
      <c r="L19" s="7" t="s">
        <v>82</v>
      </c>
      <c r="M19" s="7" t="s">
        <v>82</v>
      </c>
      <c r="N19" s="7" t="s">
        <v>82</v>
      </c>
      <c r="O19" s="7"/>
      <c r="R19" s="6" t="s">
        <v>44</v>
      </c>
      <c r="S19" s="7"/>
      <c r="T19" s="7" t="s">
        <v>77</v>
      </c>
      <c r="U19" s="7" t="s">
        <v>64</v>
      </c>
      <c r="V19" s="7">
        <v>5</v>
      </c>
      <c r="W19" s="7">
        <v>5</v>
      </c>
      <c r="X19" s="7">
        <v>5</v>
      </c>
      <c r="Y19" s="7">
        <v>5</v>
      </c>
      <c r="Z19" s="7">
        <v>5</v>
      </c>
      <c r="AA19" s="7">
        <v>5</v>
      </c>
      <c r="AB19" s="7">
        <v>5</v>
      </c>
      <c r="AC19" s="7">
        <v>5</v>
      </c>
      <c r="AD19" s="7"/>
      <c r="AI19" s="6" t="s">
        <v>44</v>
      </c>
      <c r="AJ19" s="7"/>
      <c r="AK19" s="7" t="s">
        <v>77</v>
      </c>
      <c r="AL19" s="7" t="s">
        <v>64</v>
      </c>
      <c r="AM19" s="7" t="s">
        <v>82</v>
      </c>
      <c r="AN19" s="7" t="s">
        <v>82</v>
      </c>
      <c r="AO19" s="7" t="s">
        <v>82</v>
      </c>
      <c r="AP19" s="7" t="s">
        <v>82</v>
      </c>
      <c r="AQ19" s="7" t="s">
        <v>82</v>
      </c>
      <c r="AR19" s="7" t="s">
        <v>82</v>
      </c>
      <c r="AS19" s="7" t="s">
        <v>82</v>
      </c>
      <c r="AT19" s="7" t="s">
        <v>82</v>
      </c>
      <c r="AU19" s="7"/>
      <c r="AX19" s="6" t="s">
        <v>44</v>
      </c>
      <c r="AY19" s="7"/>
      <c r="AZ19" s="7" t="s">
        <v>77</v>
      </c>
      <c r="BA19" s="7" t="s">
        <v>64</v>
      </c>
      <c r="BB19" s="7">
        <v>5</v>
      </c>
      <c r="BC19" s="7">
        <v>5</v>
      </c>
      <c r="BD19" s="7">
        <v>5</v>
      </c>
      <c r="BE19" s="7">
        <v>5</v>
      </c>
      <c r="BF19" s="7">
        <v>5</v>
      </c>
      <c r="BG19" s="7">
        <v>5</v>
      </c>
      <c r="BH19" s="7">
        <v>5</v>
      </c>
      <c r="BI19" s="7">
        <v>5</v>
      </c>
      <c r="BJ19" s="7"/>
      <c r="BN19" s="84"/>
      <c r="BO19" s="71" t="s">
        <v>44</v>
      </c>
      <c r="BP19" s="74"/>
      <c r="BQ19" s="74" t="s">
        <v>77</v>
      </c>
      <c r="BR19" s="74" t="s">
        <v>64</v>
      </c>
      <c r="BS19" s="74" t="s">
        <v>82</v>
      </c>
      <c r="BT19" s="74" t="s">
        <v>82</v>
      </c>
      <c r="BU19" s="74" t="s">
        <v>82</v>
      </c>
      <c r="BV19" s="74" t="s">
        <v>82</v>
      </c>
      <c r="BW19" s="74" t="s">
        <v>82</v>
      </c>
      <c r="BX19" s="74" t="s">
        <v>82</v>
      </c>
      <c r="BY19" s="74" t="s">
        <v>82</v>
      </c>
      <c r="BZ19" s="74" t="s">
        <v>82</v>
      </c>
      <c r="CA19" s="74"/>
      <c r="CB19" s="84"/>
      <c r="CC19" s="84"/>
      <c r="CD19" s="71" t="s">
        <v>44</v>
      </c>
      <c r="CE19" s="74"/>
      <c r="CF19" s="74" t="s">
        <v>77</v>
      </c>
      <c r="CG19" s="74" t="s">
        <v>64</v>
      </c>
      <c r="CH19" s="74">
        <v>5</v>
      </c>
      <c r="CI19" s="74">
        <v>5</v>
      </c>
      <c r="CJ19" s="74">
        <v>5</v>
      </c>
      <c r="CK19" s="74">
        <v>5</v>
      </c>
      <c r="CL19" s="74">
        <v>5</v>
      </c>
      <c r="CM19" s="74">
        <v>5</v>
      </c>
      <c r="CN19" s="74">
        <v>5</v>
      </c>
      <c r="CO19" s="74">
        <v>5</v>
      </c>
      <c r="CP19" s="74"/>
      <c r="CQ19" s="84"/>
      <c r="CR19" s="84"/>
      <c r="CT19" s="84"/>
      <c r="CU19" s="71" t="s">
        <v>44</v>
      </c>
      <c r="CV19" s="74"/>
      <c r="CW19" s="74" t="s">
        <v>77</v>
      </c>
      <c r="CX19" s="74" t="s">
        <v>64</v>
      </c>
      <c r="CY19" s="74" t="s">
        <v>82</v>
      </c>
      <c r="CZ19" s="74" t="s">
        <v>82</v>
      </c>
      <c r="DA19" s="74" t="s">
        <v>82</v>
      </c>
      <c r="DB19" s="74" t="s">
        <v>82</v>
      </c>
      <c r="DC19" s="74" t="s">
        <v>82</v>
      </c>
      <c r="DD19" s="74" t="s">
        <v>82</v>
      </c>
      <c r="DE19" s="74" t="s">
        <v>82</v>
      </c>
      <c r="DF19" s="74" t="s">
        <v>82</v>
      </c>
      <c r="DG19" s="74"/>
      <c r="DH19" s="84"/>
      <c r="DI19" s="84"/>
      <c r="DJ19" s="71" t="s">
        <v>44</v>
      </c>
      <c r="DK19" s="74"/>
      <c r="DL19" s="74" t="s">
        <v>77</v>
      </c>
      <c r="DM19" s="74" t="s">
        <v>64</v>
      </c>
      <c r="DN19" s="74">
        <v>5</v>
      </c>
      <c r="DO19" s="74">
        <v>5</v>
      </c>
      <c r="DP19" s="74">
        <v>5</v>
      </c>
      <c r="DQ19" s="74">
        <v>5</v>
      </c>
      <c r="DR19" s="74">
        <v>5</v>
      </c>
      <c r="DS19" s="74">
        <v>5</v>
      </c>
      <c r="DT19" s="74">
        <v>5</v>
      </c>
      <c r="DU19" s="74">
        <v>5</v>
      </c>
      <c r="DV19" s="74"/>
      <c r="DW19" s="84"/>
      <c r="DX19" s="84"/>
    </row>
    <row r="20" spans="2:128" x14ac:dyDescent="0.2">
      <c r="C20" s="6" t="s">
        <v>45</v>
      </c>
      <c r="D20" s="7"/>
      <c r="E20" s="7"/>
      <c r="F20" s="7"/>
      <c r="G20" s="7"/>
      <c r="H20" s="14"/>
      <c r="I20" s="14"/>
      <c r="J20" s="14"/>
      <c r="K20" s="7"/>
      <c r="L20" s="7"/>
      <c r="M20" s="7"/>
      <c r="N20" s="7"/>
      <c r="O20" s="7"/>
      <c r="R20" s="6" t="s">
        <v>45</v>
      </c>
      <c r="S20" s="7"/>
      <c r="T20" s="7"/>
      <c r="U20" s="7"/>
      <c r="V20" s="7"/>
      <c r="W20" s="14"/>
      <c r="X20" s="14"/>
      <c r="Y20" s="14"/>
      <c r="Z20" s="7"/>
      <c r="AA20" s="7"/>
      <c r="AB20" s="7"/>
      <c r="AC20" s="7"/>
      <c r="AD20" s="7"/>
      <c r="AI20" s="6" t="s">
        <v>45</v>
      </c>
      <c r="AJ20" s="7"/>
      <c r="AK20" s="7"/>
      <c r="AL20" s="7"/>
      <c r="AM20" s="7"/>
      <c r="AN20" s="14"/>
      <c r="AO20" s="14"/>
      <c r="AP20" s="14"/>
      <c r="AQ20" s="7"/>
      <c r="AR20" s="7"/>
      <c r="AS20" s="7"/>
      <c r="AT20" s="7"/>
      <c r="AU20" s="7"/>
      <c r="AX20" s="6" t="s">
        <v>45</v>
      </c>
      <c r="AY20" s="7"/>
      <c r="AZ20" s="7"/>
      <c r="BA20" s="7"/>
      <c r="BB20" s="7"/>
      <c r="BC20" s="14"/>
      <c r="BD20" s="14"/>
      <c r="BE20" s="14"/>
      <c r="BF20" s="7"/>
      <c r="BG20" s="7"/>
      <c r="BH20" s="7"/>
      <c r="BI20" s="7"/>
      <c r="BJ20" s="7"/>
      <c r="BN20" s="84"/>
      <c r="BO20" s="71" t="s">
        <v>45</v>
      </c>
      <c r="BP20" s="74"/>
      <c r="BQ20" s="74"/>
      <c r="BR20" s="74"/>
      <c r="BS20" s="74"/>
      <c r="BT20" s="14"/>
      <c r="BU20" s="14"/>
      <c r="BV20" s="14"/>
      <c r="BW20" s="74"/>
      <c r="BX20" s="74"/>
      <c r="BY20" s="74"/>
      <c r="BZ20" s="74"/>
      <c r="CA20" s="74"/>
      <c r="CB20" s="84"/>
      <c r="CC20" s="84"/>
      <c r="CD20" s="71" t="s">
        <v>45</v>
      </c>
      <c r="CE20" s="74"/>
      <c r="CF20" s="74"/>
      <c r="CG20" s="74"/>
      <c r="CH20" s="74"/>
      <c r="CI20" s="14"/>
      <c r="CJ20" s="14"/>
      <c r="CK20" s="14"/>
      <c r="CL20" s="74"/>
      <c r="CM20" s="74"/>
      <c r="CN20" s="74"/>
      <c r="CO20" s="74"/>
      <c r="CP20" s="74"/>
      <c r="CQ20" s="84"/>
      <c r="CR20" s="84"/>
      <c r="CT20" s="84"/>
      <c r="CU20" s="71" t="s">
        <v>45</v>
      </c>
      <c r="CV20" s="74"/>
      <c r="CW20" s="74"/>
      <c r="CX20" s="74"/>
      <c r="CY20" s="74"/>
      <c r="CZ20" s="14"/>
      <c r="DA20" s="14"/>
      <c r="DB20" s="14"/>
      <c r="DC20" s="74"/>
      <c r="DD20" s="74"/>
      <c r="DE20" s="74"/>
      <c r="DF20" s="74"/>
      <c r="DG20" s="74"/>
      <c r="DH20" s="84"/>
      <c r="DI20" s="84"/>
      <c r="DJ20" s="71" t="s">
        <v>45</v>
      </c>
      <c r="DK20" s="74"/>
      <c r="DL20" s="74"/>
      <c r="DM20" s="74"/>
      <c r="DN20" s="74"/>
      <c r="DO20" s="14"/>
      <c r="DP20" s="14"/>
      <c r="DQ20" s="14"/>
      <c r="DR20" s="74"/>
      <c r="DS20" s="74"/>
      <c r="DT20" s="74"/>
      <c r="DU20" s="74"/>
      <c r="DV20" s="74"/>
      <c r="DW20" s="84"/>
      <c r="DX20" s="84"/>
    </row>
    <row r="21" spans="2:128" x14ac:dyDescent="0.2"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</row>
    <row r="22" spans="2:128" x14ac:dyDescent="0.2">
      <c r="B22" t="s">
        <v>0</v>
      </c>
      <c r="C22" t="s">
        <v>1</v>
      </c>
      <c r="R22" t="s">
        <v>0</v>
      </c>
      <c r="S22" t="s">
        <v>1</v>
      </c>
      <c r="AH22" t="s">
        <v>0</v>
      </c>
      <c r="AI22" t="s">
        <v>1</v>
      </c>
      <c r="AX22" t="s">
        <v>0</v>
      </c>
      <c r="AY22" t="s">
        <v>1</v>
      </c>
      <c r="BN22" s="84" t="s">
        <v>0</v>
      </c>
      <c r="BO22" s="84" t="s">
        <v>1</v>
      </c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 t="s">
        <v>0</v>
      </c>
      <c r="CE22" s="84" t="s">
        <v>1</v>
      </c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T22" s="84" t="s">
        <v>0</v>
      </c>
      <c r="CU22" s="84" t="s">
        <v>1</v>
      </c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 t="s">
        <v>0</v>
      </c>
      <c r="DK22" s="84" t="s">
        <v>1</v>
      </c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</row>
    <row r="23" spans="2:128" x14ac:dyDescent="0.2"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</row>
    <row r="24" spans="2:128" x14ac:dyDescent="0.2">
      <c r="B24" t="s">
        <v>2</v>
      </c>
      <c r="C24" t="s">
        <v>97</v>
      </c>
      <c r="R24" t="s">
        <v>2</v>
      </c>
      <c r="S24" t="s">
        <v>97</v>
      </c>
      <c r="AH24" t="s">
        <v>2</v>
      </c>
      <c r="AI24" t="s">
        <v>118</v>
      </c>
      <c r="AX24" t="s">
        <v>2</v>
      </c>
      <c r="AY24" t="s">
        <v>118</v>
      </c>
      <c r="BN24" s="84" t="s">
        <v>2</v>
      </c>
      <c r="BO24" s="84" t="s">
        <v>123</v>
      </c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 t="s">
        <v>2</v>
      </c>
      <c r="CE24" s="84" t="s">
        <v>123</v>
      </c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T24" s="84" t="s">
        <v>2</v>
      </c>
      <c r="CU24" s="84" t="s">
        <v>195</v>
      </c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 t="s">
        <v>2</v>
      </c>
      <c r="DK24" s="84" t="s">
        <v>195</v>
      </c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</row>
    <row r="25" spans="2:128" x14ac:dyDescent="0.2">
      <c r="B25" t="s">
        <v>3</v>
      </c>
      <c r="C25" t="s">
        <v>98</v>
      </c>
      <c r="R25" t="s">
        <v>3</v>
      </c>
      <c r="S25" t="s">
        <v>98</v>
      </c>
      <c r="AH25" t="s">
        <v>3</v>
      </c>
      <c r="AI25" t="s">
        <v>98</v>
      </c>
      <c r="AX25" t="s">
        <v>3</v>
      </c>
      <c r="AY25" t="s">
        <v>98</v>
      </c>
      <c r="BN25" s="84" t="s">
        <v>3</v>
      </c>
      <c r="BO25" s="84" t="s">
        <v>98</v>
      </c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 t="s">
        <v>3</v>
      </c>
      <c r="CE25" s="84" t="s">
        <v>98</v>
      </c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T25" s="84" t="s">
        <v>3</v>
      </c>
      <c r="CU25" s="84" t="s">
        <v>98</v>
      </c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 t="s">
        <v>3</v>
      </c>
      <c r="DK25" s="84" t="s">
        <v>98</v>
      </c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</row>
    <row r="26" spans="2:128" x14ac:dyDescent="0.2">
      <c r="B26" t="s">
        <v>4</v>
      </c>
      <c r="C26" t="s">
        <v>71</v>
      </c>
      <c r="R26" t="s">
        <v>4</v>
      </c>
      <c r="S26" t="s">
        <v>108</v>
      </c>
      <c r="AH26" t="s">
        <v>4</v>
      </c>
      <c r="AI26" t="s">
        <v>71</v>
      </c>
      <c r="AX26" t="s">
        <v>4</v>
      </c>
      <c r="AY26" t="s">
        <v>108</v>
      </c>
      <c r="BN26" s="84" t="s">
        <v>4</v>
      </c>
      <c r="BO26" s="84" t="s">
        <v>71</v>
      </c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 t="s">
        <v>4</v>
      </c>
      <c r="CE26" s="84" t="s">
        <v>108</v>
      </c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T26" s="84" t="s">
        <v>4</v>
      </c>
      <c r="CU26" s="84" t="s">
        <v>71</v>
      </c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 t="s">
        <v>4</v>
      </c>
      <c r="DK26" s="84" t="s">
        <v>108</v>
      </c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</row>
    <row r="27" spans="2:128" x14ac:dyDescent="0.2">
      <c r="B27" t="s">
        <v>6</v>
      </c>
      <c r="C27" s="1">
        <v>45679</v>
      </c>
      <c r="R27" t="s">
        <v>6</v>
      </c>
      <c r="S27" s="1">
        <v>45679</v>
      </c>
      <c r="AH27" t="s">
        <v>6</v>
      </c>
      <c r="AI27" s="1">
        <v>45681</v>
      </c>
      <c r="AX27" t="s">
        <v>6</v>
      </c>
      <c r="AY27" s="1">
        <v>45681</v>
      </c>
      <c r="BN27" s="84" t="s">
        <v>6</v>
      </c>
      <c r="BO27" s="80">
        <v>45684</v>
      </c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 t="s">
        <v>6</v>
      </c>
      <c r="CE27" s="80">
        <v>45684</v>
      </c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T27" s="84" t="s">
        <v>6</v>
      </c>
      <c r="CU27" s="80">
        <v>45686</v>
      </c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 t="s">
        <v>6</v>
      </c>
      <c r="DK27" s="80">
        <v>45686</v>
      </c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</row>
    <row r="28" spans="2:128" x14ac:dyDescent="0.2">
      <c r="B28" t="s">
        <v>7</v>
      </c>
      <c r="C28" s="2">
        <v>0.5727430555555556</v>
      </c>
      <c r="R28" t="s">
        <v>7</v>
      </c>
      <c r="S28" s="2">
        <v>0.57807870370370373</v>
      </c>
      <c r="AH28" t="s">
        <v>7</v>
      </c>
      <c r="AI28" s="2">
        <v>0.56819444444444445</v>
      </c>
      <c r="AX28" t="s">
        <v>7</v>
      </c>
      <c r="AY28" s="2">
        <v>0.57340277777777782</v>
      </c>
      <c r="BN28" s="84" t="s">
        <v>7</v>
      </c>
      <c r="BO28" s="81">
        <v>0.58174768518518516</v>
      </c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 t="s">
        <v>7</v>
      </c>
      <c r="CE28" s="81">
        <v>0.58708333333333329</v>
      </c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T28" s="84" t="s">
        <v>7</v>
      </c>
      <c r="CU28" s="81">
        <v>0.58077546296296301</v>
      </c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 t="s">
        <v>7</v>
      </c>
      <c r="DK28" s="81">
        <v>0.58528935185185182</v>
      </c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</row>
    <row r="29" spans="2:128" x14ac:dyDescent="0.2">
      <c r="B29" t="s">
        <v>8</v>
      </c>
      <c r="C29" t="s">
        <v>9</v>
      </c>
      <c r="R29" t="s">
        <v>8</v>
      </c>
      <c r="S29" t="s">
        <v>9</v>
      </c>
      <c r="AH29" t="s">
        <v>8</v>
      </c>
      <c r="AI29" t="s">
        <v>9</v>
      </c>
      <c r="AX29" t="s">
        <v>8</v>
      </c>
      <c r="AY29" t="s">
        <v>9</v>
      </c>
      <c r="BN29" s="84" t="s">
        <v>8</v>
      </c>
      <c r="BO29" s="84" t="s">
        <v>9</v>
      </c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 t="s">
        <v>8</v>
      </c>
      <c r="CE29" s="84" t="s">
        <v>9</v>
      </c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T29" s="84" t="s">
        <v>8</v>
      </c>
      <c r="CU29" s="84" t="s">
        <v>9</v>
      </c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 t="s">
        <v>8</v>
      </c>
      <c r="DK29" s="84" t="s">
        <v>9</v>
      </c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</row>
    <row r="30" spans="2:128" x14ac:dyDescent="0.2">
      <c r="B30" t="s">
        <v>10</v>
      </c>
      <c r="C30" t="s">
        <v>11</v>
      </c>
      <c r="R30" t="s">
        <v>10</v>
      </c>
      <c r="S30" t="s">
        <v>11</v>
      </c>
      <c r="AH30" t="s">
        <v>10</v>
      </c>
      <c r="AI30" t="s">
        <v>11</v>
      </c>
      <c r="AX30" t="s">
        <v>10</v>
      </c>
      <c r="AY30" t="s">
        <v>11</v>
      </c>
      <c r="BN30" s="84" t="s">
        <v>10</v>
      </c>
      <c r="BO30" s="84" t="s">
        <v>11</v>
      </c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 t="s">
        <v>10</v>
      </c>
      <c r="CE30" s="84" t="s">
        <v>11</v>
      </c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T30" s="84" t="s">
        <v>10</v>
      </c>
      <c r="CU30" s="84" t="s">
        <v>11</v>
      </c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 t="s">
        <v>10</v>
      </c>
      <c r="DK30" s="84" t="s">
        <v>11</v>
      </c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</row>
    <row r="31" spans="2:128" x14ac:dyDescent="0.2">
      <c r="B31" t="s">
        <v>12</v>
      </c>
      <c r="C31" t="s">
        <v>13</v>
      </c>
      <c r="R31" t="s">
        <v>12</v>
      </c>
      <c r="S31" t="s">
        <v>13</v>
      </c>
      <c r="AH31" t="s">
        <v>12</v>
      </c>
      <c r="AI31" t="s">
        <v>13</v>
      </c>
      <c r="AX31" t="s">
        <v>12</v>
      </c>
      <c r="AY31" t="s">
        <v>13</v>
      </c>
      <c r="BN31" s="84" t="s">
        <v>12</v>
      </c>
      <c r="BO31" s="84" t="s">
        <v>13</v>
      </c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 t="s">
        <v>12</v>
      </c>
      <c r="CE31" s="84" t="s">
        <v>13</v>
      </c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T31" s="84" t="s">
        <v>12</v>
      </c>
      <c r="CU31" s="84" t="s">
        <v>13</v>
      </c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 t="s">
        <v>12</v>
      </c>
      <c r="DK31" s="84" t="s">
        <v>13</v>
      </c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</row>
    <row r="32" spans="2:128" x14ac:dyDescent="0.2">
      <c r="AX32" t="s">
        <v>15</v>
      </c>
      <c r="AY32" t="s">
        <v>16</v>
      </c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</row>
    <row r="33" spans="2:128" ht="25.5" x14ac:dyDescent="0.2">
      <c r="B33" s="3" t="s">
        <v>14</v>
      </c>
      <c r="C33" s="4"/>
      <c r="R33" s="3" t="s">
        <v>14</v>
      </c>
      <c r="S33" s="4"/>
      <c r="AH33" s="3" t="s">
        <v>14</v>
      </c>
      <c r="AI33" s="4"/>
      <c r="AX33" t="s">
        <v>17</v>
      </c>
      <c r="BN33" s="82" t="s">
        <v>14</v>
      </c>
      <c r="BO33" s="83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2" t="s">
        <v>14</v>
      </c>
      <c r="CE33" s="83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T33" s="82" t="s">
        <v>14</v>
      </c>
      <c r="CU33" s="83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2" t="s">
        <v>14</v>
      </c>
      <c r="DK33" s="83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</row>
    <row r="34" spans="2:128" x14ac:dyDescent="0.2">
      <c r="B34" t="s">
        <v>15</v>
      </c>
      <c r="C34" t="s">
        <v>16</v>
      </c>
      <c r="R34" t="s">
        <v>15</v>
      </c>
      <c r="S34" t="s">
        <v>16</v>
      </c>
      <c r="AH34" t="s">
        <v>15</v>
      </c>
      <c r="AI34" t="s">
        <v>16</v>
      </c>
      <c r="AX34" t="s">
        <v>67</v>
      </c>
      <c r="AY34" t="s">
        <v>68</v>
      </c>
      <c r="BN34" s="84" t="s">
        <v>15</v>
      </c>
      <c r="BO34" s="84" t="s">
        <v>16</v>
      </c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 t="s">
        <v>15</v>
      </c>
      <c r="CE34" s="84" t="s">
        <v>16</v>
      </c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T34" s="84" t="s">
        <v>15</v>
      </c>
      <c r="CU34" s="84" t="s">
        <v>16</v>
      </c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 t="s">
        <v>15</v>
      </c>
      <c r="DK34" s="84" t="s">
        <v>16</v>
      </c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</row>
    <row r="35" spans="2:128" x14ac:dyDescent="0.2">
      <c r="B35" t="s">
        <v>17</v>
      </c>
      <c r="R35" t="s">
        <v>17</v>
      </c>
      <c r="AH35" t="s">
        <v>17</v>
      </c>
      <c r="AY35" t="s">
        <v>69</v>
      </c>
      <c r="BN35" s="84" t="s">
        <v>17</v>
      </c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 t="s">
        <v>17</v>
      </c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T35" s="84" t="s">
        <v>17</v>
      </c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 t="s">
        <v>17</v>
      </c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</row>
    <row r="36" spans="2:128" x14ac:dyDescent="0.2">
      <c r="B36" t="s">
        <v>67</v>
      </c>
      <c r="C36" t="s">
        <v>68</v>
      </c>
      <c r="R36" t="s">
        <v>67</v>
      </c>
      <c r="S36" t="s">
        <v>68</v>
      </c>
      <c r="AH36" t="s">
        <v>67</v>
      </c>
      <c r="AI36" t="s">
        <v>68</v>
      </c>
      <c r="AX36" t="s">
        <v>18</v>
      </c>
      <c r="AY36" t="s">
        <v>19</v>
      </c>
      <c r="BN36" s="84" t="s">
        <v>67</v>
      </c>
      <c r="BO36" s="84" t="s">
        <v>68</v>
      </c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 t="s">
        <v>67</v>
      </c>
      <c r="CE36" s="84" t="s">
        <v>68</v>
      </c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T36" s="84" t="s">
        <v>67</v>
      </c>
      <c r="CU36" s="84" t="s">
        <v>68</v>
      </c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 t="s">
        <v>67</v>
      </c>
      <c r="DK36" s="84" t="s">
        <v>68</v>
      </c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</row>
    <row r="37" spans="2:128" x14ac:dyDescent="0.2">
      <c r="C37" t="s">
        <v>69</v>
      </c>
      <c r="S37" t="s">
        <v>69</v>
      </c>
      <c r="AI37" t="s">
        <v>69</v>
      </c>
      <c r="AY37" t="s">
        <v>20</v>
      </c>
      <c r="BN37" s="84"/>
      <c r="BO37" s="84" t="s">
        <v>69</v>
      </c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 t="s">
        <v>69</v>
      </c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T37" s="84"/>
      <c r="CU37" s="84" t="s">
        <v>69</v>
      </c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 t="s">
        <v>69</v>
      </c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</row>
    <row r="38" spans="2:128" x14ac:dyDescent="0.2">
      <c r="B38" t="s">
        <v>18</v>
      </c>
      <c r="C38" t="s">
        <v>19</v>
      </c>
      <c r="R38" t="s">
        <v>18</v>
      </c>
      <c r="S38" t="s">
        <v>19</v>
      </c>
      <c r="AH38" t="s">
        <v>18</v>
      </c>
      <c r="AI38" t="s">
        <v>19</v>
      </c>
      <c r="AY38" t="s">
        <v>21</v>
      </c>
      <c r="BN38" s="84" t="s">
        <v>18</v>
      </c>
      <c r="BO38" s="84" t="s">
        <v>19</v>
      </c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 t="s">
        <v>18</v>
      </c>
      <c r="CE38" s="84" t="s">
        <v>19</v>
      </c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T38" s="84" t="s">
        <v>18</v>
      </c>
      <c r="CU38" s="84" t="s">
        <v>19</v>
      </c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 t="s">
        <v>18</v>
      </c>
      <c r="DK38" s="84" t="s">
        <v>19</v>
      </c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</row>
    <row r="39" spans="2:128" x14ac:dyDescent="0.2">
      <c r="C39" t="s">
        <v>20</v>
      </c>
      <c r="S39" t="s">
        <v>20</v>
      </c>
      <c r="AI39" t="s">
        <v>20</v>
      </c>
      <c r="AY39" t="s">
        <v>22</v>
      </c>
      <c r="BN39" s="84"/>
      <c r="BO39" s="84" t="s">
        <v>20</v>
      </c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 t="s">
        <v>20</v>
      </c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T39" s="84"/>
      <c r="CU39" s="84" t="s">
        <v>20</v>
      </c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 t="s">
        <v>20</v>
      </c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</row>
    <row r="40" spans="2:128" x14ac:dyDescent="0.2">
      <c r="C40" t="s">
        <v>21</v>
      </c>
      <c r="S40" t="s">
        <v>21</v>
      </c>
      <c r="AI40" t="s">
        <v>21</v>
      </c>
      <c r="AY40" t="s">
        <v>23</v>
      </c>
      <c r="BN40" s="84"/>
      <c r="BO40" s="84" t="s">
        <v>21</v>
      </c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 t="s">
        <v>21</v>
      </c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T40" s="84"/>
      <c r="CU40" s="84" t="s">
        <v>21</v>
      </c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 t="s">
        <v>21</v>
      </c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</row>
    <row r="41" spans="2:128" x14ac:dyDescent="0.2">
      <c r="C41" t="s">
        <v>22</v>
      </c>
      <c r="S41" t="s">
        <v>22</v>
      </c>
      <c r="AI41" t="s">
        <v>22</v>
      </c>
      <c r="AY41" t="s">
        <v>24</v>
      </c>
      <c r="BN41" s="84"/>
      <c r="BO41" s="84" t="s">
        <v>22</v>
      </c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 t="s">
        <v>22</v>
      </c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T41" s="84"/>
      <c r="CU41" s="84" t="s">
        <v>22</v>
      </c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 t="s">
        <v>22</v>
      </c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</row>
    <row r="42" spans="2:128" x14ac:dyDescent="0.2">
      <c r="C42" t="s">
        <v>23</v>
      </c>
      <c r="S42" t="s">
        <v>23</v>
      </c>
      <c r="AI42" t="s">
        <v>23</v>
      </c>
      <c r="AY42" t="s">
        <v>25</v>
      </c>
      <c r="BN42" s="84"/>
      <c r="BO42" s="84" t="s">
        <v>23</v>
      </c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 t="s">
        <v>23</v>
      </c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T42" s="84"/>
      <c r="CU42" s="84" t="s">
        <v>23</v>
      </c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 t="s">
        <v>23</v>
      </c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</row>
    <row r="43" spans="2:128" x14ac:dyDescent="0.2">
      <c r="C43" t="s">
        <v>24</v>
      </c>
      <c r="S43" t="s">
        <v>24</v>
      </c>
      <c r="AI43" t="s">
        <v>24</v>
      </c>
      <c r="AY43" t="s">
        <v>26</v>
      </c>
      <c r="BN43" s="84"/>
      <c r="BO43" s="84" t="s">
        <v>24</v>
      </c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 t="s">
        <v>24</v>
      </c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T43" s="84"/>
      <c r="CU43" s="84" t="s">
        <v>24</v>
      </c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 t="s">
        <v>24</v>
      </c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</row>
    <row r="44" spans="2:128" x14ac:dyDescent="0.2">
      <c r="C44" t="s">
        <v>25</v>
      </c>
      <c r="S44" t="s">
        <v>25</v>
      </c>
      <c r="AI44" t="s">
        <v>25</v>
      </c>
      <c r="AY44" t="s">
        <v>27</v>
      </c>
      <c r="BN44" s="84"/>
      <c r="BO44" s="84" t="s">
        <v>25</v>
      </c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 t="s">
        <v>25</v>
      </c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T44" s="84"/>
      <c r="CU44" s="84" t="s">
        <v>25</v>
      </c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 t="s">
        <v>25</v>
      </c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</row>
    <row r="45" spans="2:128" x14ac:dyDescent="0.2">
      <c r="C45" t="s">
        <v>26</v>
      </c>
      <c r="S45" t="s">
        <v>26</v>
      </c>
      <c r="AI45" t="s">
        <v>26</v>
      </c>
      <c r="BN45" s="84"/>
      <c r="BO45" s="84" t="s">
        <v>26</v>
      </c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 t="s">
        <v>26</v>
      </c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T45" s="84"/>
      <c r="CU45" s="84" t="s">
        <v>26</v>
      </c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 t="s">
        <v>26</v>
      </c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</row>
    <row r="46" spans="2:128" x14ac:dyDescent="0.2">
      <c r="C46" t="s">
        <v>27</v>
      </c>
      <c r="S46" t="s">
        <v>27</v>
      </c>
      <c r="AI46" t="s">
        <v>27</v>
      </c>
      <c r="BN46" s="84"/>
      <c r="BO46" s="84" t="s">
        <v>27</v>
      </c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 t="s">
        <v>27</v>
      </c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T46" s="84"/>
      <c r="CU46" s="84" t="s">
        <v>27</v>
      </c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 t="s">
        <v>27</v>
      </c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</row>
    <row r="47" spans="2:128" x14ac:dyDescent="0.2"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</row>
    <row r="48" spans="2:128" ht="25.5" x14ac:dyDescent="0.2">
      <c r="B48" s="3" t="s">
        <v>47</v>
      </c>
      <c r="C48" s="4"/>
      <c r="R48" s="3" t="s">
        <v>47</v>
      </c>
      <c r="S48" s="4"/>
      <c r="AH48" s="3" t="s">
        <v>47</v>
      </c>
      <c r="AI48" s="4"/>
      <c r="AX48" s="3" t="s">
        <v>47</v>
      </c>
      <c r="AY48" s="4"/>
      <c r="BN48" s="82" t="s">
        <v>47</v>
      </c>
      <c r="BO48" s="83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2" t="s">
        <v>47</v>
      </c>
      <c r="CE48" s="83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T48" s="82" t="s">
        <v>47</v>
      </c>
      <c r="CU48" s="83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2" t="s">
        <v>47</v>
      </c>
      <c r="DK48" s="83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</row>
    <row r="49" spans="2:128" x14ac:dyDescent="0.2">
      <c r="B49" t="s">
        <v>48</v>
      </c>
      <c r="C49">
        <v>37</v>
      </c>
      <c r="R49" t="s">
        <v>48</v>
      </c>
      <c r="S49">
        <v>37</v>
      </c>
      <c r="AH49" t="s">
        <v>48</v>
      </c>
      <c r="AI49">
        <v>37</v>
      </c>
      <c r="AX49" t="s">
        <v>48</v>
      </c>
      <c r="AY49">
        <v>37</v>
      </c>
      <c r="BN49" s="84" t="s">
        <v>48</v>
      </c>
      <c r="BO49" s="84">
        <v>37</v>
      </c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 t="s">
        <v>48</v>
      </c>
      <c r="CE49" s="84">
        <v>37</v>
      </c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T49" s="84" t="s">
        <v>48</v>
      </c>
      <c r="CU49" s="84">
        <v>37</v>
      </c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 t="s">
        <v>48</v>
      </c>
      <c r="DK49" s="84">
        <v>37</v>
      </c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</row>
    <row r="50" spans="2:128" x14ac:dyDescent="0.2"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</row>
    <row r="51" spans="2:128" x14ac:dyDescent="0.2">
      <c r="C51" s="5"/>
      <c r="D51" s="6">
        <v>1</v>
      </c>
      <c r="E51" s="6">
        <v>2</v>
      </c>
      <c r="F51" s="6">
        <v>3</v>
      </c>
      <c r="G51" s="6">
        <v>4</v>
      </c>
      <c r="H51" s="6">
        <v>5</v>
      </c>
      <c r="I51" s="6">
        <v>6</v>
      </c>
      <c r="J51" s="6">
        <v>7</v>
      </c>
      <c r="K51" s="6">
        <v>8</v>
      </c>
      <c r="L51" s="6">
        <v>9</v>
      </c>
      <c r="M51" s="6">
        <v>10</v>
      </c>
      <c r="N51" s="6">
        <v>11</v>
      </c>
      <c r="O51" s="6">
        <v>12</v>
      </c>
      <c r="S51" s="5"/>
      <c r="T51" s="6">
        <v>1</v>
      </c>
      <c r="U51" s="6">
        <v>2</v>
      </c>
      <c r="V51" s="6">
        <v>3</v>
      </c>
      <c r="W51" s="6">
        <v>4</v>
      </c>
      <c r="X51" s="6">
        <v>5</v>
      </c>
      <c r="Y51" s="6">
        <v>6</v>
      </c>
      <c r="Z51" s="6">
        <v>7</v>
      </c>
      <c r="AA51" s="6">
        <v>8</v>
      </c>
      <c r="AB51" s="6">
        <v>9</v>
      </c>
      <c r="AC51" s="6">
        <v>10</v>
      </c>
      <c r="AD51" s="6">
        <v>11</v>
      </c>
      <c r="AE51" s="6">
        <v>12</v>
      </c>
      <c r="AI51" s="5"/>
      <c r="AJ51" s="6">
        <v>1</v>
      </c>
      <c r="AK51" s="6">
        <v>2</v>
      </c>
      <c r="AL51" s="6">
        <v>3</v>
      </c>
      <c r="AM51" s="6">
        <v>4</v>
      </c>
      <c r="AN51" s="6">
        <v>5</v>
      </c>
      <c r="AO51" s="6">
        <v>6</v>
      </c>
      <c r="AP51" s="6">
        <v>7</v>
      </c>
      <c r="AQ51" s="6">
        <v>8</v>
      </c>
      <c r="AR51" s="6">
        <v>9</v>
      </c>
      <c r="AS51" s="6">
        <v>10</v>
      </c>
      <c r="AT51" s="6">
        <v>11</v>
      </c>
      <c r="AU51" s="6">
        <v>12</v>
      </c>
      <c r="AY51" s="5"/>
      <c r="AZ51" s="6">
        <v>1</v>
      </c>
      <c r="BA51" s="6">
        <v>2</v>
      </c>
      <c r="BB51" s="6">
        <v>3</v>
      </c>
      <c r="BC51" s="6">
        <v>4</v>
      </c>
      <c r="BD51" s="6">
        <v>5</v>
      </c>
      <c r="BE51" s="6">
        <v>6</v>
      </c>
      <c r="BF51" s="6">
        <v>7</v>
      </c>
      <c r="BG51" s="6">
        <v>8</v>
      </c>
      <c r="BH51" s="6">
        <v>9</v>
      </c>
      <c r="BI51" s="6">
        <v>10</v>
      </c>
      <c r="BJ51" s="6">
        <v>11</v>
      </c>
      <c r="BK51" s="6">
        <v>12</v>
      </c>
      <c r="BN51" s="84"/>
      <c r="BO51" s="70"/>
      <c r="BP51" s="71">
        <v>1</v>
      </c>
      <c r="BQ51" s="71">
        <v>2</v>
      </c>
      <c r="BR51" s="71">
        <v>3</v>
      </c>
      <c r="BS51" s="71">
        <v>4</v>
      </c>
      <c r="BT51" s="71">
        <v>5</v>
      </c>
      <c r="BU51" s="71">
        <v>6</v>
      </c>
      <c r="BV51" s="71">
        <v>7</v>
      </c>
      <c r="BW51" s="71">
        <v>8</v>
      </c>
      <c r="BX51" s="71">
        <v>9</v>
      </c>
      <c r="BY51" s="71">
        <v>10</v>
      </c>
      <c r="BZ51" s="71">
        <v>11</v>
      </c>
      <c r="CA51" s="71">
        <v>12</v>
      </c>
      <c r="CB51" s="84"/>
      <c r="CC51" s="84"/>
      <c r="CD51" s="84"/>
      <c r="CE51" s="70"/>
      <c r="CF51" s="71">
        <v>1</v>
      </c>
      <c r="CG51" s="71">
        <v>2</v>
      </c>
      <c r="CH51" s="71">
        <v>3</v>
      </c>
      <c r="CI51" s="71">
        <v>4</v>
      </c>
      <c r="CJ51" s="71">
        <v>5</v>
      </c>
      <c r="CK51" s="71">
        <v>6</v>
      </c>
      <c r="CL51" s="71">
        <v>7</v>
      </c>
      <c r="CM51" s="71">
        <v>8</v>
      </c>
      <c r="CN51" s="71">
        <v>9</v>
      </c>
      <c r="CO51" s="71">
        <v>10</v>
      </c>
      <c r="CP51" s="71">
        <v>11</v>
      </c>
      <c r="CQ51" s="71">
        <v>12</v>
      </c>
      <c r="CR51" s="84"/>
      <c r="CT51" s="84"/>
      <c r="CU51" s="70"/>
      <c r="CV51" s="71">
        <v>1</v>
      </c>
      <c r="CW51" s="71">
        <v>2</v>
      </c>
      <c r="CX51" s="71">
        <v>3</v>
      </c>
      <c r="CY51" s="71">
        <v>4</v>
      </c>
      <c r="CZ51" s="71">
        <v>5</v>
      </c>
      <c r="DA51" s="71">
        <v>6</v>
      </c>
      <c r="DB51" s="71">
        <v>7</v>
      </c>
      <c r="DC51" s="71">
        <v>8</v>
      </c>
      <c r="DD51" s="71">
        <v>9</v>
      </c>
      <c r="DE51" s="71">
        <v>10</v>
      </c>
      <c r="DF51" s="71">
        <v>11</v>
      </c>
      <c r="DG51" s="71">
        <v>12</v>
      </c>
      <c r="DH51" s="84"/>
      <c r="DI51" s="84"/>
      <c r="DJ51" s="84"/>
      <c r="DK51" s="70"/>
      <c r="DL51" s="71">
        <v>1</v>
      </c>
      <c r="DM51" s="71">
        <v>2</v>
      </c>
      <c r="DN51" s="71">
        <v>3</v>
      </c>
      <c r="DO51" s="71">
        <v>4</v>
      </c>
      <c r="DP51" s="71">
        <v>5</v>
      </c>
      <c r="DQ51" s="71">
        <v>6</v>
      </c>
      <c r="DR51" s="71">
        <v>7</v>
      </c>
      <c r="DS51" s="71">
        <v>8</v>
      </c>
      <c r="DT51" s="71">
        <v>9</v>
      </c>
      <c r="DU51" s="71">
        <v>10</v>
      </c>
      <c r="DV51" s="71">
        <v>11</v>
      </c>
      <c r="DW51" s="71">
        <v>12</v>
      </c>
      <c r="DX51" s="84"/>
    </row>
    <row r="52" spans="2:128" ht="18" x14ac:dyDescent="0.2">
      <c r="C52" s="6" t="s">
        <v>29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8" t="s">
        <v>47</v>
      </c>
      <c r="Q52" s="8"/>
      <c r="S52" s="6" t="s">
        <v>29</v>
      </c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8" t="s">
        <v>47</v>
      </c>
      <c r="AI52" s="6" t="s">
        <v>29</v>
      </c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8" t="s">
        <v>47</v>
      </c>
      <c r="AW52" s="8"/>
      <c r="AY52" s="6" t="s">
        <v>29</v>
      </c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8" t="s">
        <v>47</v>
      </c>
      <c r="BN52" s="84"/>
      <c r="BO52" s="71" t="s">
        <v>29</v>
      </c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3" t="s">
        <v>47</v>
      </c>
      <c r="CC52" s="73"/>
      <c r="CD52" s="84"/>
      <c r="CE52" s="71" t="s">
        <v>29</v>
      </c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3" t="s">
        <v>47</v>
      </c>
      <c r="CT52" s="84"/>
      <c r="CU52" s="71" t="s">
        <v>29</v>
      </c>
      <c r="CV52" s="72"/>
      <c r="CW52" s="72"/>
      <c r="CX52" s="72"/>
      <c r="CY52" s="72"/>
      <c r="CZ52" s="72"/>
      <c r="DA52" s="72"/>
      <c r="DB52" s="72"/>
      <c r="DC52" s="72"/>
      <c r="DD52" s="72"/>
      <c r="DE52" s="72"/>
      <c r="DF52" s="72"/>
      <c r="DG52" s="72"/>
      <c r="DH52" s="73" t="s">
        <v>47</v>
      </c>
      <c r="DI52" s="73"/>
      <c r="DJ52" s="84"/>
      <c r="DK52" s="71" t="s">
        <v>29</v>
      </c>
      <c r="DL52" s="72"/>
      <c r="DM52" s="72"/>
      <c r="DN52" s="72"/>
      <c r="DO52" s="72"/>
      <c r="DP52" s="72"/>
      <c r="DQ52" s="72"/>
      <c r="DR52" s="72"/>
      <c r="DS52" s="72"/>
      <c r="DT52" s="72"/>
      <c r="DU52" s="72"/>
      <c r="DV52" s="72"/>
      <c r="DW52" s="72"/>
      <c r="DX52" s="73" t="s">
        <v>47</v>
      </c>
    </row>
    <row r="53" spans="2:128" ht="18" x14ac:dyDescent="0.2">
      <c r="C53" s="6" t="s">
        <v>33</v>
      </c>
      <c r="D53" s="15"/>
      <c r="E53" s="13">
        <v>19217</v>
      </c>
      <c r="F53" s="12">
        <v>787267</v>
      </c>
      <c r="G53" s="13">
        <v>30970</v>
      </c>
      <c r="H53" s="13">
        <v>32500</v>
      </c>
      <c r="I53" s="13">
        <v>30442</v>
      </c>
      <c r="J53" s="13">
        <v>32811</v>
      </c>
      <c r="K53" s="13">
        <v>33144</v>
      </c>
      <c r="L53" s="13">
        <v>31114</v>
      </c>
      <c r="M53" s="13">
        <v>31722</v>
      </c>
      <c r="N53" s="13">
        <v>32148</v>
      </c>
      <c r="O53" s="15"/>
      <c r="P53" s="8" t="s">
        <v>47</v>
      </c>
      <c r="Q53" s="8"/>
      <c r="S53" s="6" t="s">
        <v>33</v>
      </c>
      <c r="T53" s="15"/>
      <c r="U53" s="13">
        <v>19315</v>
      </c>
      <c r="V53" s="12">
        <v>783309</v>
      </c>
      <c r="W53" s="13">
        <v>32720</v>
      </c>
      <c r="X53" s="13">
        <v>32247</v>
      </c>
      <c r="Y53" s="13">
        <v>31474</v>
      </c>
      <c r="Z53" s="13">
        <v>32529</v>
      </c>
      <c r="AA53" s="13">
        <v>33277</v>
      </c>
      <c r="AB53" s="13">
        <v>32401</v>
      </c>
      <c r="AC53" s="13">
        <v>31482</v>
      </c>
      <c r="AD53" s="13">
        <v>33103</v>
      </c>
      <c r="AE53" s="15"/>
      <c r="AF53" s="8" t="s">
        <v>47</v>
      </c>
      <c r="AI53" s="6" t="s">
        <v>33</v>
      </c>
      <c r="AJ53" s="15"/>
      <c r="AK53" s="13">
        <v>22164</v>
      </c>
      <c r="AL53" s="12">
        <v>815236</v>
      </c>
      <c r="AM53" s="11">
        <v>71383</v>
      </c>
      <c r="AN53" s="11">
        <v>82045</v>
      </c>
      <c r="AO53" s="11">
        <v>73271</v>
      </c>
      <c r="AP53" s="11">
        <v>78773</v>
      </c>
      <c r="AQ53" s="11">
        <v>76085</v>
      </c>
      <c r="AR53" s="11">
        <v>71852</v>
      </c>
      <c r="AS53" s="11">
        <v>75188</v>
      </c>
      <c r="AT53" s="11">
        <v>84009</v>
      </c>
      <c r="AU53" s="15"/>
      <c r="AV53" s="8" t="s">
        <v>47</v>
      </c>
      <c r="AW53" s="8"/>
      <c r="AY53" s="6" t="s">
        <v>33</v>
      </c>
      <c r="AZ53" s="15"/>
      <c r="BA53" s="13">
        <v>21029</v>
      </c>
      <c r="BB53" s="12">
        <v>809588</v>
      </c>
      <c r="BC53" s="13">
        <v>47996</v>
      </c>
      <c r="BD53" s="13">
        <v>47715</v>
      </c>
      <c r="BE53" s="13">
        <v>45887</v>
      </c>
      <c r="BF53" s="13">
        <v>47154</v>
      </c>
      <c r="BG53" s="13">
        <v>51877</v>
      </c>
      <c r="BH53" s="13">
        <v>50952</v>
      </c>
      <c r="BI53" s="13">
        <v>58405</v>
      </c>
      <c r="BJ53" s="11">
        <v>60280</v>
      </c>
      <c r="BK53" s="15"/>
      <c r="BL53" s="8" t="s">
        <v>47</v>
      </c>
      <c r="BN53" s="84"/>
      <c r="BO53" s="71" t="s">
        <v>33</v>
      </c>
      <c r="BP53" s="72"/>
      <c r="BQ53" s="85">
        <v>23395</v>
      </c>
      <c r="BR53" s="86">
        <v>820171</v>
      </c>
      <c r="BS53" s="90">
        <v>255508</v>
      </c>
      <c r="BT53" s="90">
        <v>284896</v>
      </c>
      <c r="BU53" s="91">
        <v>308359</v>
      </c>
      <c r="BV53" s="91">
        <v>302295</v>
      </c>
      <c r="BW53" s="91">
        <v>329746</v>
      </c>
      <c r="BX53" s="91">
        <v>332310</v>
      </c>
      <c r="BY53" s="92">
        <v>384465</v>
      </c>
      <c r="BZ53" s="91">
        <v>354268</v>
      </c>
      <c r="CA53" s="72"/>
      <c r="CB53" s="73" t="s">
        <v>47</v>
      </c>
      <c r="CC53" s="73"/>
      <c r="CD53" s="84"/>
      <c r="CE53" s="71" t="s">
        <v>33</v>
      </c>
      <c r="CF53" s="72"/>
      <c r="CG53" s="85">
        <v>23388</v>
      </c>
      <c r="CH53" s="86">
        <v>826768</v>
      </c>
      <c r="CI53" s="85">
        <v>36524</v>
      </c>
      <c r="CJ53" s="85">
        <v>32722</v>
      </c>
      <c r="CK53" s="85">
        <v>35200</v>
      </c>
      <c r="CL53" s="85">
        <v>32689</v>
      </c>
      <c r="CM53" s="85">
        <v>35951</v>
      </c>
      <c r="CN53" s="85">
        <v>37847</v>
      </c>
      <c r="CO53" s="85">
        <v>44234</v>
      </c>
      <c r="CP53" s="85">
        <v>52759</v>
      </c>
      <c r="CQ53" s="72"/>
      <c r="CR53" s="73" t="s">
        <v>47</v>
      </c>
      <c r="CT53" s="84"/>
      <c r="CU53" s="71" t="s">
        <v>33</v>
      </c>
      <c r="CV53" s="72"/>
      <c r="CW53" s="85">
        <v>23424</v>
      </c>
      <c r="CX53" s="86">
        <v>820772</v>
      </c>
      <c r="CY53" s="93">
        <v>498362</v>
      </c>
      <c r="CZ53" s="95">
        <v>550794</v>
      </c>
      <c r="DA53" s="93">
        <v>493010</v>
      </c>
      <c r="DB53" s="95">
        <v>563625</v>
      </c>
      <c r="DC53" s="93">
        <v>493281</v>
      </c>
      <c r="DD53" s="93">
        <v>486172</v>
      </c>
      <c r="DE53" s="93">
        <v>522800</v>
      </c>
      <c r="DF53" s="96">
        <v>597390</v>
      </c>
      <c r="DG53" s="72"/>
      <c r="DH53" s="73" t="s">
        <v>47</v>
      </c>
      <c r="DI53" s="73"/>
      <c r="DJ53" s="84"/>
      <c r="DK53" s="71" t="s">
        <v>33</v>
      </c>
      <c r="DL53" s="72"/>
      <c r="DM53" s="85">
        <v>25806</v>
      </c>
      <c r="DN53" s="86">
        <v>809520</v>
      </c>
      <c r="DO53" s="85">
        <v>25021</v>
      </c>
      <c r="DP53" s="85">
        <v>24684</v>
      </c>
      <c r="DQ53" s="85">
        <v>25512</v>
      </c>
      <c r="DR53" s="85">
        <v>24752</v>
      </c>
      <c r="DS53" s="85">
        <v>25824</v>
      </c>
      <c r="DT53" s="85">
        <v>26504</v>
      </c>
      <c r="DU53" s="85">
        <v>27544</v>
      </c>
      <c r="DV53" s="85">
        <v>29047</v>
      </c>
      <c r="DW53" s="72"/>
      <c r="DX53" s="73" t="s">
        <v>47</v>
      </c>
    </row>
    <row r="54" spans="2:128" ht="18" x14ac:dyDescent="0.2">
      <c r="C54" s="6" t="s">
        <v>36</v>
      </c>
      <c r="D54" s="15"/>
      <c r="E54" s="13">
        <v>19098</v>
      </c>
      <c r="F54" s="12">
        <v>787025</v>
      </c>
      <c r="G54" s="13">
        <v>32792</v>
      </c>
      <c r="H54" s="13">
        <v>32567</v>
      </c>
      <c r="I54" s="13">
        <v>32925</v>
      </c>
      <c r="J54" s="13">
        <v>33886</v>
      </c>
      <c r="K54" s="13">
        <v>31971</v>
      </c>
      <c r="L54" s="13">
        <v>33024</v>
      </c>
      <c r="M54" s="13">
        <v>31950</v>
      </c>
      <c r="N54" s="13">
        <v>35128</v>
      </c>
      <c r="O54" s="15"/>
      <c r="P54" s="8" t="s">
        <v>47</v>
      </c>
      <c r="Q54" s="8"/>
      <c r="S54" s="6" t="s">
        <v>36</v>
      </c>
      <c r="T54" s="15"/>
      <c r="U54" s="13">
        <v>19220</v>
      </c>
      <c r="V54" s="12">
        <v>783131</v>
      </c>
      <c r="W54" s="13">
        <v>37832</v>
      </c>
      <c r="X54" s="13">
        <v>35887</v>
      </c>
      <c r="Y54" s="13">
        <v>37397</v>
      </c>
      <c r="Z54" s="13">
        <v>40666</v>
      </c>
      <c r="AA54" s="13">
        <v>36843</v>
      </c>
      <c r="AB54" s="13">
        <v>36235</v>
      </c>
      <c r="AC54" s="13">
        <v>34972</v>
      </c>
      <c r="AD54" s="13">
        <v>31307</v>
      </c>
      <c r="AE54" s="15"/>
      <c r="AF54" s="8" t="s">
        <v>47</v>
      </c>
      <c r="AI54" s="6" t="s">
        <v>36</v>
      </c>
      <c r="AJ54" s="15"/>
      <c r="AK54" s="13">
        <v>22412</v>
      </c>
      <c r="AL54" s="12">
        <v>814575</v>
      </c>
      <c r="AM54" s="11">
        <v>66732</v>
      </c>
      <c r="AN54" s="11">
        <v>62610</v>
      </c>
      <c r="AO54" s="11">
        <v>64065</v>
      </c>
      <c r="AP54" s="11">
        <v>65509</v>
      </c>
      <c r="AQ54" s="11">
        <v>62207</v>
      </c>
      <c r="AR54" s="11">
        <v>66927</v>
      </c>
      <c r="AS54" s="11">
        <v>84952</v>
      </c>
      <c r="AT54" s="11">
        <v>82638</v>
      </c>
      <c r="AU54" s="15"/>
      <c r="AV54" s="8" t="s">
        <v>47</v>
      </c>
      <c r="AW54" s="8"/>
      <c r="AY54" s="6" t="s">
        <v>36</v>
      </c>
      <c r="AZ54" s="15"/>
      <c r="BA54" s="13">
        <v>21349</v>
      </c>
      <c r="BB54" s="12">
        <v>810976</v>
      </c>
      <c r="BC54" s="13">
        <v>54104</v>
      </c>
      <c r="BD54" s="13">
        <v>40141</v>
      </c>
      <c r="BE54" s="13">
        <v>54007</v>
      </c>
      <c r="BF54" s="13">
        <v>49343</v>
      </c>
      <c r="BG54" s="13">
        <v>44242</v>
      </c>
      <c r="BH54" s="13">
        <v>55536</v>
      </c>
      <c r="BI54" s="11">
        <v>62474</v>
      </c>
      <c r="BJ54" s="13">
        <v>54413</v>
      </c>
      <c r="BK54" s="15"/>
      <c r="BL54" s="8" t="s">
        <v>47</v>
      </c>
      <c r="BN54" s="84"/>
      <c r="BO54" s="71" t="s">
        <v>36</v>
      </c>
      <c r="BP54" s="72"/>
      <c r="BQ54" s="85">
        <v>23440</v>
      </c>
      <c r="BR54" s="86">
        <v>828516</v>
      </c>
      <c r="BS54" s="89">
        <v>189211</v>
      </c>
      <c r="BT54" s="89">
        <v>204772</v>
      </c>
      <c r="BU54" s="88">
        <v>164318</v>
      </c>
      <c r="BV54" s="89">
        <v>229227</v>
      </c>
      <c r="BW54" s="89">
        <v>220562</v>
      </c>
      <c r="BX54" s="89">
        <v>237408</v>
      </c>
      <c r="BY54" s="89">
        <v>227604</v>
      </c>
      <c r="BZ54" s="90">
        <v>256275</v>
      </c>
      <c r="CA54" s="72"/>
      <c r="CB54" s="73" t="s">
        <v>47</v>
      </c>
      <c r="CC54" s="73"/>
      <c r="CD54" s="84"/>
      <c r="CE54" s="71" t="s">
        <v>36</v>
      </c>
      <c r="CF54" s="72"/>
      <c r="CG54" s="85">
        <v>23815</v>
      </c>
      <c r="CH54" s="86">
        <v>824024</v>
      </c>
      <c r="CI54" s="85">
        <v>38508</v>
      </c>
      <c r="CJ54" s="85">
        <v>38343</v>
      </c>
      <c r="CK54" s="85">
        <v>38344</v>
      </c>
      <c r="CL54" s="85">
        <v>40399</v>
      </c>
      <c r="CM54" s="85">
        <v>38103</v>
      </c>
      <c r="CN54" s="85">
        <v>39505</v>
      </c>
      <c r="CO54" s="85">
        <v>42204</v>
      </c>
      <c r="CP54" s="85">
        <v>33940</v>
      </c>
      <c r="CQ54" s="72"/>
      <c r="CR54" s="73" t="s">
        <v>47</v>
      </c>
      <c r="CT54" s="84"/>
      <c r="CU54" s="71" t="s">
        <v>36</v>
      </c>
      <c r="CV54" s="72"/>
      <c r="CW54" s="85">
        <v>23765</v>
      </c>
      <c r="CX54" s="86">
        <v>828066</v>
      </c>
      <c r="CY54" s="92">
        <v>372019</v>
      </c>
      <c r="CZ54" s="92">
        <v>371440</v>
      </c>
      <c r="DA54" s="91">
        <v>354358</v>
      </c>
      <c r="DB54" s="91">
        <v>350050</v>
      </c>
      <c r="DC54" s="92">
        <v>397575</v>
      </c>
      <c r="DD54" s="92">
        <v>391110</v>
      </c>
      <c r="DE54" s="94">
        <v>426284</v>
      </c>
      <c r="DF54" s="94">
        <v>421783</v>
      </c>
      <c r="DG54" s="72"/>
      <c r="DH54" s="73" t="s">
        <v>47</v>
      </c>
      <c r="DI54" s="73"/>
      <c r="DJ54" s="84"/>
      <c r="DK54" s="71" t="s">
        <v>36</v>
      </c>
      <c r="DL54" s="72"/>
      <c r="DM54" s="85">
        <v>24824</v>
      </c>
      <c r="DN54" s="86">
        <v>807175</v>
      </c>
      <c r="DO54" s="85">
        <v>25058</v>
      </c>
      <c r="DP54" s="85">
        <v>24228</v>
      </c>
      <c r="DQ54" s="85">
        <v>24468</v>
      </c>
      <c r="DR54" s="85">
        <v>23804</v>
      </c>
      <c r="DS54" s="85">
        <v>24406</v>
      </c>
      <c r="DT54" s="85">
        <v>23854</v>
      </c>
      <c r="DU54" s="85">
        <v>25134</v>
      </c>
      <c r="DV54" s="85">
        <v>24828</v>
      </c>
      <c r="DW54" s="72"/>
      <c r="DX54" s="73" t="s">
        <v>47</v>
      </c>
    </row>
    <row r="55" spans="2:128" ht="18" x14ac:dyDescent="0.2">
      <c r="C55" s="6" t="s">
        <v>39</v>
      </c>
      <c r="D55" s="15"/>
      <c r="E55" s="13">
        <v>18862</v>
      </c>
      <c r="F55" s="12">
        <v>787694</v>
      </c>
      <c r="G55" s="13">
        <v>34788</v>
      </c>
      <c r="H55" s="13">
        <v>34130</v>
      </c>
      <c r="I55" s="13">
        <v>34877</v>
      </c>
      <c r="J55" s="13">
        <v>34443</v>
      </c>
      <c r="K55" s="13">
        <v>37393</v>
      </c>
      <c r="L55" s="13">
        <v>33376</v>
      </c>
      <c r="M55" s="13">
        <v>32598</v>
      </c>
      <c r="N55" s="13">
        <v>32497</v>
      </c>
      <c r="O55" s="15"/>
      <c r="P55" s="8" t="s">
        <v>47</v>
      </c>
      <c r="Q55" s="8"/>
      <c r="S55" s="6" t="s">
        <v>39</v>
      </c>
      <c r="T55" s="15"/>
      <c r="U55" s="13">
        <v>19179</v>
      </c>
      <c r="V55" s="12">
        <v>791986</v>
      </c>
      <c r="W55" s="13">
        <v>38224</v>
      </c>
      <c r="X55" s="13">
        <v>35238</v>
      </c>
      <c r="Y55" s="13">
        <v>40236</v>
      </c>
      <c r="Z55" s="13">
        <v>39329</v>
      </c>
      <c r="AA55" s="13">
        <v>37389</v>
      </c>
      <c r="AB55" s="13">
        <v>39354</v>
      </c>
      <c r="AC55" s="13">
        <v>36116</v>
      </c>
      <c r="AD55" s="13">
        <v>32814</v>
      </c>
      <c r="AE55" s="15"/>
      <c r="AF55" s="8" t="s">
        <v>47</v>
      </c>
      <c r="AI55" s="6" t="s">
        <v>39</v>
      </c>
      <c r="AJ55" s="15"/>
      <c r="AK55" s="13">
        <v>22214</v>
      </c>
      <c r="AL55" s="12">
        <v>814577</v>
      </c>
      <c r="AM55" s="11">
        <v>63140</v>
      </c>
      <c r="AN55" s="11">
        <v>58970</v>
      </c>
      <c r="AO55" s="11">
        <v>68907</v>
      </c>
      <c r="AP55" s="11">
        <v>67029</v>
      </c>
      <c r="AQ55" s="11">
        <v>72095</v>
      </c>
      <c r="AR55" s="11">
        <v>70016</v>
      </c>
      <c r="AS55" s="11">
        <v>90895</v>
      </c>
      <c r="AT55" s="11">
        <v>78237</v>
      </c>
      <c r="AU55" s="15"/>
      <c r="AV55" s="8" t="s">
        <v>47</v>
      </c>
      <c r="AW55" s="8"/>
      <c r="AY55" s="6" t="s">
        <v>39</v>
      </c>
      <c r="AZ55" s="15"/>
      <c r="BA55" s="13">
        <v>20626</v>
      </c>
      <c r="BB55" s="12">
        <v>817425</v>
      </c>
      <c r="BC55" s="13">
        <v>49017</v>
      </c>
      <c r="BD55" s="13">
        <v>54564</v>
      </c>
      <c r="BE55" s="13">
        <v>55153</v>
      </c>
      <c r="BF55" s="13">
        <v>52998</v>
      </c>
      <c r="BG55" s="13">
        <v>52152</v>
      </c>
      <c r="BH55" s="13">
        <v>55003</v>
      </c>
      <c r="BI55" s="13">
        <v>53547</v>
      </c>
      <c r="BJ55" s="13">
        <v>48641</v>
      </c>
      <c r="BK55" s="15"/>
      <c r="BL55" s="8" t="s">
        <v>47</v>
      </c>
      <c r="BN55" s="84"/>
      <c r="BO55" s="71" t="s">
        <v>39</v>
      </c>
      <c r="BP55" s="72"/>
      <c r="BQ55" s="85">
        <v>22869</v>
      </c>
      <c r="BR55" s="86">
        <v>827760</v>
      </c>
      <c r="BS55" s="88">
        <v>156468</v>
      </c>
      <c r="BT55" s="88">
        <v>150308</v>
      </c>
      <c r="BU55" s="89">
        <v>187648</v>
      </c>
      <c r="BV55" s="88">
        <v>160396</v>
      </c>
      <c r="BW55" s="88">
        <v>162703</v>
      </c>
      <c r="BX55" s="88">
        <v>156743</v>
      </c>
      <c r="BY55" s="88">
        <v>162776</v>
      </c>
      <c r="BZ55" s="88">
        <v>153095</v>
      </c>
      <c r="CA55" s="72"/>
      <c r="CB55" s="73" t="s">
        <v>47</v>
      </c>
      <c r="CC55" s="73"/>
      <c r="CD55" s="84"/>
      <c r="CE55" s="71" t="s">
        <v>39</v>
      </c>
      <c r="CF55" s="72"/>
      <c r="CG55" s="85">
        <v>23439</v>
      </c>
      <c r="CH55" s="86">
        <v>827989</v>
      </c>
      <c r="CI55" s="85">
        <v>37148</v>
      </c>
      <c r="CJ55" s="85">
        <v>34869</v>
      </c>
      <c r="CK55" s="85">
        <v>33970</v>
      </c>
      <c r="CL55" s="85">
        <v>33486</v>
      </c>
      <c r="CM55" s="85">
        <v>35540</v>
      </c>
      <c r="CN55" s="85">
        <v>35215</v>
      </c>
      <c r="CO55" s="85">
        <v>39643</v>
      </c>
      <c r="CP55" s="85">
        <v>43795</v>
      </c>
      <c r="CQ55" s="72"/>
      <c r="CR55" s="73" t="s">
        <v>47</v>
      </c>
      <c r="CT55" s="84"/>
      <c r="CU55" s="71" t="s">
        <v>39</v>
      </c>
      <c r="CV55" s="72"/>
      <c r="CW55" s="85">
        <v>22614</v>
      </c>
      <c r="CX55" s="86">
        <v>830002</v>
      </c>
      <c r="CY55" s="90">
        <v>278839</v>
      </c>
      <c r="CZ55" s="90">
        <v>255105</v>
      </c>
      <c r="DA55" s="90">
        <v>272397</v>
      </c>
      <c r="DB55" s="91">
        <v>301669</v>
      </c>
      <c r="DC55" s="90">
        <v>260473</v>
      </c>
      <c r="DD55" s="91">
        <v>326158</v>
      </c>
      <c r="DE55" s="89">
        <v>229858</v>
      </c>
      <c r="DF55" s="90">
        <v>252743</v>
      </c>
      <c r="DG55" s="72"/>
      <c r="DH55" s="73" t="s">
        <v>47</v>
      </c>
      <c r="DI55" s="73"/>
      <c r="DJ55" s="84"/>
      <c r="DK55" s="71" t="s">
        <v>39</v>
      </c>
      <c r="DL55" s="72"/>
      <c r="DM55" s="85">
        <v>24228</v>
      </c>
      <c r="DN55" s="86">
        <v>814496</v>
      </c>
      <c r="DO55" s="85">
        <v>23814</v>
      </c>
      <c r="DP55" s="85">
        <v>24185</v>
      </c>
      <c r="DQ55" s="85">
        <v>24268</v>
      </c>
      <c r="DR55" s="85">
        <v>24171</v>
      </c>
      <c r="DS55" s="85">
        <v>24378</v>
      </c>
      <c r="DT55" s="85">
        <v>24398</v>
      </c>
      <c r="DU55" s="85">
        <v>24622</v>
      </c>
      <c r="DV55" s="85">
        <v>24377</v>
      </c>
      <c r="DW55" s="72"/>
      <c r="DX55" s="73" t="s">
        <v>47</v>
      </c>
    </row>
    <row r="56" spans="2:128" ht="18" x14ac:dyDescent="0.2">
      <c r="C56" s="6" t="s">
        <v>42</v>
      </c>
      <c r="D56" s="15"/>
      <c r="E56" s="13">
        <v>18921</v>
      </c>
      <c r="F56" s="12">
        <v>786825</v>
      </c>
      <c r="G56" s="13">
        <v>34208</v>
      </c>
      <c r="H56" s="13">
        <v>32240</v>
      </c>
      <c r="I56" s="13">
        <v>32116</v>
      </c>
      <c r="J56" s="13">
        <v>31754</v>
      </c>
      <c r="K56" s="13">
        <v>34470</v>
      </c>
      <c r="L56" s="13">
        <v>33298</v>
      </c>
      <c r="M56" s="13">
        <v>32651</v>
      </c>
      <c r="N56" s="13">
        <v>34734</v>
      </c>
      <c r="O56" s="15"/>
      <c r="P56" s="8" t="s">
        <v>47</v>
      </c>
      <c r="Q56" s="8"/>
      <c r="S56" s="6" t="s">
        <v>42</v>
      </c>
      <c r="T56" s="15"/>
      <c r="U56" s="13">
        <v>19021</v>
      </c>
      <c r="V56" s="12">
        <v>788270</v>
      </c>
      <c r="W56" s="13">
        <v>39315</v>
      </c>
      <c r="X56" s="13">
        <v>37211</v>
      </c>
      <c r="Y56" s="13">
        <v>36092</v>
      </c>
      <c r="Z56" s="13">
        <v>37211</v>
      </c>
      <c r="AA56" s="13">
        <v>40694</v>
      </c>
      <c r="AB56" s="13">
        <v>38934</v>
      </c>
      <c r="AC56" s="13">
        <v>35399</v>
      </c>
      <c r="AD56" s="13">
        <v>34506</v>
      </c>
      <c r="AE56" s="15"/>
      <c r="AF56" s="8" t="s">
        <v>47</v>
      </c>
      <c r="AI56" s="6" t="s">
        <v>42</v>
      </c>
      <c r="AJ56" s="15"/>
      <c r="AK56" s="13">
        <v>22222</v>
      </c>
      <c r="AL56" s="12">
        <v>813941</v>
      </c>
      <c r="AM56" s="11">
        <v>58544</v>
      </c>
      <c r="AN56" s="13">
        <v>56840</v>
      </c>
      <c r="AO56" s="13">
        <v>56286</v>
      </c>
      <c r="AP56" s="11">
        <v>59219</v>
      </c>
      <c r="AQ56" s="13">
        <v>55371</v>
      </c>
      <c r="AR56" s="11">
        <v>58511</v>
      </c>
      <c r="AS56" s="11">
        <v>58844</v>
      </c>
      <c r="AT56" s="11">
        <v>79358</v>
      </c>
      <c r="AU56" s="15"/>
      <c r="AV56" s="8" t="s">
        <v>47</v>
      </c>
      <c r="AW56" s="8"/>
      <c r="AY56" s="6" t="s">
        <v>42</v>
      </c>
      <c r="AZ56" s="15"/>
      <c r="BA56" s="13">
        <v>21576</v>
      </c>
      <c r="BB56" s="12">
        <v>815042</v>
      </c>
      <c r="BC56" s="13">
        <v>46608</v>
      </c>
      <c r="BD56" s="13">
        <v>43349</v>
      </c>
      <c r="BE56" s="13">
        <v>43211</v>
      </c>
      <c r="BF56" s="13">
        <v>40611</v>
      </c>
      <c r="BG56" s="13">
        <v>44472</v>
      </c>
      <c r="BH56" s="13">
        <v>46181</v>
      </c>
      <c r="BI56" s="13">
        <v>40580</v>
      </c>
      <c r="BJ56" s="13">
        <v>46536</v>
      </c>
      <c r="BK56" s="15"/>
      <c r="BL56" s="8" t="s">
        <v>47</v>
      </c>
      <c r="BN56" s="84"/>
      <c r="BO56" s="71" t="s">
        <v>42</v>
      </c>
      <c r="BP56" s="72"/>
      <c r="BQ56" s="85">
        <v>23229</v>
      </c>
      <c r="BR56" s="86">
        <v>831213</v>
      </c>
      <c r="BS56" s="87">
        <v>74904</v>
      </c>
      <c r="BT56" s="87">
        <v>95881</v>
      </c>
      <c r="BU56" s="87">
        <v>109088</v>
      </c>
      <c r="BV56" s="87">
        <v>91105</v>
      </c>
      <c r="BW56" s="87">
        <v>91995</v>
      </c>
      <c r="BX56" s="87">
        <v>90229</v>
      </c>
      <c r="BY56" s="87">
        <v>80709</v>
      </c>
      <c r="BZ56" s="87">
        <v>95543</v>
      </c>
      <c r="CA56" s="72"/>
      <c r="CB56" s="73" t="s">
        <v>47</v>
      </c>
      <c r="CC56" s="73"/>
      <c r="CD56" s="84"/>
      <c r="CE56" s="71" t="s">
        <v>42</v>
      </c>
      <c r="CF56" s="72"/>
      <c r="CG56" s="85">
        <v>23468</v>
      </c>
      <c r="CH56" s="86">
        <v>830082</v>
      </c>
      <c r="CI56" s="85">
        <v>34851</v>
      </c>
      <c r="CJ56" s="85">
        <v>32929</v>
      </c>
      <c r="CK56" s="85">
        <v>34888</v>
      </c>
      <c r="CL56" s="85">
        <v>31951</v>
      </c>
      <c r="CM56" s="85">
        <v>32312</v>
      </c>
      <c r="CN56" s="85">
        <v>32254</v>
      </c>
      <c r="CO56" s="85">
        <v>31835</v>
      </c>
      <c r="CP56" s="85">
        <v>39535</v>
      </c>
      <c r="CQ56" s="72"/>
      <c r="CR56" s="73" t="s">
        <v>47</v>
      </c>
      <c r="CT56" s="84"/>
      <c r="CU56" s="71" t="s">
        <v>42</v>
      </c>
      <c r="CV56" s="72"/>
      <c r="CW56" s="85">
        <v>24023</v>
      </c>
      <c r="CX56" s="86">
        <v>833574</v>
      </c>
      <c r="CY56" s="87">
        <v>99963</v>
      </c>
      <c r="CZ56" s="87">
        <v>89943</v>
      </c>
      <c r="DA56" s="87">
        <v>98397</v>
      </c>
      <c r="DB56" s="87">
        <v>85266</v>
      </c>
      <c r="DC56" s="87">
        <v>85902</v>
      </c>
      <c r="DD56" s="87">
        <v>101082</v>
      </c>
      <c r="DE56" s="87">
        <v>88053</v>
      </c>
      <c r="DF56" s="88">
        <v>120320</v>
      </c>
      <c r="DG56" s="72"/>
      <c r="DH56" s="73" t="s">
        <v>47</v>
      </c>
      <c r="DI56" s="73"/>
      <c r="DJ56" s="84"/>
      <c r="DK56" s="71" t="s">
        <v>42</v>
      </c>
      <c r="DL56" s="72"/>
      <c r="DM56" s="85">
        <v>24488</v>
      </c>
      <c r="DN56" s="86">
        <v>812977</v>
      </c>
      <c r="DO56" s="85">
        <v>24526</v>
      </c>
      <c r="DP56" s="85">
        <v>24308</v>
      </c>
      <c r="DQ56" s="85">
        <v>24284</v>
      </c>
      <c r="DR56" s="85">
        <v>24592</v>
      </c>
      <c r="DS56" s="85">
        <v>23978</v>
      </c>
      <c r="DT56" s="85">
        <v>24221</v>
      </c>
      <c r="DU56" s="85">
        <v>24317</v>
      </c>
      <c r="DV56" s="85">
        <v>24888</v>
      </c>
      <c r="DW56" s="72"/>
      <c r="DX56" s="73" t="s">
        <v>47</v>
      </c>
    </row>
    <row r="57" spans="2:128" ht="18" x14ac:dyDescent="0.2">
      <c r="C57" s="6" t="s">
        <v>43</v>
      </c>
      <c r="D57" s="15"/>
      <c r="E57" s="13">
        <v>18846</v>
      </c>
      <c r="F57" s="12">
        <v>786624</v>
      </c>
      <c r="G57" s="13">
        <v>31129</v>
      </c>
      <c r="H57" s="13">
        <v>30435</v>
      </c>
      <c r="I57" s="13">
        <v>30795</v>
      </c>
      <c r="J57" s="13">
        <v>32082</v>
      </c>
      <c r="K57" s="13">
        <v>32295</v>
      </c>
      <c r="L57" s="13">
        <v>33119</v>
      </c>
      <c r="M57" s="13">
        <v>34409</v>
      </c>
      <c r="N57" s="13">
        <v>35347</v>
      </c>
      <c r="O57" s="15"/>
      <c r="P57" s="8" t="s">
        <v>47</v>
      </c>
      <c r="Q57" s="8"/>
      <c r="S57" s="6" t="s">
        <v>43</v>
      </c>
      <c r="T57" s="15"/>
      <c r="U57" s="13">
        <v>19167</v>
      </c>
      <c r="V57" s="12">
        <v>786344</v>
      </c>
      <c r="W57" s="13">
        <v>37513</v>
      </c>
      <c r="X57" s="13">
        <v>33772</v>
      </c>
      <c r="Y57" s="13">
        <v>35302</v>
      </c>
      <c r="Z57" s="13">
        <v>35068</v>
      </c>
      <c r="AA57" s="13">
        <v>36179</v>
      </c>
      <c r="AB57" s="13">
        <v>36954</v>
      </c>
      <c r="AC57" s="13">
        <v>37225</v>
      </c>
      <c r="AD57" s="13">
        <v>33485</v>
      </c>
      <c r="AE57" s="15"/>
      <c r="AF57" s="8" t="s">
        <v>47</v>
      </c>
      <c r="AI57" s="6" t="s">
        <v>43</v>
      </c>
      <c r="AJ57" s="15"/>
      <c r="AK57" s="13">
        <v>22613</v>
      </c>
      <c r="AL57" s="12">
        <v>813752</v>
      </c>
      <c r="AM57" s="13">
        <v>51010</v>
      </c>
      <c r="AN57" s="13">
        <v>44042</v>
      </c>
      <c r="AO57" s="13">
        <v>51194</v>
      </c>
      <c r="AP57" s="13">
        <v>56900</v>
      </c>
      <c r="AQ57" s="13">
        <v>53103</v>
      </c>
      <c r="AR57" s="11">
        <v>60608</v>
      </c>
      <c r="AS57" s="11">
        <v>63856</v>
      </c>
      <c r="AT57" s="11">
        <v>76151</v>
      </c>
      <c r="AU57" s="15"/>
      <c r="AV57" s="8" t="s">
        <v>47</v>
      </c>
      <c r="AW57" s="8"/>
      <c r="AY57" s="6" t="s">
        <v>43</v>
      </c>
      <c r="AZ57" s="15"/>
      <c r="BA57" s="13">
        <v>22409</v>
      </c>
      <c r="BB57" s="12">
        <v>813369</v>
      </c>
      <c r="BC57" s="13">
        <v>37644</v>
      </c>
      <c r="BD57" s="13">
        <v>36869</v>
      </c>
      <c r="BE57" s="13">
        <v>40987</v>
      </c>
      <c r="BF57" s="13">
        <v>38970</v>
      </c>
      <c r="BG57" s="13">
        <v>39980</v>
      </c>
      <c r="BH57" s="13">
        <v>43283</v>
      </c>
      <c r="BI57" s="13">
        <v>43756</v>
      </c>
      <c r="BJ57" s="13">
        <v>46903</v>
      </c>
      <c r="BK57" s="15"/>
      <c r="BL57" s="8" t="s">
        <v>47</v>
      </c>
      <c r="BN57" s="84"/>
      <c r="BO57" s="71" t="s">
        <v>43</v>
      </c>
      <c r="BP57" s="72"/>
      <c r="BQ57" s="85">
        <v>23565</v>
      </c>
      <c r="BR57" s="86">
        <v>819642</v>
      </c>
      <c r="BS57" s="85">
        <v>48897</v>
      </c>
      <c r="BT57" s="85">
        <v>46845</v>
      </c>
      <c r="BU57" s="85">
        <v>43350</v>
      </c>
      <c r="BV57" s="85">
        <v>49746</v>
      </c>
      <c r="BW57" s="85">
        <v>51693</v>
      </c>
      <c r="BX57" s="85">
        <v>57691</v>
      </c>
      <c r="BY57" s="85">
        <v>57918</v>
      </c>
      <c r="BZ57" s="87">
        <v>61338</v>
      </c>
      <c r="CA57" s="72"/>
      <c r="CB57" s="73" t="s">
        <v>47</v>
      </c>
      <c r="CC57" s="73"/>
      <c r="CD57" s="84"/>
      <c r="CE57" s="71" t="s">
        <v>43</v>
      </c>
      <c r="CF57" s="72"/>
      <c r="CG57" s="85">
        <v>23810</v>
      </c>
      <c r="CH57" s="86">
        <v>828513</v>
      </c>
      <c r="CI57" s="85">
        <v>32201</v>
      </c>
      <c r="CJ57" s="85">
        <v>30924</v>
      </c>
      <c r="CK57" s="85">
        <v>32955</v>
      </c>
      <c r="CL57" s="85">
        <v>30886</v>
      </c>
      <c r="CM57" s="85">
        <v>30460</v>
      </c>
      <c r="CN57" s="85">
        <v>33967</v>
      </c>
      <c r="CO57" s="85">
        <v>31616</v>
      </c>
      <c r="CP57" s="85">
        <v>37663</v>
      </c>
      <c r="CQ57" s="72"/>
      <c r="CR57" s="73" t="s">
        <v>47</v>
      </c>
      <c r="CT57" s="84"/>
      <c r="CU57" s="71" t="s">
        <v>43</v>
      </c>
      <c r="CV57" s="72"/>
      <c r="CW57" s="85">
        <v>24032</v>
      </c>
      <c r="CX57" s="86">
        <v>824458</v>
      </c>
      <c r="CY57" s="85">
        <v>33674</v>
      </c>
      <c r="CZ57" s="85">
        <v>34969</v>
      </c>
      <c r="DA57" s="85">
        <v>34471</v>
      </c>
      <c r="DB57" s="85">
        <v>35559</v>
      </c>
      <c r="DC57" s="85">
        <v>33879</v>
      </c>
      <c r="DD57" s="85">
        <v>36072</v>
      </c>
      <c r="DE57" s="85">
        <v>37656</v>
      </c>
      <c r="DF57" s="85">
        <v>46514</v>
      </c>
      <c r="DG57" s="72"/>
      <c r="DH57" s="73" t="s">
        <v>47</v>
      </c>
      <c r="DI57" s="73"/>
      <c r="DJ57" s="84"/>
      <c r="DK57" s="71" t="s">
        <v>43</v>
      </c>
      <c r="DL57" s="72"/>
      <c r="DM57" s="85">
        <v>24415</v>
      </c>
      <c r="DN57" s="86">
        <v>815465</v>
      </c>
      <c r="DO57" s="85">
        <v>24185</v>
      </c>
      <c r="DP57" s="85">
        <v>24245</v>
      </c>
      <c r="DQ57" s="85">
        <v>24792</v>
      </c>
      <c r="DR57" s="85">
        <v>24325</v>
      </c>
      <c r="DS57" s="85">
        <v>24864</v>
      </c>
      <c r="DT57" s="85">
        <v>25117</v>
      </c>
      <c r="DU57" s="85">
        <v>24329</v>
      </c>
      <c r="DV57" s="85">
        <v>25355</v>
      </c>
      <c r="DW57" s="72"/>
      <c r="DX57" s="73" t="s">
        <v>47</v>
      </c>
    </row>
    <row r="58" spans="2:128" ht="18" x14ac:dyDescent="0.2">
      <c r="C58" s="6" t="s">
        <v>44</v>
      </c>
      <c r="D58" s="15"/>
      <c r="E58" s="13">
        <v>19072</v>
      </c>
      <c r="F58" s="12">
        <v>795097</v>
      </c>
      <c r="G58" s="13">
        <v>30495</v>
      </c>
      <c r="H58" s="13">
        <v>32275</v>
      </c>
      <c r="I58" s="13">
        <v>30861</v>
      </c>
      <c r="J58" s="13">
        <v>32152</v>
      </c>
      <c r="K58" s="13">
        <v>31033</v>
      </c>
      <c r="L58" s="13">
        <v>32497</v>
      </c>
      <c r="M58" s="13">
        <v>34986</v>
      </c>
      <c r="N58" s="13">
        <v>33553</v>
      </c>
      <c r="O58" s="15"/>
      <c r="P58" s="8" t="s">
        <v>47</v>
      </c>
      <c r="Q58" s="8"/>
      <c r="S58" s="6" t="s">
        <v>44</v>
      </c>
      <c r="T58" s="15"/>
      <c r="U58" s="13">
        <v>19277</v>
      </c>
      <c r="V58" s="12">
        <v>790328</v>
      </c>
      <c r="W58" s="13">
        <v>33680</v>
      </c>
      <c r="X58" s="13">
        <v>31757</v>
      </c>
      <c r="Y58" s="13">
        <v>31938</v>
      </c>
      <c r="Z58" s="13">
        <v>33661</v>
      </c>
      <c r="AA58" s="13">
        <v>33959</v>
      </c>
      <c r="AB58" s="13">
        <v>32984</v>
      </c>
      <c r="AC58" s="13">
        <v>32746</v>
      </c>
      <c r="AD58" s="13">
        <v>33231</v>
      </c>
      <c r="AE58" s="15"/>
      <c r="AF58" s="8" t="s">
        <v>47</v>
      </c>
      <c r="AI58" s="6" t="s">
        <v>44</v>
      </c>
      <c r="AJ58" s="15"/>
      <c r="AK58" s="13">
        <v>23169</v>
      </c>
      <c r="AL58" s="12">
        <v>817757</v>
      </c>
      <c r="AM58" s="13">
        <v>42981</v>
      </c>
      <c r="AN58" s="11">
        <v>68074</v>
      </c>
      <c r="AO58" s="13">
        <v>46832</v>
      </c>
      <c r="AP58" s="13">
        <v>56279</v>
      </c>
      <c r="AQ58" s="13">
        <v>45387</v>
      </c>
      <c r="AR58" s="13">
        <v>53353</v>
      </c>
      <c r="AS58" s="13">
        <v>56467</v>
      </c>
      <c r="AT58" s="13">
        <v>53456</v>
      </c>
      <c r="AU58" s="15"/>
      <c r="AV58" s="8" t="s">
        <v>47</v>
      </c>
      <c r="AW58" s="8"/>
      <c r="AY58" s="6" t="s">
        <v>44</v>
      </c>
      <c r="AZ58" s="15"/>
      <c r="BA58" s="13">
        <v>22860</v>
      </c>
      <c r="BB58" s="12">
        <v>810454</v>
      </c>
      <c r="BC58" s="13">
        <v>44244</v>
      </c>
      <c r="BD58" s="13">
        <v>46795</v>
      </c>
      <c r="BE58" s="13">
        <v>40907</v>
      </c>
      <c r="BF58" s="13">
        <v>46033</v>
      </c>
      <c r="BG58" s="13">
        <v>43341</v>
      </c>
      <c r="BH58" s="13">
        <v>40111</v>
      </c>
      <c r="BI58" s="13">
        <v>42550</v>
      </c>
      <c r="BJ58" s="13">
        <v>50535</v>
      </c>
      <c r="BK58" s="15"/>
      <c r="BL58" s="8" t="s">
        <v>47</v>
      </c>
      <c r="BN58" s="84"/>
      <c r="BO58" s="71" t="s">
        <v>44</v>
      </c>
      <c r="BP58" s="72"/>
      <c r="BQ58" s="93">
        <v>478282</v>
      </c>
      <c r="BR58" s="86">
        <v>824079</v>
      </c>
      <c r="BS58" s="85">
        <v>34721</v>
      </c>
      <c r="BT58" s="85">
        <v>45351</v>
      </c>
      <c r="BU58" s="85">
        <v>42723</v>
      </c>
      <c r="BV58" s="85">
        <v>42993</v>
      </c>
      <c r="BW58" s="85">
        <v>36356</v>
      </c>
      <c r="BX58" s="85">
        <v>47514</v>
      </c>
      <c r="BY58" s="85">
        <v>52569</v>
      </c>
      <c r="BZ58" s="85">
        <v>43128</v>
      </c>
      <c r="CA58" s="72"/>
      <c r="CB58" s="73" t="s">
        <v>47</v>
      </c>
      <c r="CC58" s="73"/>
      <c r="CD58" s="84"/>
      <c r="CE58" s="71" t="s">
        <v>44</v>
      </c>
      <c r="CF58" s="72"/>
      <c r="CG58" s="85">
        <v>23897</v>
      </c>
      <c r="CH58" s="86">
        <v>833435</v>
      </c>
      <c r="CI58" s="85">
        <v>30144</v>
      </c>
      <c r="CJ58" s="85">
        <v>31263</v>
      </c>
      <c r="CK58" s="85">
        <v>33371</v>
      </c>
      <c r="CL58" s="85">
        <v>35479</v>
      </c>
      <c r="CM58" s="85">
        <v>33237</v>
      </c>
      <c r="CN58" s="85">
        <v>33191</v>
      </c>
      <c r="CO58" s="85">
        <v>34925</v>
      </c>
      <c r="CP58" s="85">
        <v>36714</v>
      </c>
      <c r="CQ58" s="72"/>
      <c r="CR58" s="73" t="s">
        <v>47</v>
      </c>
      <c r="CT58" s="84"/>
      <c r="CU58" s="71" t="s">
        <v>44</v>
      </c>
      <c r="CV58" s="72"/>
      <c r="CW58" s="85">
        <v>74</v>
      </c>
      <c r="CX58" s="86">
        <v>823558</v>
      </c>
      <c r="CY58" s="85">
        <v>26479</v>
      </c>
      <c r="CZ58" s="85">
        <v>27031</v>
      </c>
      <c r="DA58" s="85">
        <v>26679</v>
      </c>
      <c r="DB58" s="85">
        <v>28300</v>
      </c>
      <c r="DC58" s="85">
        <v>27183</v>
      </c>
      <c r="DD58" s="85">
        <v>28540</v>
      </c>
      <c r="DE58" s="85">
        <v>30277</v>
      </c>
      <c r="DF58" s="85">
        <v>31593</v>
      </c>
      <c r="DG58" s="72"/>
      <c r="DH58" s="73" t="s">
        <v>47</v>
      </c>
      <c r="DI58" s="73"/>
      <c r="DJ58" s="84"/>
      <c r="DK58" s="71" t="s">
        <v>44</v>
      </c>
      <c r="DL58" s="72"/>
      <c r="DM58" s="85">
        <v>24194</v>
      </c>
      <c r="DN58" s="86">
        <v>810755</v>
      </c>
      <c r="DO58" s="85">
        <v>25420</v>
      </c>
      <c r="DP58" s="85">
        <v>25817</v>
      </c>
      <c r="DQ58" s="85">
        <v>25547</v>
      </c>
      <c r="DR58" s="85">
        <v>25981</v>
      </c>
      <c r="DS58" s="85">
        <v>25870</v>
      </c>
      <c r="DT58" s="85">
        <v>25888</v>
      </c>
      <c r="DU58" s="85">
        <v>26448</v>
      </c>
      <c r="DV58" s="85">
        <v>26613</v>
      </c>
      <c r="DW58" s="72"/>
      <c r="DX58" s="73" t="s">
        <v>47</v>
      </c>
    </row>
    <row r="59" spans="2:128" ht="18" x14ac:dyDescent="0.2">
      <c r="C59" s="6" t="s">
        <v>45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8" t="s">
        <v>47</v>
      </c>
      <c r="Q59" s="8"/>
      <c r="S59" s="6" t="s">
        <v>45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8" t="s">
        <v>47</v>
      </c>
      <c r="AI59" s="6" t="s">
        <v>45</v>
      </c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8" t="s">
        <v>47</v>
      </c>
      <c r="AW59" s="8"/>
      <c r="AY59" s="6" t="s">
        <v>45</v>
      </c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8" t="s">
        <v>47</v>
      </c>
      <c r="BN59" s="84"/>
      <c r="BO59" s="71" t="s">
        <v>45</v>
      </c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3" t="s">
        <v>47</v>
      </c>
      <c r="CC59" s="73"/>
      <c r="CD59" s="84"/>
      <c r="CE59" s="71" t="s">
        <v>45</v>
      </c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3" t="s">
        <v>47</v>
      </c>
      <c r="CT59" s="84"/>
      <c r="CU59" s="71" t="s">
        <v>45</v>
      </c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3" t="s">
        <v>47</v>
      </c>
      <c r="DI59" s="73"/>
      <c r="DJ59" s="84"/>
      <c r="DK59" s="71" t="s">
        <v>45</v>
      </c>
      <c r="DL59" s="72"/>
      <c r="DM59" s="72"/>
      <c r="DN59" s="72"/>
      <c r="DO59" s="72"/>
      <c r="DP59" s="72"/>
      <c r="DQ59" s="72"/>
      <c r="DR59" s="72"/>
      <c r="DS59" s="72"/>
      <c r="DT59" s="72"/>
      <c r="DU59" s="72"/>
      <c r="DV59" s="72"/>
      <c r="DW59" s="72"/>
      <c r="DX59" s="73" t="s">
        <v>47</v>
      </c>
    </row>
    <row r="60" spans="2:128" x14ac:dyDescent="0.2"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</row>
    <row r="61" spans="2:128" ht="38.25" x14ac:dyDescent="0.2">
      <c r="B61" s="3" t="s">
        <v>49</v>
      </c>
      <c r="C61" s="4"/>
      <c r="R61" s="3" t="s">
        <v>49</v>
      </c>
      <c r="S61" s="4"/>
      <c r="AH61" s="3" t="s">
        <v>49</v>
      </c>
      <c r="AI61" s="4"/>
      <c r="AX61" s="3" t="s">
        <v>49</v>
      </c>
      <c r="AY61" s="4"/>
      <c r="BN61" s="82" t="s">
        <v>49</v>
      </c>
      <c r="BO61" s="83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2" t="s">
        <v>49</v>
      </c>
      <c r="CE61" s="83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T61" s="82" t="s">
        <v>49</v>
      </c>
      <c r="CU61" s="83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2" t="s">
        <v>49</v>
      </c>
      <c r="DK61" s="83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</row>
    <row r="62" spans="2:128" x14ac:dyDescent="0.2"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</row>
    <row r="63" spans="2:128" x14ac:dyDescent="0.2">
      <c r="C63" s="5"/>
      <c r="D63" s="6">
        <v>1</v>
      </c>
      <c r="E63" s="6">
        <v>2</v>
      </c>
      <c r="F63" s="6">
        <v>3</v>
      </c>
      <c r="G63" s="6">
        <v>4</v>
      </c>
      <c r="H63" s="6">
        <v>5</v>
      </c>
      <c r="I63" s="6">
        <v>6</v>
      </c>
      <c r="J63" s="6">
        <v>7</v>
      </c>
      <c r="K63" s="6">
        <v>8</v>
      </c>
      <c r="L63" s="6">
        <v>9</v>
      </c>
      <c r="M63" s="6">
        <v>10</v>
      </c>
      <c r="N63" s="6">
        <v>11</v>
      </c>
      <c r="O63" s="6">
        <v>12</v>
      </c>
      <c r="S63" s="5"/>
      <c r="T63" s="6">
        <v>1</v>
      </c>
      <c r="U63" s="6">
        <v>2</v>
      </c>
      <c r="V63" s="6">
        <v>3</v>
      </c>
      <c r="W63" s="6">
        <v>4</v>
      </c>
      <c r="X63" s="6">
        <v>5</v>
      </c>
      <c r="Y63" s="6">
        <v>6</v>
      </c>
      <c r="Z63" s="6">
        <v>7</v>
      </c>
      <c r="AA63" s="6">
        <v>8</v>
      </c>
      <c r="AB63" s="6">
        <v>9</v>
      </c>
      <c r="AC63" s="6">
        <v>10</v>
      </c>
      <c r="AD63" s="6">
        <v>11</v>
      </c>
      <c r="AE63" s="6">
        <v>12</v>
      </c>
      <c r="AI63" s="5"/>
      <c r="AJ63" s="6">
        <v>1</v>
      </c>
      <c r="AK63" s="6">
        <v>2</v>
      </c>
      <c r="AL63" s="6">
        <v>3</v>
      </c>
      <c r="AM63" s="6">
        <v>4</v>
      </c>
      <c r="AN63" s="6">
        <v>5</v>
      </c>
      <c r="AO63" s="6">
        <v>6</v>
      </c>
      <c r="AP63" s="6">
        <v>7</v>
      </c>
      <c r="AQ63" s="6">
        <v>8</v>
      </c>
      <c r="AR63" s="6">
        <v>9</v>
      </c>
      <c r="AS63" s="6">
        <v>10</v>
      </c>
      <c r="AT63" s="6">
        <v>11</v>
      </c>
      <c r="AU63" s="6">
        <v>12</v>
      </c>
      <c r="AY63" s="5"/>
      <c r="AZ63" s="6">
        <v>1</v>
      </c>
      <c r="BA63" s="6">
        <v>2</v>
      </c>
      <c r="BB63" s="6">
        <v>3</v>
      </c>
      <c r="BC63" s="6">
        <v>4</v>
      </c>
      <c r="BD63" s="6">
        <v>5</v>
      </c>
      <c r="BE63" s="6">
        <v>6</v>
      </c>
      <c r="BF63" s="6">
        <v>7</v>
      </c>
      <c r="BG63" s="6">
        <v>8</v>
      </c>
      <c r="BH63" s="6">
        <v>9</v>
      </c>
      <c r="BI63" s="6">
        <v>10</v>
      </c>
      <c r="BJ63" s="6">
        <v>11</v>
      </c>
      <c r="BK63" s="6">
        <v>12</v>
      </c>
      <c r="BN63" s="84"/>
      <c r="BO63" s="70"/>
      <c r="BP63" s="71">
        <v>1</v>
      </c>
      <c r="BQ63" s="71">
        <v>2</v>
      </c>
      <c r="BR63" s="71">
        <v>3</v>
      </c>
      <c r="BS63" s="71">
        <v>4</v>
      </c>
      <c r="BT63" s="71">
        <v>5</v>
      </c>
      <c r="BU63" s="71">
        <v>6</v>
      </c>
      <c r="BV63" s="71">
        <v>7</v>
      </c>
      <c r="BW63" s="71">
        <v>8</v>
      </c>
      <c r="BX63" s="71">
        <v>9</v>
      </c>
      <c r="BY63" s="71">
        <v>10</v>
      </c>
      <c r="BZ63" s="71">
        <v>11</v>
      </c>
      <c r="CA63" s="71">
        <v>12</v>
      </c>
      <c r="CB63" s="84"/>
      <c r="CC63" s="84"/>
      <c r="CD63" s="84"/>
      <c r="CE63" s="70"/>
      <c r="CF63" s="71">
        <v>1</v>
      </c>
      <c r="CG63" s="71">
        <v>2</v>
      </c>
      <c r="CH63" s="71">
        <v>3</v>
      </c>
      <c r="CI63" s="71">
        <v>4</v>
      </c>
      <c r="CJ63" s="71">
        <v>5</v>
      </c>
      <c r="CK63" s="71">
        <v>6</v>
      </c>
      <c r="CL63" s="71">
        <v>7</v>
      </c>
      <c r="CM63" s="71">
        <v>8</v>
      </c>
      <c r="CN63" s="71">
        <v>9</v>
      </c>
      <c r="CO63" s="71">
        <v>10</v>
      </c>
      <c r="CP63" s="71">
        <v>11</v>
      </c>
      <c r="CQ63" s="71">
        <v>12</v>
      </c>
      <c r="CR63" s="84"/>
      <c r="CT63" s="84"/>
      <c r="CU63" s="70"/>
      <c r="CV63" s="71">
        <v>1</v>
      </c>
      <c r="CW63" s="71">
        <v>2</v>
      </c>
      <c r="CX63" s="71">
        <v>3</v>
      </c>
      <c r="CY63" s="71">
        <v>4</v>
      </c>
      <c r="CZ63" s="71">
        <v>5</v>
      </c>
      <c r="DA63" s="71">
        <v>6</v>
      </c>
      <c r="DB63" s="71">
        <v>7</v>
      </c>
      <c r="DC63" s="71">
        <v>8</v>
      </c>
      <c r="DD63" s="71">
        <v>9</v>
      </c>
      <c r="DE63" s="71">
        <v>10</v>
      </c>
      <c r="DF63" s="71">
        <v>11</v>
      </c>
      <c r="DG63" s="71">
        <v>12</v>
      </c>
      <c r="DH63" s="84"/>
      <c r="DI63" s="84"/>
      <c r="DJ63" s="84"/>
      <c r="DK63" s="70"/>
      <c r="DL63" s="71">
        <v>1</v>
      </c>
      <c r="DM63" s="71">
        <v>2</v>
      </c>
      <c r="DN63" s="71">
        <v>3</v>
      </c>
      <c r="DO63" s="71">
        <v>4</v>
      </c>
      <c r="DP63" s="71">
        <v>5</v>
      </c>
      <c r="DQ63" s="71">
        <v>6</v>
      </c>
      <c r="DR63" s="71">
        <v>7</v>
      </c>
      <c r="DS63" s="71">
        <v>8</v>
      </c>
      <c r="DT63" s="71">
        <v>9</v>
      </c>
      <c r="DU63" s="71">
        <v>10</v>
      </c>
      <c r="DV63" s="71">
        <v>11</v>
      </c>
      <c r="DW63" s="71">
        <v>12</v>
      </c>
      <c r="DX63" s="84"/>
    </row>
    <row r="64" spans="2:128" ht="27" x14ac:dyDescent="0.2">
      <c r="C64" s="6" t="s">
        <v>29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8" t="s">
        <v>49</v>
      </c>
      <c r="S64" s="6" t="s">
        <v>29</v>
      </c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8" t="s">
        <v>49</v>
      </c>
      <c r="AI64" s="6" t="s">
        <v>29</v>
      </c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8" t="s">
        <v>49</v>
      </c>
      <c r="AY64" s="6" t="s">
        <v>29</v>
      </c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8" t="s">
        <v>49</v>
      </c>
      <c r="BN64" s="84"/>
      <c r="BO64" s="71" t="s">
        <v>29</v>
      </c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3" t="s">
        <v>49</v>
      </c>
      <c r="CC64" s="84"/>
      <c r="CD64" s="84"/>
      <c r="CE64" s="71" t="s">
        <v>29</v>
      </c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3" t="s">
        <v>49</v>
      </c>
      <c r="CT64" s="84"/>
      <c r="CU64" s="71" t="s">
        <v>29</v>
      </c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3" t="s">
        <v>49</v>
      </c>
      <c r="DI64" s="84"/>
      <c r="DJ64" s="84"/>
      <c r="DK64" s="71" t="s">
        <v>29</v>
      </c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3" t="s">
        <v>49</v>
      </c>
    </row>
    <row r="65" spans="2:128" ht="27" x14ac:dyDescent="0.2">
      <c r="C65" s="6" t="s">
        <v>33</v>
      </c>
      <c r="D65" s="15"/>
      <c r="E65" s="13">
        <f>E53-ROUND(AVERAGE($E$53:$E$58),0)</f>
        <v>214</v>
      </c>
      <c r="F65" s="13">
        <f>F53-ROUND(AVERAGE($E$53:$E$58),0)</f>
        <v>768264</v>
      </c>
      <c r="G65" s="13">
        <f t="shared" ref="G65:N65" si="0">G53-ROUND(AVERAGE($E$53:$E$58),0)</f>
        <v>11967</v>
      </c>
      <c r="H65" s="13">
        <f t="shared" si="0"/>
        <v>13497</v>
      </c>
      <c r="I65" s="13">
        <f t="shared" si="0"/>
        <v>11439</v>
      </c>
      <c r="J65" s="13">
        <f t="shared" si="0"/>
        <v>13808</v>
      </c>
      <c r="K65" s="13">
        <f t="shared" si="0"/>
        <v>14141</v>
      </c>
      <c r="L65" s="13">
        <f t="shared" si="0"/>
        <v>12111</v>
      </c>
      <c r="M65" s="13">
        <f t="shared" si="0"/>
        <v>12719</v>
      </c>
      <c r="N65" s="13">
        <f t="shared" si="0"/>
        <v>13145</v>
      </c>
      <c r="O65" s="15"/>
      <c r="P65" s="8" t="s">
        <v>49</v>
      </c>
      <c r="S65" s="6" t="s">
        <v>33</v>
      </c>
      <c r="T65" s="15"/>
      <c r="U65" s="13">
        <f>U53-ROUND(AVERAGE($U$53:$U$58),0)</f>
        <v>118</v>
      </c>
      <c r="V65" s="13">
        <f>V53-ROUND(AVERAGE($U$53:$U$58),0)</f>
        <v>764112</v>
      </c>
      <c r="W65" s="13">
        <f>W53-ROUND(AVERAGE($U$53:$U$58),0)</f>
        <v>13523</v>
      </c>
      <c r="X65" s="13">
        <f t="shared" ref="X65:AD65" si="1">X53-ROUND(AVERAGE($U$53:$U$58),0)</f>
        <v>13050</v>
      </c>
      <c r="Y65" s="13">
        <f t="shared" si="1"/>
        <v>12277</v>
      </c>
      <c r="Z65" s="13">
        <f t="shared" si="1"/>
        <v>13332</v>
      </c>
      <c r="AA65" s="13">
        <f t="shared" si="1"/>
        <v>14080</v>
      </c>
      <c r="AB65" s="13">
        <f t="shared" si="1"/>
        <v>13204</v>
      </c>
      <c r="AC65" s="13">
        <f t="shared" si="1"/>
        <v>12285</v>
      </c>
      <c r="AD65" s="13">
        <f t="shared" si="1"/>
        <v>13906</v>
      </c>
      <c r="AE65" s="15"/>
      <c r="AF65" s="8" t="s">
        <v>49</v>
      </c>
      <c r="AI65" s="6" t="s">
        <v>33</v>
      </c>
      <c r="AJ65" s="15"/>
      <c r="AK65" s="13">
        <f>AK53-ROUND(AVERAGE($AK$53:$AK$58),0)</f>
        <v>-302</v>
      </c>
      <c r="AL65" s="85">
        <f t="shared" ref="AL65:AT65" si="2">AL53-ROUND(AVERAGE($AK$53:$AK$58),0)</f>
        <v>792770</v>
      </c>
      <c r="AM65" s="85">
        <f t="shared" si="2"/>
        <v>48917</v>
      </c>
      <c r="AN65" s="85">
        <f t="shared" si="2"/>
        <v>59579</v>
      </c>
      <c r="AO65" s="85">
        <f t="shared" si="2"/>
        <v>50805</v>
      </c>
      <c r="AP65" s="85">
        <f t="shared" si="2"/>
        <v>56307</v>
      </c>
      <c r="AQ65" s="85">
        <f t="shared" si="2"/>
        <v>53619</v>
      </c>
      <c r="AR65" s="85">
        <f t="shared" si="2"/>
        <v>49386</v>
      </c>
      <c r="AS65" s="85">
        <f t="shared" si="2"/>
        <v>52722</v>
      </c>
      <c r="AT65" s="85">
        <f t="shared" si="2"/>
        <v>61543</v>
      </c>
      <c r="AU65" s="15"/>
      <c r="AV65" s="8" t="s">
        <v>49</v>
      </c>
      <c r="AY65" s="6" t="s">
        <v>33</v>
      </c>
      <c r="AZ65" s="15"/>
      <c r="BA65" s="13">
        <f>BA53-ROUND(AVERAGE($BA$53:$BA$58),0)</f>
        <v>-613</v>
      </c>
      <c r="BB65" s="85">
        <f t="shared" ref="BB65:BJ65" si="3">BB53-ROUND(AVERAGE($BA$53:$BA$58),0)</f>
        <v>787946</v>
      </c>
      <c r="BC65" s="85">
        <f t="shared" si="3"/>
        <v>26354</v>
      </c>
      <c r="BD65" s="85">
        <f t="shared" si="3"/>
        <v>26073</v>
      </c>
      <c r="BE65" s="85">
        <f t="shared" si="3"/>
        <v>24245</v>
      </c>
      <c r="BF65" s="85">
        <f t="shared" si="3"/>
        <v>25512</v>
      </c>
      <c r="BG65" s="85">
        <f t="shared" si="3"/>
        <v>30235</v>
      </c>
      <c r="BH65" s="85">
        <f t="shared" si="3"/>
        <v>29310</v>
      </c>
      <c r="BI65" s="85">
        <f t="shared" si="3"/>
        <v>36763</v>
      </c>
      <c r="BJ65" s="85">
        <f t="shared" si="3"/>
        <v>38638</v>
      </c>
      <c r="BK65" s="15"/>
      <c r="BL65" s="8" t="s">
        <v>49</v>
      </c>
      <c r="BN65" s="84"/>
      <c r="BO65" s="71" t="s">
        <v>33</v>
      </c>
      <c r="BP65" s="72"/>
      <c r="BQ65" s="85">
        <f>BQ53-ROUND(AVERAGE($BQ$53:$BQ$57),0)</f>
        <v>95</v>
      </c>
      <c r="BR65" s="85">
        <f t="shared" ref="BR65:BZ65" si="4">BR53-ROUND(AVERAGE($BQ$53:$BQ$57),0)</f>
        <v>796871</v>
      </c>
      <c r="BS65" s="85">
        <f t="shared" si="4"/>
        <v>232208</v>
      </c>
      <c r="BT65" s="85">
        <f t="shared" si="4"/>
        <v>261596</v>
      </c>
      <c r="BU65" s="85">
        <f t="shared" si="4"/>
        <v>285059</v>
      </c>
      <c r="BV65" s="85">
        <f t="shared" si="4"/>
        <v>278995</v>
      </c>
      <c r="BW65" s="85">
        <f t="shared" si="4"/>
        <v>306446</v>
      </c>
      <c r="BX65" s="85">
        <f t="shared" si="4"/>
        <v>309010</v>
      </c>
      <c r="BY65" s="85">
        <f t="shared" si="4"/>
        <v>361165</v>
      </c>
      <c r="BZ65" s="85">
        <f t="shared" si="4"/>
        <v>330968</v>
      </c>
      <c r="CA65" s="72"/>
      <c r="CB65" s="73" t="s">
        <v>49</v>
      </c>
      <c r="CC65" s="84"/>
      <c r="CD65" s="84"/>
      <c r="CE65" s="71" t="s">
        <v>33</v>
      </c>
      <c r="CF65" s="72"/>
      <c r="CG65" s="85">
        <f>CG53-ROUND(AVERAGE($CG$53:$CG$58),0)</f>
        <v>-248</v>
      </c>
      <c r="CH65" s="85">
        <f t="shared" ref="CH65:CP65" si="5">CH53-ROUND(AVERAGE($CG$53:$CG$58),0)</f>
        <v>803132</v>
      </c>
      <c r="CI65" s="85">
        <f t="shared" si="5"/>
        <v>12888</v>
      </c>
      <c r="CJ65" s="85">
        <f t="shared" si="5"/>
        <v>9086</v>
      </c>
      <c r="CK65" s="85">
        <f t="shared" si="5"/>
        <v>11564</v>
      </c>
      <c r="CL65" s="85">
        <f t="shared" si="5"/>
        <v>9053</v>
      </c>
      <c r="CM65" s="85">
        <f t="shared" si="5"/>
        <v>12315</v>
      </c>
      <c r="CN65" s="85">
        <f t="shared" si="5"/>
        <v>14211</v>
      </c>
      <c r="CO65" s="85">
        <f t="shared" si="5"/>
        <v>20598</v>
      </c>
      <c r="CP65" s="85">
        <f t="shared" si="5"/>
        <v>29123</v>
      </c>
      <c r="CQ65" s="72"/>
      <c r="CR65" s="73" t="s">
        <v>49</v>
      </c>
      <c r="CT65" s="84"/>
      <c r="CU65" s="71" t="s">
        <v>33</v>
      </c>
      <c r="CV65" s="72"/>
      <c r="CW65" s="85">
        <f>CW53-ROUND(AVERAGE($CW$53:$CW$57),0)</f>
        <v>-148</v>
      </c>
      <c r="CX65" s="85">
        <f t="shared" ref="CX65:DF65" si="6">CX53-ROUND(AVERAGE($CW$53:$CW$57),0)</f>
        <v>797200</v>
      </c>
      <c r="CY65" s="85">
        <f t="shared" si="6"/>
        <v>474790</v>
      </c>
      <c r="CZ65" s="85">
        <f t="shared" si="6"/>
        <v>527222</v>
      </c>
      <c r="DA65" s="85">
        <f t="shared" si="6"/>
        <v>469438</v>
      </c>
      <c r="DB65" s="85">
        <f t="shared" si="6"/>
        <v>540053</v>
      </c>
      <c r="DC65" s="85">
        <f t="shared" si="6"/>
        <v>469709</v>
      </c>
      <c r="DD65" s="85">
        <f t="shared" si="6"/>
        <v>462600</v>
      </c>
      <c r="DE65" s="85">
        <f t="shared" si="6"/>
        <v>499228</v>
      </c>
      <c r="DF65" s="85">
        <f t="shared" si="6"/>
        <v>573818</v>
      </c>
      <c r="DG65" s="72"/>
      <c r="DH65" s="73" t="s">
        <v>49</v>
      </c>
      <c r="DI65" s="84"/>
      <c r="DJ65" s="84"/>
      <c r="DK65" s="71" t="s">
        <v>33</v>
      </c>
      <c r="DL65" s="72"/>
      <c r="DM65" s="85">
        <f>DM53-ROUND(AVERAGE($DM$53:$DM$58),0)</f>
        <v>1147</v>
      </c>
      <c r="DN65" s="85">
        <f t="shared" ref="DN65:DV65" si="7">DN53-ROUND(AVERAGE($DM$53:$DM$58),0)</f>
        <v>784861</v>
      </c>
      <c r="DO65" s="85">
        <f t="shared" si="7"/>
        <v>362</v>
      </c>
      <c r="DP65" s="85">
        <f t="shared" si="7"/>
        <v>25</v>
      </c>
      <c r="DQ65" s="85">
        <f t="shared" si="7"/>
        <v>853</v>
      </c>
      <c r="DR65" s="85">
        <f t="shared" si="7"/>
        <v>93</v>
      </c>
      <c r="DS65" s="85">
        <f t="shared" si="7"/>
        <v>1165</v>
      </c>
      <c r="DT65" s="85">
        <f t="shared" si="7"/>
        <v>1845</v>
      </c>
      <c r="DU65" s="85">
        <f t="shared" si="7"/>
        <v>2885</v>
      </c>
      <c r="DV65" s="85">
        <f t="shared" si="7"/>
        <v>4388</v>
      </c>
      <c r="DW65" s="72"/>
      <c r="DX65" s="73" t="s">
        <v>49</v>
      </c>
    </row>
    <row r="66" spans="2:128" ht="27" x14ac:dyDescent="0.2">
      <c r="C66" s="6" t="s">
        <v>36</v>
      </c>
      <c r="D66" s="15"/>
      <c r="E66" s="13">
        <f t="shared" ref="E66:N70" si="8">E54-ROUND(AVERAGE($E$53:$E$58),0)</f>
        <v>95</v>
      </c>
      <c r="F66" s="13">
        <f t="shared" si="8"/>
        <v>768022</v>
      </c>
      <c r="G66" s="13">
        <f t="shared" si="8"/>
        <v>13789</v>
      </c>
      <c r="H66" s="13">
        <f t="shared" si="8"/>
        <v>13564</v>
      </c>
      <c r="I66" s="13">
        <f t="shared" si="8"/>
        <v>13922</v>
      </c>
      <c r="J66" s="13">
        <f t="shared" si="8"/>
        <v>14883</v>
      </c>
      <c r="K66" s="13">
        <f t="shared" si="8"/>
        <v>12968</v>
      </c>
      <c r="L66" s="13">
        <f t="shared" si="8"/>
        <v>14021</v>
      </c>
      <c r="M66" s="13">
        <f t="shared" si="8"/>
        <v>12947</v>
      </c>
      <c r="N66" s="13">
        <f t="shared" si="8"/>
        <v>16125</v>
      </c>
      <c r="O66" s="15"/>
      <c r="P66" s="8" t="s">
        <v>49</v>
      </c>
      <c r="S66" s="6" t="s">
        <v>36</v>
      </c>
      <c r="T66" s="15"/>
      <c r="U66" s="13">
        <f t="shared" ref="U66:AD70" si="9">U54-ROUND(AVERAGE($U$53:$U$58),0)</f>
        <v>23</v>
      </c>
      <c r="V66" s="13">
        <f t="shared" si="9"/>
        <v>763934</v>
      </c>
      <c r="W66" s="13">
        <f t="shared" si="9"/>
        <v>18635</v>
      </c>
      <c r="X66" s="13">
        <f t="shared" si="9"/>
        <v>16690</v>
      </c>
      <c r="Y66" s="13">
        <f t="shared" si="9"/>
        <v>18200</v>
      </c>
      <c r="Z66" s="13">
        <f t="shared" si="9"/>
        <v>21469</v>
      </c>
      <c r="AA66" s="13">
        <f t="shared" si="9"/>
        <v>17646</v>
      </c>
      <c r="AB66" s="13">
        <f t="shared" si="9"/>
        <v>17038</v>
      </c>
      <c r="AC66" s="13">
        <f t="shared" si="9"/>
        <v>15775</v>
      </c>
      <c r="AD66" s="13">
        <f t="shared" si="9"/>
        <v>12110</v>
      </c>
      <c r="AE66" s="15"/>
      <c r="AF66" s="8" t="s">
        <v>49</v>
      </c>
      <c r="AI66" s="6" t="s">
        <v>36</v>
      </c>
      <c r="AJ66" s="15"/>
      <c r="AK66" s="85">
        <f t="shared" ref="AK66:AT66" si="10">AK54-ROUND(AVERAGE($AK$53:$AK$58),0)</f>
        <v>-54</v>
      </c>
      <c r="AL66" s="85">
        <f t="shared" si="10"/>
        <v>792109</v>
      </c>
      <c r="AM66" s="85">
        <f t="shared" si="10"/>
        <v>44266</v>
      </c>
      <c r="AN66" s="85">
        <f t="shared" si="10"/>
        <v>40144</v>
      </c>
      <c r="AO66" s="85">
        <f t="shared" si="10"/>
        <v>41599</v>
      </c>
      <c r="AP66" s="85">
        <f t="shared" si="10"/>
        <v>43043</v>
      </c>
      <c r="AQ66" s="85">
        <f t="shared" si="10"/>
        <v>39741</v>
      </c>
      <c r="AR66" s="85">
        <f t="shared" si="10"/>
        <v>44461</v>
      </c>
      <c r="AS66" s="85">
        <f t="shared" si="10"/>
        <v>62486</v>
      </c>
      <c r="AT66" s="85">
        <f t="shared" si="10"/>
        <v>60172</v>
      </c>
      <c r="AU66" s="15"/>
      <c r="AV66" s="8" t="s">
        <v>49</v>
      </c>
      <c r="AY66" s="6" t="s">
        <v>36</v>
      </c>
      <c r="AZ66" s="15"/>
      <c r="BA66" s="85">
        <f t="shared" ref="BA66:BJ70" si="11">BA54-ROUND(AVERAGE($BA$53:$BA$58),0)</f>
        <v>-293</v>
      </c>
      <c r="BB66" s="85">
        <f t="shared" si="11"/>
        <v>789334</v>
      </c>
      <c r="BC66" s="85">
        <f t="shared" si="11"/>
        <v>32462</v>
      </c>
      <c r="BD66" s="85">
        <f t="shared" si="11"/>
        <v>18499</v>
      </c>
      <c r="BE66" s="85">
        <f t="shared" si="11"/>
        <v>32365</v>
      </c>
      <c r="BF66" s="85">
        <f t="shared" si="11"/>
        <v>27701</v>
      </c>
      <c r="BG66" s="85">
        <f t="shared" si="11"/>
        <v>22600</v>
      </c>
      <c r="BH66" s="85">
        <f t="shared" si="11"/>
        <v>33894</v>
      </c>
      <c r="BI66" s="85">
        <f t="shared" si="11"/>
        <v>40832</v>
      </c>
      <c r="BJ66" s="85">
        <f t="shared" si="11"/>
        <v>32771</v>
      </c>
      <c r="BK66" s="15"/>
      <c r="BL66" s="8" t="s">
        <v>49</v>
      </c>
      <c r="BN66" s="84"/>
      <c r="BO66" s="71" t="s">
        <v>36</v>
      </c>
      <c r="BP66" s="72"/>
      <c r="BQ66" s="85">
        <f t="shared" ref="BQ66:BZ66" si="12">BQ54-ROUND(AVERAGE($BQ$53:$BQ$57),0)</f>
        <v>140</v>
      </c>
      <c r="BR66" s="85">
        <f t="shared" si="12"/>
        <v>805216</v>
      </c>
      <c r="BS66" s="85">
        <f t="shared" si="12"/>
        <v>165911</v>
      </c>
      <c r="BT66" s="85">
        <f t="shared" si="12"/>
        <v>181472</v>
      </c>
      <c r="BU66" s="85">
        <f t="shared" si="12"/>
        <v>141018</v>
      </c>
      <c r="BV66" s="85">
        <f t="shared" si="12"/>
        <v>205927</v>
      </c>
      <c r="BW66" s="85">
        <f t="shared" si="12"/>
        <v>197262</v>
      </c>
      <c r="BX66" s="85">
        <f t="shared" si="12"/>
        <v>214108</v>
      </c>
      <c r="BY66" s="85">
        <f t="shared" si="12"/>
        <v>204304</v>
      </c>
      <c r="BZ66" s="85">
        <f t="shared" si="12"/>
        <v>232975</v>
      </c>
      <c r="CA66" s="72"/>
      <c r="CB66" s="73" t="s">
        <v>49</v>
      </c>
      <c r="CC66" s="84"/>
      <c r="CD66" s="84"/>
      <c r="CE66" s="71" t="s">
        <v>36</v>
      </c>
      <c r="CF66" s="72"/>
      <c r="CG66" s="85">
        <f t="shared" ref="CG66:CP70" si="13">CG54-ROUND(AVERAGE($CG$53:$CG$58),0)</f>
        <v>179</v>
      </c>
      <c r="CH66" s="85">
        <f t="shared" si="13"/>
        <v>800388</v>
      </c>
      <c r="CI66" s="85">
        <f t="shared" si="13"/>
        <v>14872</v>
      </c>
      <c r="CJ66" s="85">
        <f t="shared" si="13"/>
        <v>14707</v>
      </c>
      <c r="CK66" s="85">
        <f t="shared" si="13"/>
        <v>14708</v>
      </c>
      <c r="CL66" s="85">
        <f t="shared" si="13"/>
        <v>16763</v>
      </c>
      <c r="CM66" s="85">
        <f t="shared" si="13"/>
        <v>14467</v>
      </c>
      <c r="CN66" s="85">
        <f t="shared" si="13"/>
        <v>15869</v>
      </c>
      <c r="CO66" s="85">
        <f t="shared" si="13"/>
        <v>18568</v>
      </c>
      <c r="CP66" s="85">
        <f t="shared" si="13"/>
        <v>10304</v>
      </c>
      <c r="CQ66" s="72"/>
      <c r="CR66" s="73" t="s">
        <v>49</v>
      </c>
      <c r="CT66" s="84"/>
      <c r="CU66" s="71" t="s">
        <v>36</v>
      </c>
      <c r="CV66" s="72"/>
      <c r="CW66" s="85">
        <f t="shared" ref="CW66:DF66" si="14">CW54-ROUND(AVERAGE($CW$53:$CW$57),0)</f>
        <v>193</v>
      </c>
      <c r="CX66" s="85">
        <f t="shared" si="14"/>
        <v>804494</v>
      </c>
      <c r="CY66" s="85">
        <f t="shared" si="14"/>
        <v>348447</v>
      </c>
      <c r="CZ66" s="85">
        <f t="shared" si="14"/>
        <v>347868</v>
      </c>
      <c r="DA66" s="85">
        <f t="shared" si="14"/>
        <v>330786</v>
      </c>
      <c r="DB66" s="85">
        <f t="shared" si="14"/>
        <v>326478</v>
      </c>
      <c r="DC66" s="85">
        <f t="shared" si="14"/>
        <v>374003</v>
      </c>
      <c r="DD66" s="85">
        <f t="shared" si="14"/>
        <v>367538</v>
      </c>
      <c r="DE66" s="85">
        <f t="shared" si="14"/>
        <v>402712</v>
      </c>
      <c r="DF66" s="85">
        <f t="shared" si="14"/>
        <v>398211</v>
      </c>
      <c r="DG66" s="72"/>
      <c r="DH66" s="73" t="s">
        <v>49</v>
      </c>
      <c r="DI66" s="84"/>
      <c r="DJ66" s="84"/>
      <c r="DK66" s="71" t="s">
        <v>36</v>
      </c>
      <c r="DL66" s="72"/>
      <c r="DM66" s="85">
        <f t="shared" ref="DM66:DV66" si="15">DM54-ROUND(AVERAGE($DM$53:$DM$58),0)</f>
        <v>165</v>
      </c>
      <c r="DN66" s="85">
        <f t="shared" si="15"/>
        <v>782516</v>
      </c>
      <c r="DO66" s="85">
        <f t="shared" si="15"/>
        <v>399</v>
      </c>
      <c r="DP66" s="85">
        <f t="shared" si="15"/>
        <v>-431</v>
      </c>
      <c r="DQ66" s="85">
        <f t="shared" si="15"/>
        <v>-191</v>
      </c>
      <c r="DR66" s="85">
        <f t="shared" si="15"/>
        <v>-855</v>
      </c>
      <c r="DS66" s="85">
        <f t="shared" si="15"/>
        <v>-253</v>
      </c>
      <c r="DT66" s="85">
        <f t="shared" si="15"/>
        <v>-805</v>
      </c>
      <c r="DU66" s="85">
        <f t="shared" si="15"/>
        <v>475</v>
      </c>
      <c r="DV66" s="85">
        <f t="shared" si="15"/>
        <v>169</v>
      </c>
      <c r="DW66" s="72"/>
      <c r="DX66" s="73" t="s">
        <v>49</v>
      </c>
    </row>
    <row r="67" spans="2:128" ht="27" x14ac:dyDescent="0.2">
      <c r="C67" s="6" t="s">
        <v>39</v>
      </c>
      <c r="D67" s="15"/>
      <c r="E67" s="13">
        <f t="shared" si="8"/>
        <v>-141</v>
      </c>
      <c r="F67" s="13">
        <f t="shared" si="8"/>
        <v>768691</v>
      </c>
      <c r="G67" s="13">
        <f t="shared" si="8"/>
        <v>15785</v>
      </c>
      <c r="H67" s="13">
        <f t="shared" si="8"/>
        <v>15127</v>
      </c>
      <c r="I67" s="13">
        <f t="shared" si="8"/>
        <v>15874</v>
      </c>
      <c r="J67" s="13">
        <f t="shared" si="8"/>
        <v>15440</v>
      </c>
      <c r="K67" s="13">
        <f t="shared" si="8"/>
        <v>18390</v>
      </c>
      <c r="L67" s="13">
        <f t="shared" si="8"/>
        <v>14373</v>
      </c>
      <c r="M67" s="13">
        <f t="shared" si="8"/>
        <v>13595</v>
      </c>
      <c r="N67" s="13">
        <f t="shared" si="8"/>
        <v>13494</v>
      </c>
      <c r="O67" s="15"/>
      <c r="P67" s="8" t="s">
        <v>49</v>
      </c>
      <c r="S67" s="6" t="s">
        <v>39</v>
      </c>
      <c r="T67" s="15"/>
      <c r="U67" s="13">
        <f t="shared" si="9"/>
        <v>-18</v>
      </c>
      <c r="V67" s="13">
        <f t="shared" si="9"/>
        <v>772789</v>
      </c>
      <c r="W67" s="13">
        <f t="shared" si="9"/>
        <v>19027</v>
      </c>
      <c r="X67" s="13">
        <f t="shared" si="9"/>
        <v>16041</v>
      </c>
      <c r="Y67" s="13">
        <f t="shared" si="9"/>
        <v>21039</v>
      </c>
      <c r="Z67" s="13">
        <f t="shared" si="9"/>
        <v>20132</v>
      </c>
      <c r="AA67" s="13">
        <f t="shared" si="9"/>
        <v>18192</v>
      </c>
      <c r="AB67" s="13">
        <f t="shared" si="9"/>
        <v>20157</v>
      </c>
      <c r="AC67" s="13">
        <f t="shared" si="9"/>
        <v>16919</v>
      </c>
      <c r="AD67" s="13">
        <f t="shared" si="9"/>
        <v>13617</v>
      </c>
      <c r="AE67" s="15"/>
      <c r="AF67" s="8" t="s">
        <v>49</v>
      </c>
      <c r="AI67" s="6" t="s">
        <v>39</v>
      </c>
      <c r="AJ67" s="15"/>
      <c r="AK67" s="85">
        <f t="shared" ref="AK67:AT67" si="16">AK55-ROUND(AVERAGE($AK$53:$AK$58),0)</f>
        <v>-252</v>
      </c>
      <c r="AL67" s="85">
        <f t="shared" si="16"/>
        <v>792111</v>
      </c>
      <c r="AM67" s="85">
        <f t="shared" si="16"/>
        <v>40674</v>
      </c>
      <c r="AN67" s="85">
        <f t="shared" si="16"/>
        <v>36504</v>
      </c>
      <c r="AO67" s="85">
        <f t="shared" si="16"/>
        <v>46441</v>
      </c>
      <c r="AP67" s="85">
        <f t="shared" si="16"/>
        <v>44563</v>
      </c>
      <c r="AQ67" s="85">
        <f t="shared" si="16"/>
        <v>49629</v>
      </c>
      <c r="AR67" s="85">
        <f t="shared" si="16"/>
        <v>47550</v>
      </c>
      <c r="AS67" s="85">
        <f t="shared" si="16"/>
        <v>68429</v>
      </c>
      <c r="AT67" s="85">
        <f t="shared" si="16"/>
        <v>55771</v>
      </c>
      <c r="AU67" s="15"/>
      <c r="AV67" s="8" t="s">
        <v>49</v>
      </c>
      <c r="AY67" s="6" t="s">
        <v>39</v>
      </c>
      <c r="AZ67" s="15"/>
      <c r="BA67" s="85">
        <f t="shared" si="11"/>
        <v>-1016</v>
      </c>
      <c r="BB67" s="85">
        <f t="shared" si="11"/>
        <v>795783</v>
      </c>
      <c r="BC67" s="85">
        <f t="shared" si="11"/>
        <v>27375</v>
      </c>
      <c r="BD67" s="85">
        <f t="shared" si="11"/>
        <v>32922</v>
      </c>
      <c r="BE67" s="85">
        <f t="shared" si="11"/>
        <v>33511</v>
      </c>
      <c r="BF67" s="85">
        <f t="shared" si="11"/>
        <v>31356</v>
      </c>
      <c r="BG67" s="85">
        <f t="shared" si="11"/>
        <v>30510</v>
      </c>
      <c r="BH67" s="85">
        <f t="shared" si="11"/>
        <v>33361</v>
      </c>
      <c r="BI67" s="85">
        <f t="shared" si="11"/>
        <v>31905</v>
      </c>
      <c r="BJ67" s="85">
        <f t="shared" si="11"/>
        <v>26999</v>
      </c>
      <c r="BK67" s="15"/>
      <c r="BL67" s="8" t="s">
        <v>49</v>
      </c>
      <c r="BN67" s="84"/>
      <c r="BO67" s="71" t="s">
        <v>39</v>
      </c>
      <c r="BP67" s="72"/>
      <c r="BQ67" s="85">
        <f t="shared" ref="BQ67:BZ67" si="17">BQ55-ROUND(AVERAGE($BQ$53:$BQ$57),0)</f>
        <v>-431</v>
      </c>
      <c r="BR67" s="85">
        <f t="shared" si="17"/>
        <v>804460</v>
      </c>
      <c r="BS67" s="85">
        <f t="shared" si="17"/>
        <v>133168</v>
      </c>
      <c r="BT67" s="85">
        <f t="shared" si="17"/>
        <v>127008</v>
      </c>
      <c r="BU67" s="85">
        <f t="shared" si="17"/>
        <v>164348</v>
      </c>
      <c r="BV67" s="85">
        <f t="shared" si="17"/>
        <v>137096</v>
      </c>
      <c r="BW67" s="85">
        <f t="shared" si="17"/>
        <v>139403</v>
      </c>
      <c r="BX67" s="85">
        <f t="shared" si="17"/>
        <v>133443</v>
      </c>
      <c r="BY67" s="85">
        <f t="shared" si="17"/>
        <v>139476</v>
      </c>
      <c r="BZ67" s="85">
        <f t="shared" si="17"/>
        <v>129795</v>
      </c>
      <c r="CA67" s="72"/>
      <c r="CB67" s="73" t="s">
        <v>49</v>
      </c>
      <c r="CC67" s="84"/>
      <c r="CD67" s="84"/>
      <c r="CE67" s="71" t="s">
        <v>39</v>
      </c>
      <c r="CF67" s="72"/>
      <c r="CG67" s="85">
        <f t="shared" si="13"/>
        <v>-197</v>
      </c>
      <c r="CH67" s="85">
        <f t="shared" si="13"/>
        <v>804353</v>
      </c>
      <c r="CI67" s="85">
        <f t="shared" si="13"/>
        <v>13512</v>
      </c>
      <c r="CJ67" s="85">
        <f t="shared" si="13"/>
        <v>11233</v>
      </c>
      <c r="CK67" s="85">
        <f t="shared" si="13"/>
        <v>10334</v>
      </c>
      <c r="CL67" s="85">
        <f t="shared" si="13"/>
        <v>9850</v>
      </c>
      <c r="CM67" s="85">
        <f t="shared" si="13"/>
        <v>11904</v>
      </c>
      <c r="CN67" s="85">
        <f t="shared" si="13"/>
        <v>11579</v>
      </c>
      <c r="CO67" s="85">
        <f t="shared" si="13"/>
        <v>16007</v>
      </c>
      <c r="CP67" s="85">
        <f t="shared" si="13"/>
        <v>20159</v>
      </c>
      <c r="CQ67" s="72"/>
      <c r="CR67" s="73" t="s">
        <v>49</v>
      </c>
      <c r="CT67" s="84"/>
      <c r="CU67" s="71" t="s">
        <v>39</v>
      </c>
      <c r="CV67" s="72"/>
      <c r="CW67" s="85">
        <f t="shared" ref="CW67:DF67" si="18">CW55-ROUND(AVERAGE($CW$53:$CW$57),0)</f>
        <v>-958</v>
      </c>
      <c r="CX67" s="85">
        <f t="shared" si="18"/>
        <v>806430</v>
      </c>
      <c r="CY67" s="85">
        <f t="shared" si="18"/>
        <v>255267</v>
      </c>
      <c r="CZ67" s="85">
        <f t="shared" si="18"/>
        <v>231533</v>
      </c>
      <c r="DA67" s="85">
        <f t="shared" si="18"/>
        <v>248825</v>
      </c>
      <c r="DB67" s="85">
        <f t="shared" si="18"/>
        <v>278097</v>
      </c>
      <c r="DC67" s="85">
        <f t="shared" si="18"/>
        <v>236901</v>
      </c>
      <c r="DD67" s="85">
        <f t="shared" si="18"/>
        <v>302586</v>
      </c>
      <c r="DE67" s="85">
        <f t="shared" si="18"/>
        <v>206286</v>
      </c>
      <c r="DF67" s="85">
        <f t="shared" si="18"/>
        <v>229171</v>
      </c>
      <c r="DG67" s="72"/>
      <c r="DH67" s="73" t="s">
        <v>49</v>
      </c>
      <c r="DI67" s="84"/>
      <c r="DJ67" s="84"/>
      <c r="DK67" s="71" t="s">
        <v>39</v>
      </c>
      <c r="DL67" s="72"/>
      <c r="DM67" s="85">
        <f t="shared" ref="DM67:DV67" si="19">DM55-ROUND(AVERAGE($DM$53:$DM$58),0)</f>
        <v>-431</v>
      </c>
      <c r="DN67" s="85">
        <f t="shared" si="19"/>
        <v>789837</v>
      </c>
      <c r="DO67" s="85">
        <f t="shared" si="19"/>
        <v>-845</v>
      </c>
      <c r="DP67" s="85">
        <f t="shared" si="19"/>
        <v>-474</v>
      </c>
      <c r="DQ67" s="85">
        <f t="shared" si="19"/>
        <v>-391</v>
      </c>
      <c r="DR67" s="85">
        <f t="shared" si="19"/>
        <v>-488</v>
      </c>
      <c r="DS67" s="85">
        <f t="shared" si="19"/>
        <v>-281</v>
      </c>
      <c r="DT67" s="85">
        <f t="shared" si="19"/>
        <v>-261</v>
      </c>
      <c r="DU67" s="85">
        <f t="shared" si="19"/>
        <v>-37</v>
      </c>
      <c r="DV67" s="85">
        <f t="shared" si="19"/>
        <v>-282</v>
      </c>
      <c r="DW67" s="72"/>
      <c r="DX67" s="73" t="s">
        <v>49</v>
      </c>
    </row>
    <row r="68" spans="2:128" ht="27" x14ac:dyDescent="0.2">
      <c r="C68" s="6" t="s">
        <v>42</v>
      </c>
      <c r="D68" s="15"/>
      <c r="E68" s="13">
        <f t="shared" si="8"/>
        <v>-82</v>
      </c>
      <c r="F68" s="13">
        <f t="shared" si="8"/>
        <v>767822</v>
      </c>
      <c r="G68" s="13">
        <f t="shared" si="8"/>
        <v>15205</v>
      </c>
      <c r="H68" s="13">
        <f t="shared" si="8"/>
        <v>13237</v>
      </c>
      <c r="I68" s="13">
        <f t="shared" si="8"/>
        <v>13113</v>
      </c>
      <c r="J68" s="13">
        <f t="shared" si="8"/>
        <v>12751</v>
      </c>
      <c r="K68" s="13">
        <f t="shared" si="8"/>
        <v>15467</v>
      </c>
      <c r="L68" s="13">
        <f t="shared" si="8"/>
        <v>14295</v>
      </c>
      <c r="M68" s="13">
        <f t="shared" si="8"/>
        <v>13648</v>
      </c>
      <c r="N68" s="13">
        <f t="shared" si="8"/>
        <v>15731</v>
      </c>
      <c r="O68" s="15"/>
      <c r="P68" s="8" t="s">
        <v>49</v>
      </c>
      <c r="S68" s="6" t="s">
        <v>42</v>
      </c>
      <c r="T68" s="15"/>
      <c r="U68" s="13">
        <f t="shared" si="9"/>
        <v>-176</v>
      </c>
      <c r="V68" s="13">
        <f t="shared" si="9"/>
        <v>769073</v>
      </c>
      <c r="W68" s="13">
        <f t="shared" si="9"/>
        <v>20118</v>
      </c>
      <c r="X68" s="13">
        <f t="shared" si="9"/>
        <v>18014</v>
      </c>
      <c r="Y68" s="13">
        <f t="shared" si="9"/>
        <v>16895</v>
      </c>
      <c r="Z68" s="13">
        <f t="shared" si="9"/>
        <v>18014</v>
      </c>
      <c r="AA68" s="13">
        <f t="shared" si="9"/>
        <v>21497</v>
      </c>
      <c r="AB68" s="13">
        <f t="shared" si="9"/>
        <v>19737</v>
      </c>
      <c r="AC68" s="13">
        <f t="shared" si="9"/>
        <v>16202</v>
      </c>
      <c r="AD68" s="13">
        <f t="shared" si="9"/>
        <v>15309</v>
      </c>
      <c r="AE68" s="15"/>
      <c r="AF68" s="8" t="s">
        <v>49</v>
      </c>
      <c r="AI68" s="6" t="s">
        <v>42</v>
      </c>
      <c r="AJ68" s="15"/>
      <c r="AK68" s="85">
        <f t="shared" ref="AK68:AT68" si="20">AK56-ROUND(AVERAGE($AK$53:$AK$58),0)</f>
        <v>-244</v>
      </c>
      <c r="AL68" s="85">
        <f t="shared" si="20"/>
        <v>791475</v>
      </c>
      <c r="AM68" s="85">
        <f t="shared" si="20"/>
        <v>36078</v>
      </c>
      <c r="AN68" s="85">
        <f t="shared" si="20"/>
        <v>34374</v>
      </c>
      <c r="AO68" s="85">
        <f t="shared" si="20"/>
        <v>33820</v>
      </c>
      <c r="AP68" s="85">
        <f t="shared" si="20"/>
        <v>36753</v>
      </c>
      <c r="AQ68" s="85">
        <f t="shared" si="20"/>
        <v>32905</v>
      </c>
      <c r="AR68" s="85">
        <f t="shared" si="20"/>
        <v>36045</v>
      </c>
      <c r="AS68" s="85">
        <f t="shared" si="20"/>
        <v>36378</v>
      </c>
      <c r="AT68" s="85">
        <f t="shared" si="20"/>
        <v>56892</v>
      </c>
      <c r="AU68" s="15"/>
      <c r="AV68" s="8" t="s">
        <v>49</v>
      </c>
      <c r="AY68" s="6" t="s">
        <v>42</v>
      </c>
      <c r="AZ68" s="15"/>
      <c r="BA68" s="85">
        <f t="shared" si="11"/>
        <v>-66</v>
      </c>
      <c r="BB68" s="85">
        <f t="shared" si="11"/>
        <v>793400</v>
      </c>
      <c r="BC68" s="85">
        <f t="shared" si="11"/>
        <v>24966</v>
      </c>
      <c r="BD68" s="85">
        <f t="shared" si="11"/>
        <v>21707</v>
      </c>
      <c r="BE68" s="85">
        <f t="shared" si="11"/>
        <v>21569</v>
      </c>
      <c r="BF68" s="85">
        <f t="shared" si="11"/>
        <v>18969</v>
      </c>
      <c r="BG68" s="85">
        <f t="shared" si="11"/>
        <v>22830</v>
      </c>
      <c r="BH68" s="85">
        <f t="shared" si="11"/>
        <v>24539</v>
      </c>
      <c r="BI68" s="85">
        <f t="shared" si="11"/>
        <v>18938</v>
      </c>
      <c r="BJ68" s="85">
        <f t="shared" si="11"/>
        <v>24894</v>
      </c>
      <c r="BK68" s="15"/>
      <c r="BL68" s="8" t="s">
        <v>49</v>
      </c>
      <c r="BN68" s="84"/>
      <c r="BO68" s="71" t="s">
        <v>42</v>
      </c>
      <c r="BP68" s="72"/>
      <c r="BQ68" s="85">
        <f t="shared" ref="BQ68:BZ68" si="21">BQ56-ROUND(AVERAGE($BQ$53:$BQ$57),0)</f>
        <v>-71</v>
      </c>
      <c r="BR68" s="85">
        <f t="shared" si="21"/>
        <v>807913</v>
      </c>
      <c r="BS68" s="85">
        <f t="shared" si="21"/>
        <v>51604</v>
      </c>
      <c r="BT68" s="85">
        <f t="shared" si="21"/>
        <v>72581</v>
      </c>
      <c r="BU68" s="85">
        <f t="shared" si="21"/>
        <v>85788</v>
      </c>
      <c r="BV68" s="85">
        <f t="shared" si="21"/>
        <v>67805</v>
      </c>
      <c r="BW68" s="85">
        <f t="shared" si="21"/>
        <v>68695</v>
      </c>
      <c r="BX68" s="85">
        <f t="shared" si="21"/>
        <v>66929</v>
      </c>
      <c r="BY68" s="85">
        <f t="shared" si="21"/>
        <v>57409</v>
      </c>
      <c r="BZ68" s="85">
        <f t="shared" si="21"/>
        <v>72243</v>
      </c>
      <c r="CA68" s="72"/>
      <c r="CB68" s="73" t="s">
        <v>49</v>
      </c>
      <c r="CC68" s="84"/>
      <c r="CD68" s="84"/>
      <c r="CE68" s="71" t="s">
        <v>42</v>
      </c>
      <c r="CF68" s="72"/>
      <c r="CG68" s="85">
        <f t="shared" si="13"/>
        <v>-168</v>
      </c>
      <c r="CH68" s="85">
        <f t="shared" si="13"/>
        <v>806446</v>
      </c>
      <c r="CI68" s="85">
        <f t="shared" si="13"/>
        <v>11215</v>
      </c>
      <c r="CJ68" s="85">
        <f t="shared" si="13"/>
        <v>9293</v>
      </c>
      <c r="CK68" s="85">
        <f t="shared" si="13"/>
        <v>11252</v>
      </c>
      <c r="CL68" s="85">
        <f t="shared" si="13"/>
        <v>8315</v>
      </c>
      <c r="CM68" s="85">
        <f t="shared" si="13"/>
        <v>8676</v>
      </c>
      <c r="CN68" s="85">
        <f t="shared" si="13"/>
        <v>8618</v>
      </c>
      <c r="CO68" s="85">
        <f t="shared" si="13"/>
        <v>8199</v>
      </c>
      <c r="CP68" s="85">
        <f t="shared" si="13"/>
        <v>15899</v>
      </c>
      <c r="CQ68" s="72"/>
      <c r="CR68" s="73" t="s">
        <v>49</v>
      </c>
      <c r="CT68" s="84"/>
      <c r="CU68" s="71" t="s">
        <v>42</v>
      </c>
      <c r="CV68" s="72"/>
      <c r="CW68" s="85">
        <f t="shared" ref="CW68:DF68" si="22">CW56-ROUND(AVERAGE($CW$53:$CW$57),0)</f>
        <v>451</v>
      </c>
      <c r="CX68" s="85">
        <f t="shared" si="22"/>
        <v>810002</v>
      </c>
      <c r="CY68" s="85">
        <f t="shared" si="22"/>
        <v>76391</v>
      </c>
      <c r="CZ68" s="85">
        <f t="shared" si="22"/>
        <v>66371</v>
      </c>
      <c r="DA68" s="85">
        <f t="shared" si="22"/>
        <v>74825</v>
      </c>
      <c r="DB68" s="85">
        <f t="shared" si="22"/>
        <v>61694</v>
      </c>
      <c r="DC68" s="85">
        <f t="shared" si="22"/>
        <v>62330</v>
      </c>
      <c r="DD68" s="85">
        <f t="shared" si="22"/>
        <v>77510</v>
      </c>
      <c r="DE68" s="85">
        <f t="shared" si="22"/>
        <v>64481</v>
      </c>
      <c r="DF68" s="85">
        <f t="shared" si="22"/>
        <v>96748</v>
      </c>
      <c r="DG68" s="72"/>
      <c r="DH68" s="73" t="s">
        <v>49</v>
      </c>
      <c r="DI68" s="84"/>
      <c r="DJ68" s="84"/>
      <c r="DK68" s="71" t="s">
        <v>42</v>
      </c>
      <c r="DL68" s="72"/>
      <c r="DM68" s="85">
        <f t="shared" ref="DM68:DV68" si="23">DM56-ROUND(AVERAGE($DM$53:$DM$58),0)</f>
        <v>-171</v>
      </c>
      <c r="DN68" s="85">
        <f t="shared" si="23"/>
        <v>788318</v>
      </c>
      <c r="DO68" s="85">
        <f t="shared" si="23"/>
        <v>-133</v>
      </c>
      <c r="DP68" s="85">
        <f t="shared" si="23"/>
        <v>-351</v>
      </c>
      <c r="DQ68" s="85">
        <f t="shared" si="23"/>
        <v>-375</v>
      </c>
      <c r="DR68" s="85">
        <f t="shared" si="23"/>
        <v>-67</v>
      </c>
      <c r="DS68" s="85">
        <f t="shared" si="23"/>
        <v>-681</v>
      </c>
      <c r="DT68" s="85">
        <f t="shared" si="23"/>
        <v>-438</v>
      </c>
      <c r="DU68" s="85">
        <f t="shared" si="23"/>
        <v>-342</v>
      </c>
      <c r="DV68" s="85">
        <f t="shared" si="23"/>
        <v>229</v>
      </c>
      <c r="DW68" s="72"/>
      <c r="DX68" s="73" t="s">
        <v>49</v>
      </c>
    </row>
    <row r="69" spans="2:128" ht="27" x14ac:dyDescent="0.2">
      <c r="C69" s="6" t="s">
        <v>43</v>
      </c>
      <c r="D69" s="15"/>
      <c r="E69" s="13">
        <f t="shared" si="8"/>
        <v>-157</v>
      </c>
      <c r="F69" s="13">
        <f t="shared" si="8"/>
        <v>767621</v>
      </c>
      <c r="G69" s="13">
        <f t="shared" si="8"/>
        <v>12126</v>
      </c>
      <c r="H69" s="13">
        <f t="shared" si="8"/>
        <v>11432</v>
      </c>
      <c r="I69" s="13">
        <f t="shared" si="8"/>
        <v>11792</v>
      </c>
      <c r="J69" s="13">
        <f t="shared" si="8"/>
        <v>13079</v>
      </c>
      <c r="K69" s="13">
        <f t="shared" si="8"/>
        <v>13292</v>
      </c>
      <c r="L69" s="13">
        <f t="shared" si="8"/>
        <v>14116</v>
      </c>
      <c r="M69" s="13">
        <f t="shared" si="8"/>
        <v>15406</v>
      </c>
      <c r="N69" s="13">
        <f t="shared" si="8"/>
        <v>16344</v>
      </c>
      <c r="O69" s="15"/>
      <c r="P69" s="8" t="s">
        <v>49</v>
      </c>
      <c r="S69" s="6" t="s">
        <v>43</v>
      </c>
      <c r="T69" s="15"/>
      <c r="U69" s="13">
        <f t="shared" si="9"/>
        <v>-30</v>
      </c>
      <c r="V69" s="13">
        <f t="shared" si="9"/>
        <v>767147</v>
      </c>
      <c r="W69" s="13">
        <f t="shared" si="9"/>
        <v>18316</v>
      </c>
      <c r="X69" s="13">
        <f t="shared" si="9"/>
        <v>14575</v>
      </c>
      <c r="Y69" s="13">
        <f t="shared" si="9"/>
        <v>16105</v>
      </c>
      <c r="Z69" s="13">
        <f t="shared" si="9"/>
        <v>15871</v>
      </c>
      <c r="AA69" s="13">
        <f t="shared" si="9"/>
        <v>16982</v>
      </c>
      <c r="AB69" s="13">
        <f t="shared" si="9"/>
        <v>17757</v>
      </c>
      <c r="AC69" s="13">
        <f t="shared" si="9"/>
        <v>18028</v>
      </c>
      <c r="AD69" s="13">
        <f t="shared" si="9"/>
        <v>14288</v>
      </c>
      <c r="AE69" s="15"/>
      <c r="AF69" s="8" t="s">
        <v>49</v>
      </c>
      <c r="AI69" s="6" t="s">
        <v>43</v>
      </c>
      <c r="AJ69" s="15"/>
      <c r="AK69" s="85">
        <f t="shared" ref="AK69:AT69" si="24">AK57-ROUND(AVERAGE($AK$53:$AK$58),0)</f>
        <v>147</v>
      </c>
      <c r="AL69" s="85">
        <f t="shared" si="24"/>
        <v>791286</v>
      </c>
      <c r="AM69" s="85">
        <f t="shared" si="24"/>
        <v>28544</v>
      </c>
      <c r="AN69" s="85">
        <f t="shared" si="24"/>
        <v>21576</v>
      </c>
      <c r="AO69" s="85">
        <f t="shared" si="24"/>
        <v>28728</v>
      </c>
      <c r="AP69" s="85">
        <f t="shared" si="24"/>
        <v>34434</v>
      </c>
      <c r="AQ69" s="85">
        <f t="shared" si="24"/>
        <v>30637</v>
      </c>
      <c r="AR69" s="85">
        <f t="shared" si="24"/>
        <v>38142</v>
      </c>
      <c r="AS69" s="85">
        <f t="shared" si="24"/>
        <v>41390</v>
      </c>
      <c r="AT69" s="85">
        <f t="shared" si="24"/>
        <v>53685</v>
      </c>
      <c r="AU69" s="15"/>
      <c r="AV69" s="8" t="s">
        <v>49</v>
      </c>
      <c r="AY69" s="6" t="s">
        <v>43</v>
      </c>
      <c r="AZ69" s="15"/>
      <c r="BA69" s="85">
        <f t="shared" si="11"/>
        <v>767</v>
      </c>
      <c r="BB69" s="85">
        <f t="shared" si="11"/>
        <v>791727</v>
      </c>
      <c r="BC69" s="85">
        <f t="shared" si="11"/>
        <v>16002</v>
      </c>
      <c r="BD69" s="85">
        <f t="shared" si="11"/>
        <v>15227</v>
      </c>
      <c r="BE69" s="85">
        <f t="shared" si="11"/>
        <v>19345</v>
      </c>
      <c r="BF69" s="85">
        <f t="shared" si="11"/>
        <v>17328</v>
      </c>
      <c r="BG69" s="85">
        <f t="shared" si="11"/>
        <v>18338</v>
      </c>
      <c r="BH69" s="85">
        <f t="shared" si="11"/>
        <v>21641</v>
      </c>
      <c r="BI69" s="85">
        <f t="shared" si="11"/>
        <v>22114</v>
      </c>
      <c r="BJ69" s="85">
        <f t="shared" si="11"/>
        <v>25261</v>
      </c>
      <c r="BK69" s="15"/>
      <c r="BL69" s="8" t="s">
        <v>49</v>
      </c>
      <c r="BN69" s="84"/>
      <c r="BO69" s="71" t="s">
        <v>43</v>
      </c>
      <c r="BP69" s="72"/>
      <c r="BQ69" s="85">
        <f t="shared" ref="BQ69:BZ69" si="25">BQ57-ROUND(AVERAGE($BQ$53:$BQ$57),0)</f>
        <v>265</v>
      </c>
      <c r="BR69" s="85">
        <f t="shared" si="25"/>
        <v>796342</v>
      </c>
      <c r="BS69" s="85">
        <f t="shared" si="25"/>
        <v>25597</v>
      </c>
      <c r="BT69" s="85">
        <f t="shared" si="25"/>
        <v>23545</v>
      </c>
      <c r="BU69" s="85">
        <f t="shared" si="25"/>
        <v>20050</v>
      </c>
      <c r="BV69" s="85">
        <f t="shared" si="25"/>
        <v>26446</v>
      </c>
      <c r="BW69" s="85">
        <f t="shared" si="25"/>
        <v>28393</v>
      </c>
      <c r="BX69" s="85">
        <f t="shared" si="25"/>
        <v>34391</v>
      </c>
      <c r="BY69" s="85">
        <f t="shared" si="25"/>
        <v>34618</v>
      </c>
      <c r="BZ69" s="85">
        <f t="shared" si="25"/>
        <v>38038</v>
      </c>
      <c r="CA69" s="72"/>
      <c r="CB69" s="73" t="s">
        <v>49</v>
      </c>
      <c r="CC69" s="84"/>
      <c r="CD69" s="84"/>
      <c r="CE69" s="71" t="s">
        <v>43</v>
      </c>
      <c r="CF69" s="72"/>
      <c r="CG69" s="85">
        <f t="shared" si="13"/>
        <v>174</v>
      </c>
      <c r="CH69" s="85">
        <f t="shared" si="13"/>
        <v>804877</v>
      </c>
      <c r="CI69" s="85">
        <f t="shared" si="13"/>
        <v>8565</v>
      </c>
      <c r="CJ69" s="85">
        <f t="shared" si="13"/>
        <v>7288</v>
      </c>
      <c r="CK69" s="85">
        <f t="shared" si="13"/>
        <v>9319</v>
      </c>
      <c r="CL69" s="85">
        <f t="shared" si="13"/>
        <v>7250</v>
      </c>
      <c r="CM69" s="85">
        <f t="shared" si="13"/>
        <v>6824</v>
      </c>
      <c r="CN69" s="85">
        <f t="shared" si="13"/>
        <v>10331</v>
      </c>
      <c r="CO69" s="85">
        <f t="shared" si="13"/>
        <v>7980</v>
      </c>
      <c r="CP69" s="85">
        <f t="shared" si="13"/>
        <v>14027</v>
      </c>
      <c r="CQ69" s="72"/>
      <c r="CR69" s="73" t="s">
        <v>49</v>
      </c>
      <c r="CT69" s="84"/>
      <c r="CU69" s="71" t="s">
        <v>43</v>
      </c>
      <c r="CV69" s="72"/>
      <c r="CW69" s="85">
        <f t="shared" ref="CW69:DF69" si="26">CW57-ROUND(AVERAGE($CW$53:$CW$57),0)</f>
        <v>460</v>
      </c>
      <c r="CX69" s="85">
        <f t="shared" si="26"/>
        <v>800886</v>
      </c>
      <c r="CY69" s="85">
        <f t="shared" si="26"/>
        <v>10102</v>
      </c>
      <c r="CZ69" s="85">
        <f t="shared" si="26"/>
        <v>11397</v>
      </c>
      <c r="DA69" s="85">
        <f t="shared" si="26"/>
        <v>10899</v>
      </c>
      <c r="DB69" s="85">
        <f t="shared" si="26"/>
        <v>11987</v>
      </c>
      <c r="DC69" s="85">
        <f t="shared" si="26"/>
        <v>10307</v>
      </c>
      <c r="DD69" s="85">
        <f t="shared" si="26"/>
        <v>12500</v>
      </c>
      <c r="DE69" s="85">
        <f t="shared" si="26"/>
        <v>14084</v>
      </c>
      <c r="DF69" s="85">
        <f t="shared" si="26"/>
        <v>22942</v>
      </c>
      <c r="DG69" s="72"/>
      <c r="DH69" s="73" t="s">
        <v>49</v>
      </c>
      <c r="DI69" s="84"/>
      <c r="DJ69" s="84"/>
      <c r="DK69" s="71" t="s">
        <v>43</v>
      </c>
      <c r="DL69" s="72"/>
      <c r="DM69" s="85">
        <f t="shared" ref="DM69:DV69" si="27">DM57-ROUND(AVERAGE($DM$53:$DM$58),0)</f>
        <v>-244</v>
      </c>
      <c r="DN69" s="85">
        <f t="shared" si="27"/>
        <v>790806</v>
      </c>
      <c r="DO69" s="85">
        <f t="shared" si="27"/>
        <v>-474</v>
      </c>
      <c r="DP69" s="85">
        <f t="shared" si="27"/>
        <v>-414</v>
      </c>
      <c r="DQ69" s="85">
        <f t="shared" si="27"/>
        <v>133</v>
      </c>
      <c r="DR69" s="85">
        <f t="shared" si="27"/>
        <v>-334</v>
      </c>
      <c r="DS69" s="85">
        <f t="shared" si="27"/>
        <v>205</v>
      </c>
      <c r="DT69" s="85">
        <f t="shared" si="27"/>
        <v>458</v>
      </c>
      <c r="DU69" s="85">
        <f t="shared" si="27"/>
        <v>-330</v>
      </c>
      <c r="DV69" s="85">
        <f t="shared" si="27"/>
        <v>696</v>
      </c>
      <c r="DW69" s="72"/>
      <c r="DX69" s="73" t="s">
        <v>49</v>
      </c>
    </row>
    <row r="70" spans="2:128" ht="27" x14ac:dyDescent="0.2">
      <c r="C70" s="6" t="s">
        <v>44</v>
      </c>
      <c r="D70" s="15"/>
      <c r="E70" s="13">
        <f>E58-ROUND(AVERAGE($E$53:$E$58),0)</f>
        <v>69</v>
      </c>
      <c r="F70" s="13">
        <f t="shared" si="8"/>
        <v>776094</v>
      </c>
      <c r="G70" s="13">
        <f t="shared" si="8"/>
        <v>11492</v>
      </c>
      <c r="H70" s="13">
        <f t="shared" si="8"/>
        <v>13272</v>
      </c>
      <c r="I70" s="13">
        <f t="shared" si="8"/>
        <v>11858</v>
      </c>
      <c r="J70" s="13">
        <f t="shared" si="8"/>
        <v>13149</v>
      </c>
      <c r="K70" s="13">
        <f t="shared" si="8"/>
        <v>12030</v>
      </c>
      <c r="L70" s="13">
        <f t="shared" si="8"/>
        <v>13494</v>
      </c>
      <c r="M70" s="13">
        <f t="shared" si="8"/>
        <v>15983</v>
      </c>
      <c r="N70" s="13">
        <f t="shared" si="8"/>
        <v>14550</v>
      </c>
      <c r="O70" s="15"/>
      <c r="P70" s="8" t="s">
        <v>49</v>
      </c>
      <c r="S70" s="6" t="s">
        <v>44</v>
      </c>
      <c r="T70" s="15"/>
      <c r="U70" s="13">
        <f t="shared" si="9"/>
        <v>80</v>
      </c>
      <c r="V70" s="13">
        <f t="shared" si="9"/>
        <v>771131</v>
      </c>
      <c r="W70" s="13">
        <f t="shared" si="9"/>
        <v>14483</v>
      </c>
      <c r="X70" s="13">
        <f t="shared" si="9"/>
        <v>12560</v>
      </c>
      <c r="Y70" s="13">
        <f t="shared" si="9"/>
        <v>12741</v>
      </c>
      <c r="Z70" s="13">
        <f t="shared" si="9"/>
        <v>14464</v>
      </c>
      <c r="AA70" s="13">
        <f t="shared" si="9"/>
        <v>14762</v>
      </c>
      <c r="AB70" s="13">
        <f t="shared" si="9"/>
        <v>13787</v>
      </c>
      <c r="AC70" s="13">
        <f t="shared" si="9"/>
        <v>13549</v>
      </c>
      <c r="AD70" s="13">
        <f t="shared" si="9"/>
        <v>14034</v>
      </c>
      <c r="AE70" s="15"/>
      <c r="AF70" s="8" t="s">
        <v>49</v>
      </c>
      <c r="AI70" s="6" t="s">
        <v>44</v>
      </c>
      <c r="AJ70" s="15"/>
      <c r="AK70" s="85">
        <f t="shared" ref="AK70:AT70" si="28">AK58-ROUND(AVERAGE($AK$53:$AK$58),0)</f>
        <v>703</v>
      </c>
      <c r="AL70" s="85">
        <f t="shared" si="28"/>
        <v>795291</v>
      </c>
      <c r="AM70" s="85">
        <f t="shared" si="28"/>
        <v>20515</v>
      </c>
      <c r="AN70" s="85">
        <f t="shared" si="28"/>
        <v>45608</v>
      </c>
      <c r="AO70" s="85">
        <f t="shared" si="28"/>
        <v>24366</v>
      </c>
      <c r="AP70" s="85">
        <f t="shared" si="28"/>
        <v>33813</v>
      </c>
      <c r="AQ70" s="85">
        <f t="shared" si="28"/>
        <v>22921</v>
      </c>
      <c r="AR70" s="85">
        <f t="shared" si="28"/>
        <v>30887</v>
      </c>
      <c r="AS70" s="85">
        <f t="shared" si="28"/>
        <v>34001</v>
      </c>
      <c r="AT70" s="85">
        <f t="shared" si="28"/>
        <v>30990</v>
      </c>
      <c r="AU70" s="15"/>
      <c r="AV70" s="8" t="s">
        <v>49</v>
      </c>
      <c r="AY70" s="6" t="s">
        <v>44</v>
      </c>
      <c r="AZ70" s="15"/>
      <c r="BA70" s="85">
        <f t="shared" si="11"/>
        <v>1218</v>
      </c>
      <c r="BB70" s="85">
        <f t="shared" si="11"/>
        <v>788812</v>
      </c>
      <c r="BC70" s="85">
        <f t="shared" si="11"/>
        <v>22602</v>
      </c>
      <c r="BD70" s="85">
        <f t="shared" si="11"/>
        <v>25153</v>
      </c>
      <c r="BE70" s="85">
        <f t="shared" si="11"/>
        <v>19265</v>
      </c>
      <c r="BF70" s="85">
        <f t="shared" si="11"/>
        <v>24391</v>
      </c>
      <c r="BG70" s="85">
        <f t="shared" si="11"/>
        <v>21699</v>
      </c>
      <c r="BH70" s="85">
        <f t="shared" si="11"/>
        <v>18469</v>
      </c>
      <c r="BI70" s="85">
        <f t="shared" si="11"/>
        <v>20908</v>
      </c>
      <c r="BJ70" s="85">
        <f t="shared" si="11"/>
        <v>28893</v>
      </c>
      <c r="BK70" s="15"/>
      <c r="BL70" s="8" t="s">
        <v>49</v>
      </c>
      <c r="BN70" s="84"/>
      <c r="BO70" s="71" t="s">
        <v>44</v>
      </c>
      <c r="BP70" s="72"/>
      <c r="BQ70" s="85">
        <f t="shared" ref="BQ70:BZ70" si="29">BQ58-ROUND(AVERAGE($BQ$53:$BQ$57),0)</f>
        <v>454982</v>
      </c>
      <c r="BR70" s="85">
        <f t="shared" si="29"/>
        <v>800779</v>
      </c>
      <c r="BS70" s="85">
        <f t="shared" si="29"/>
        <v>11421</v>
      </c>
      <c r="BT70" s="85">
        <f t="shared" si="29"/>
        <v>22051</v>
      </c>
      <c r="BU70" s="85">
        <f t="shared" si="29"/>
        <v>19423</v>
      </c>
      <c r="BV70" s="85">
        <f t="shared" si="29"/>
        <v>19693</v>
      </c>
      <c r="BW70" s="85">
        <f t="shared" si="29"/>
        <v>13056</v>
      </c>
      <c r="BX70" s="85">
        <f t="shared" si="29"/>
        <v>24214</v>
      </c>
      <c r="BY70" s="85">
        <f t="shared" si="29"/>
        <v>29269</v>
      </c>
      <c r="BZ70" s="85">
        <f t="shared" si="29"/>
        <v>19828</v>
      </c>
      <c r="CA70" s="72"/>
      <c r="CB70" s="73" t="s">
        <v>49</v>
      </c>
      <c r="CC70" s="84"/>
      <c r="CD70" s="84"/>
      <c r="CE70" s="71" t="s">
        <v>44</v>
      </c>
      <c r="CF70" s="72"/>
      <c r="CG70" s="85">
        <f t="shared" si="13"/>
        <v>261</v>
      </c>
      <c r="CH70" s="85">
        <f t="shared" si="13"/>
        <v>809799</v>
      </c>
      <c r="CI70" s="85">
        <f t="shared" si="13"/>
        <v>6508</v>
      </c>
      <c r="CJ70" s="85">
        <f t="shared" si="13"/>
        <v>7627</v>
      </c>
      <c r="CK70" s="85">
        <f t="shared" si="13"/>
        <v>9735</v>
      </c>
      <c r="CL70" s="85">
        <f t="shared" si="13"/>
        <v>11843</v>
      </c>
      <c r="CM70" s="85">
        <f t="shared" si="13"/>
        <v>9601</v>
      </c>
      <c r="CN70" s="85">
        <f t="shared" si="13"/>
        <v>9555</v>
      </c>
      <c r="CO70" s="85">
        <f t="shared" si="13"/>
        <v>11289</v>
      </c>
      <c r="CP70" s="85">
        <f t="shared" si="13"/>
        <v>13078</v>
      </c>
      <c r="CQ70" s="72"/>
      <c r="CR70" s="73" t="s">
        <v>49</v>
      </c>
      <c r="CT70" s="84"/>
      <c r="CU70" s="71" t="s">
        <v>44</v>
      </c>
      <c r="CV70" s="72"/>
      <c r="CW70" s="85">
        <f t="shared" ref="CW70:DF70" si="30">CW58-ROUND(AVERAGE($CW$53:$CW$57),0)</f>
        <v>-23498</v>
      </c>
      <c r="CX70" s="85">
        <f t="shared" si="30"/>
        <v>799986</v>
      </c>
      <c r="CY70" s="85">
        <f t="shared" si="30"/>
        <v>2907</v>
      </c>
      <c r="CZ70" s="85">
        <f t="shared" si="30"/>
        <v>3459</v>
      </c>
      <c r="DA70" s="85">
        <f t="shared" si="30"/>
        <v>3107</v>
      </c>
      <c r="DB70" s="85">
        <f t="shared" si="30"/>
        <v>4728</v>
      </c>
      <c r="DC70" s="85">
        <f t="shared" si="30"/>
        <v>3611</v>
      </c>
      <c r="DD70" s="85">
        <f t="shared" si="30"/>
        <v>4968</v>
      </c>
      <c r="DE70" s="85">
        <f t="shared" si="30"/>
        <v>6705</v>
      </c>
      <c r="DF70" s="85">
        <f t="shared" si="30"/>
        <v>8021</v>
      </c>
      <c r="DG70" s="72"/>
      <c r="DH70" s="73" t="s">
        <v>49</v>
      </c>
      <c r="DI70" s="84"/>
      <c r="DJ70" s="84"/>
      <c r="DK70" s="71" t="s">
        <v>44</v>
      </c>
      <c r="DL70" s="72"/>
      <c r="DM70" s="85">
        <f t="shared" ref="DM70:DV70" si="31">DM58-ROUND(AVERAGE($DM$53:$DM$58),0)</f>
        <v>-465</v>
      </c>
      <c r="DN70" s="85">
        <f t="shared" si="31"/>
        <v>786096</v>
      </c>
      <c r="DO70" s="85">
        <f t="shared" si="31"/>
        <v>761</v>
      </c>
      <c r="DP70" s="85">
        <f t="shared" si="31"/>
        <v>1158</v>
      </c>
      <c r="DQ70" s="85">
        <f t="shared" si="31"/>
        <v>888</v>
      </c>
      <c r="DR70" s="85">
        <f t="shared" si="31"/>
        <v>1322</v>
      </c>
      <c r="DS70" s="85">
        <f t="shared" si="31"/>
        <v>1211</v>
      </c>
      <c r="DT70" s="85">
        <f t="shared" si="31"/>
        <v>1229</v>
      </c>
      <c r="DU70" s="85">
        <f t="shared" si="31"/>
        <v>1789</v>
      </c>
      <c r="DV70" s="85">
        <f t="shared" si="31"/>
        <v>1954</v>
      </c>
      <c r="DW70" s="72"/>
      <c r="DX70" s="73" t="s">
        <v>49</v>
      </c>
    </row>
    <row r="71" spans="2:128" ht="27" x14ac:dyDescent="0.2">
      <c r="C71" s="6" t="s">
        <v>45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8" t="s">
        <v>49</v>
      </c>
      <c r="S71" s="6" t="s">
        <v>45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8" t="s">
        <v>49</v>
      </c>
      <c r="AI71" s="6" t="s">
        <v>45</v>
      </c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8" t="s">
        <v>49</v>
      </c>
      <c r="AY71" s="6" t="s">
        <v>45</v>
      </c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8" t="s">
        <v>49</v>
      </c>
      <c r="BN71" s="84"/>
      <c r="BO71" s="71" t="s">
        <v>45</v>
      </c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3" t="s">
        <v>49</v>
      </c>
      <c r="CC71" s="84"/>
      <c r="CD71" s="84"/>
      <c r="CE71" s="71" t="s">
        <v>45</v>
      </c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2"/>
      <c r="CR71" s="73" t="s">
        <v>49</v>
      </c>
      <c r="CT71" s="84"/>
      <c r="CU71" s="71" t="s">
        <v>45</v>
      </c>
      <c r="CV71" s="72"/>
      <c r="CW71" s="72"/>
      <c r="CX71" s="72"/>
      <c r="CY71" s="72"/>
      <c r="CZ71" s="72"/>
      <c r="DA71" s="72"/>
      <c r="DB71" s="72"/>
      <c r="DC71" s="72"/>
      <c r="DD71" s="72"/>
      <c r="DE71" s="72"/>
      <c r="DF71" s="72"/>
      <c r="DG71" s="72"/>
      <c r="DH71" s="73" t="s">
        <v>49</v>
      </c>
      <c r="DI71" s="84"/>
      <c r="DJ71" s="84"/>
      <c r="DK71" s="71" t="s">
        <v>45</v>
      </c>
      <c r="DL71" s="72"/>
      <c r="DM71" s="72"/>
      <c r="DN71" s="72"/>
      <c r="DO71" s="72"/>
      <c r="DP71" s="72"/>
      <c r="DQ71" s="72"/>
      <c r="DR71" s="72"/>
      <c r="DS71" s="72"/>
      <c r="DT71" s="72"/>
      <c r="DU71" s="72"/>
      <c r="DV71" s="72"/>
      <c r="DW71" s="72"/>
      <c r="DX71" s="73" t="s">
        <v>49</v>
      </c>
    </row>
    <row r="72" spans="2:128" x14ac:dyDescent="0.2"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</row>
    <row r="73" spans="2:128" x14ac:dyDescent="0.2"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</row>
    <row r="74" spans="2:128" x14ac:dyDescent="0.2">
      <c r="C74">
        <v>0</v>
      </c>
      <c r="D74" t="s">
        <v>78</v>
      </c>
      <c r="E74" t="s">
        <v>79</v>
      </c>
      <c r="F74" t="s">
        <v>80</v>
      </c>
      <c r="G74" t="s">
        <v>81</v>
      </c>
      <c r="H74" t="s">
        <v>82</v>
      </c>
      <c r="I74" t="s">
        <v>64</v>
      </c>
      <c r="S74" t="s">
        <v>83</v>
      </c>
      <c r="T74" t="s">
        <v>84</v>
      </c>
      <c r="U74" t="s">
        <v>85</v>
      </c>
      <c r="V74">
        <v>1</v>
      </c>
      <c r="W74">
        <v>2</v>
      </c>
      <c r="X74">
        <v>5</v>
      </c>
      <c r="Y74" t="s">
        <v>64</v>
      </c>
      <c r="AI74">
        <v>0</v>
      </c>
      <c r="AJ74" t="s">
        <v>78</v>
      </c>
      <c r="AK74" t="s">
        <v>79</v>
      </c>
      <c r="AL74" t="s">
        <v>80</v>
      </c>
      <c r="AM74" t="s">
        <v>81</v>
      </c>
      <c r="AN74" t="s">
        <v>82</v>
      </c>
      <c r="AO74" t="s">
        <v>64</v>
      </c>
      <c r="AY74" t="s">
        <v>83</v>
      </c>
      <c r="AZ74" t="s">
        <v>84</v>
      </c>
      <c r="BA74" t="s">
        <v>85</v>
      </c>
      <c r="BB74">
        <v>1</v>
      </c>
      <c r="BC74">
        <v>2</v>
      </c>
      <c r="BD74">
        <v>5</v>
      </c>
      <c r="BE74" t="s">
        <v>64</v>
      </c>
      <c r="BN74" s="84"/>
      <c r="BO74" s="84">
        <v>0</v>
      </c>
      <c r="BP74" s="84" t="s">
        <v>78</v>
      </c>
      <c r="BQ74" s="84" t="s">
        <v>79</v>
      </c>
      <c r="BR74" s="84" t="s">
        <v>80</v>
      </c>
      <c r="BS74" s="84" t="s">
        <v>81</v>
      </c>
      <c r="BT74" s="84" t="s">
        <v>82</v>
      </c>
      <c r="BU74" s="84" t="s">
        <v>64</v>
      </c>
      <c r="BV74" s="84"/>
      <c r="BW74" s="84"/>
      <c r="BX74" s="84"/>
      <c r="BY74" s="84"/>
      <c r="BZ74" s="84"/>
      <c r="CA74" s="84"/>
      <c r="CB74" s="84"/>
      <c r="CC74" s="84"/>
      <c r="CD74" s="84"/>
      <c r="CE74" s="84" t="s">
        <v>83</v>
      </c>
      <c r="CF74" s="84" t="s">
        <v>84</v>
      </c>
      <c r="CG74" s="84" t="s">
        <v>85</v>
      </c>
      <c r="CH74" s="84">
        <v>1</v>
      </c>
      <c r="CI74" s="84">
        <v>2</v>
      </c>
      <c r="CJ74" s="84">
        <v>5</v>
      </c>
      <c r="CK74" s="84" t="s">
        <v>64</v>
      </c>
      <c r="CL74" s="84"/>
      <c r="CM74" s="84"/>
      <c r="CN74" s="84"/>
      <c r="CO74" s="84"/>
      <c r="CP74" s="84"/>
      <c r="CQ74" s="84"/>
      <c r="CR74" s="84"/>
      <c r="CT74" s="84"/>
      <c r="CU74" s="84">
        <v>0</v>
      </c>
      <c r="CV74" s="84" t="s">
        <v>78</v>
      </c>
      <c r="CW74" s="84" t="s">
        <v>79</v>
      </c>
      <c r="CX74" s="84" t="s">
        <v>80</v>
      </c>
      <c r="CY74" s="84" t="s">
        <v>81</v>
      </c>
      <c r="CZ74" s="84" t="s">
        <v>82</v>
      </c>
      <c r="DA74" s="84" t="s">
        <v>64</v>
      </c>
      <c r="DB74" s="84"/>
      <c r="DC74" s="84"/>
      <c r="DD74" s="84"/>
      <c r="DE74" s="84"/>
      <c r="DF74" s="84"/>
      <c r="DG74" s="84"/>
      <c r="DH74" s="84"/>
      <c r="DI74" s="84"/>
      <c r="DJ74" s="84"/>
      <c r="DK74" s="84" t="s">
        <v>83</v>
      </c>
      <c r="DL74" s="84" t="s">
        <v>84</v>
      </c>
      <c r="DM74" s="84" t="s">
        <v>85</v>
      </c>
      <c r="DN74" s="84">
        <v>1</v>
      </c>
      <c r="DO74" s="84">
        <v>2</v>
      </c>
      <c r="DP74" s="84">
        <v>5</v>
      </c>
      <c r="DQ74" s="84" t="s">
        <v>64</v>
      </c>
      <c r="DR74" s="84"/>
      <c r="DS74" s="84"/>
      <c r="DT74" s="84"/>
      <c r="DU74" s="84"/>
      <c r="DV74" s="84"/>
      <c r="DW74" s="84"/>
      <c r="DX74" s="84"/>
    </row>
    <row r="75" spans="2:128" x14ac:dyDescent="0.2">
      <c r="B75" t="s">
        <v>57</v>
      </c>
      <c r="C75">
        <f xml:space="preserve"> ROUND(AVERAGE(G65:N65),0)</f>
        <v>12853</v>
      </c>
      <c r="D75">
        <f xml:space="preserve"> ROUND(AVERAGE(G66:N66),0)</f>
        <v>14027</v>
      </c>
      <c r="E75">
        <f xml:space="preserve"> ROUND(AVERAGE(G67:N67),0)</f>
        <v>15260</v>
      </c>
      <c r="F75">
        <f xml:space="preserve"> ROUND(AVERAGE(G68:N68),0)</f>
        <v>14181</v>
      </c>
      <c r="G75">
        <f xml:space="preserve"> ROUND(AVERAGE(G69:N69),0)</f>
        <v>13448</v>
      </c>
      <c r="H75">
        <f xml:space="preserve"> ROUND(AVERAGE(G70:N70),0)</f>
        <v>13229</v>
      </c>
      <c r="I75">
        <f xml:space="preserve"> ROUND(AVERAGE(F65:F70),0)</f>
        <v>769419</v>
      </c>
      <c r="R75" t="s">
        <v>57</v>
      </c>
      <c r="S75">
        <f xml:space="preserve"> ROUND(AVERAGE(W65:AD65),0)</f>
        <v>13207</v>
      </c>
      <c r="T75">
        <f xml:space="preserve"> ROUND(AVERAGE(W66:AD66),0)</f>
        <v>17195</v>
      </c>
      <c r="U75">
        <f xml:space="preserve"> ROUND(AVERAGE(W67:AD67),0)</f>
        <v>18141</v>
      </c>
      <c r="V75">
        <f xml:space="preserve"> ROUND(AVERAGE(W68:AD68),0)</f>
        <v>18223</v>
      </c>
      <c r="W75">
        <f xml:space="preserve"> ROUND(AVERAGE(W69:AD69),0)</f>
        <v>16490</v>
      </c>
      <c r="X75">
        <f xml:space="preserve"> ROUND(AVERAGE(W70:AD70),0)</f>
        <v>13798</v>
      </c>
      <c r="Y75">
        <f xml:space="preserve"> ROUND(AVERAGE(V65:V70),0)</f>
        <v>768031</v>
      </c>
      <c r="AH75" t="s">
        <v>57</v>
      </c>
      <c r="AI75">
        <f xml:space="preserve"> ROUND(AVERAGE(AM65:AT65),0)</f>
        <v>54110</v>
      </c>
      <c r="AJ75">
        <f xml:space="preserve"> ROUND(AVERAGE(AM66:AT66),0)</f>
        <v>46989</v>
      </c>
      <c r="AK75">
        <f xml:space="preserve"> ROUND(AVERAGE(AM67:AT67),0)</f>
        <v>48695</v>
      </c>
      <c r="AL75">
        <f xml:space="preserve"> ROUND(AVERAGE(AM68:AT68),0)</f>
        <v>37906</v>
      </c>
      <c r="AM75">
        <f xml:space="preserve"> ROUND(AVERAGE(AM69:AT69),0)</f>
        <v>34642</v>
      </c>
      <c r="AN75">
        <f xml:space="preserve"> ROUND(AVERAGE(AM70:AT70),0)</f>
        <v>30388</v>
      </c>
      <c r="AO75">
        <f xml:space="preserve"> ROUND(AVERAGE(AL65:AL70),0)</f>
        <v>792507</v>
      </c>
      <c r="AX75" t="s">
        <v>57</v>
      </c>
      <c r="AY75">
        <f xml:space="preserve"> ROUND(AVERAGE(BC65:BJ65),0)</f>
        <v>29641</v>
      </c>
      <c r="AZ75">
        <f xml:space="preserve"> ROUND(AVERAGE(BC66:BJ66),0)</f>
        <v>30141</v>
      </c>
      <c r="BA75">
        <f xml:space="preserve"> ROUND(AVERAGE(BC67:BJ67),0)</f>
        <v>30992</v>
      </c>
      <c r="BB75">
        <f xml:space="preserve"> ROUND(AVERAGE(BC68:BJ68),0)</f>
        <v>22302</v>
      </c>
      <c r="BC75">
        <f xml:space="preserve"> ROUND(AVERAGE(BC69:BJ69),0)</f>
        <v>19407</v>
      </c>
      <c r="BD75">
        <f xml:space="preserve"> ROUND(AVERAGE(BC70:BJ70),0)</f>
        <v>22673</v>
      </c>
      <c r="BE75">
        <f xml:space="preserve"> ROUND(AVERAGE(BB65:BB70),0)</f>
        <v>791167</v>
      </c>
      <c r="BN75" s="84" t="s">
        <v>57</v>
      </c>
      <c r="BO75" s="84">
        <f xml:space="preserve"> ROUND(AVERAGE(BS65:BZ65),0)</f>
        <v>295681</v>
      </c>
      <c r="BP75" s="84">
        <f xml:space="preserve"> ROUND(AVERAGE(BS66:BZ66),0)</f>
        <v>192872</v>
      </c>
      <c r="BQ75" s="84">
        <f xml:space="preserve"> ROUND(AVERAGE(BS67:BZ67),0)</f>
        <v>137967</v>
      </c>
      <c r="BR75" s="84">
        <f xml:space="preserve"> ROUND(AVERAGE(BS68:BZ68),0)</f>
        <v>67882</v>
      </c>
      <c r="BS75" s="84">
        <f xml:space="preserve"> ROUND(AVERAGE(BS69:BZ69),0)</f>
        <v>28885</v>
      </c>
      <c r="BT75" s="84">
        <f xml:space="preserve"> ROUND(AVERAGE(BS70:BZ70),0)</f>
        <v>19869</v>
      </c>
      <c r="BU75" s="84">
        <f xml:space="preserve"> ROUND(AVERAGE(BR65:BR70),0)</f>
        <v>801930</v>
      </c>
      <c r="BV75" s="84"/>
      <c r="BW75" s="84"/>
      <c r="BX75" s="84"/>
      <c r="BY75" s="84"/>
      <c r="BZ75" s="84"/>
      <c r="CA75" s="84"/>
      <c r="CB75" s="84"/>
      <c r="CC75" s="84"/>
      <c r="CD75" s="84" t="s">
        <v>57</v>
      </c>
      <c r="CE75" s="84">
        <f xml:space="preserve"> ROUND(AVERAGE(CI65:CP65),0)</f>
        <v>14855</v>
      </c>
      <c r="CF75" s="84">
        <f xml:space="preserve"> ROUND(AVERAGE(CI66:CP66),0)</f>
        <v>15032</v>
      </c>
      <c r="CG75" s="84">
        <f xml:space="preserve"> ROUND(AVERAGE(CI67:CP67),0)</f>
        <v>13072</v>
      </c>
      <c r="CH75" s="84">
        <f xml:space="preserve"> ROUND(AVERAGE(CI68:CP68),0)</f>
        <v>10183</v>
      </c>
      <c r="CI75" s="84">
        <f xml:space="preserve"> ROUND(AVERAGE(CI69:CP69),0)</f>
        <v>8948</v>
      </c>
      <c r="CJ75" s="84">
        <f xml:space="preserve"> ROUND(AVERAGE(CI70:CP70),0)</f>
        <v>9905</v>
      </c>
      <c r="CK75" s="84">
        <f xml:space="preserve"> ROUND(AVERAGE(CH65:CH70),0)</f>
        <v>804833</v>
      </c>
      <c r="CL75" s="84"/>
      <c r="CM75" s="84"/>
      <c r="CN75" s="84"/>
      <c r="CO75" s="84"/>
      <c r="CP75" s="84"/>
      <c r="CQ75" s="84"/>
      <c r="CR75" s="84"/>
      <c r="CT75" s="84" t="s">
        <v>57</v>
      </c>
      <c r="CU75" s="84">
        <f xml:space="preserve"> ROUND(AVERAGE(CY65:DF65),0)</f>
        <v>502107</v>
      </c>
      <c r="CV75" s="84">
        <f xml:space="preserve"> ROUND(AVERAGE(CY66:DF66),0)</f>
        <v>362005</v>
      </c>
      <c r="CW75" s="84">
        <f xml:space="preserve"> ROUND(AVERAGE(CY67:DF67),0)</f>
        <v>248583</v>
      </c>
      <c r="CX75" s="84">
        <f xml:space="preserve"> ROUND(AVERAGE(CY68:DF68),0)</f>
        <v>72544</v>
      </c>
      <c r="CY75" s="84">
        <f xml:space="preserve"> ROUND(AVERAGE(CY69:DF69),0)</f>
        <v>13027</v>
      </c>
      <c r="CZ75" s="84">
        <f xml:space="preserve"> ROUND(AVERAGE(CY70:DF70),0)</f>
        <v>4688</v>
      </c>
      <c r="DA75" s="84">
        <f xml:space="preserve"> ROUND(AVERAGE(CX65:CX70),0)</f>
        <v>803166</v>
      </c>
      <c r="DB75" s="84"/>
      <c r="DC75" s="84"/>
      <c r="DD75" s="84"/>
      <c r="DE75" s="84"/>
      <c r="DF75" s="84"/>
      <c r="DG75" s="84"/>
      <c r="DH75" s="84"/>
      <c r="DI75" s="84"/>
      <c r="DJ75" s="84" t="s">
        <v>57</v>
      </c>
      <c r="DK75" s="84">
        <f xml:space="preserve"> ROUND(AVERAGE(DO65:DV65),0)</f>
        <v>1452</v>
      </c>
      <c r="DL75" s="84">
        <f xml:space="preserve"> ROUND(AVERAGE(DO66:DV66),0)</f>
        <v>-187</v>
      </c>
      <c r="DM75" s="84">
        <f xml:space="preserve"> ROUND(AVERAGE(DO67:DV67),0)</f>
        <v>-382</v>
      </c>
      <c r="DN75" s="84">
        <f xml:space="preserve"> ROUND(AVERAGE(DO68:DV68),0)</f>
        <v>-270</v>
      </c>
      <c r="DO75" s="84">
        <f xml:space="preserve"> ROUND(AVERAGE(DO69:DV69),0)</f>
        <v>-8</v>
      </c>
      <c r="DP75" s="84">
        <f xml:space="preserve"> ROUND(AVERAGE(DO70:DV70),0)</f>
        <v>1289</v>
      </c>
      <c r="DQ75" s="84">
        <f xml:space="preserve"> ROUND(AVERAGE(DN65:DN70),0)</f>
        <v>787072</v>
      </c>
      <c r="DR75" s="84"/>
      <c r="DS75" s="84"/>
      <c r="DT75" s="84"/>
      <c r="DU75" s="84"/>
      <c r="DV75" s="84"/>
      <c r="DW75" s="84"/>
      <c r="DX75" s="84"/>
    </row>
    <row r="76" spans="2:128" x14ac:dyDescent="0.2">
      <c r="B76" t="s">
        <v>56</v>
      </c>
      <c r="C76">
        <f>ROUND(_xlfn.STDEV.P(G65:N65),0)</f>
        <v>896</v>
      </c>
      <c r="D76">
        <f>ROUND(_xlfn.STDEV.P(G66:N66),0)</f>
        <v>981</v>
      </c>
      <c r="E76">
        <f>ROUND(_xlfn.STDEV.P(G67:N67),0)</f>
        <v>1465</v>
      </c>
      <c r="F76">
        <f>ROUND(_xlfn.STDEV.P(G68:N68),0)</f>
        <v>1088</v>
      </c>
      <c r="G76">
        <f>ROUND(_xlfn.STDEV.P(G69:N69),0)</f>
        <v>1635</v>
      </c>
      <c r="H76">
        <f>ROUND(_xlfn.STDEV.P(G70:N70),0)</f>
        <v>1403</v>
      </c>
      <c r="I76">
        <f>ROUND(_xlfn.STDEV.P(F65:F70),0)</f>
        <v>3004</v>
      </c>
      <c r="R76" t="s">
        <v>56</v>
      </c>
      <c r="S76">
        <f>ROUND(_xlfn.STDEV.P(W65:AD65),0)</f>
        <v>623</v>
      </c>
      <c r="T76">
        <f>ROUND(_xlfn.STDEV.P(W66:AD66),0)</f>
        <v>2493</v>
      </c>
      <c r="U76">
        <f>ROUND(_xlfn.STDEV.P(W67:AD67),0)</f>
        <v>2334</v>
      </c>
      <c r="V76">
        <f>ROUND(_xlfn.STDEV.P(W68:AD68),0)</f>
        <v>1969</v>
      </c>
      <c r="W76">
        <f>ROUND(_xlfn.STDEV.P(W69:AD69),0)</f>
        <v>1440</v>
      </c>
      <c r="X76">
        <f>ROUND(_xlfn.STDEV.P(W70:AD70),0)</f>
        <v>759</v>
      </c>
      <c r="Y76">
        <f>ROUND(_xlfn.STDEV.P(V65:V70),0)</f>
        <v>3323</v>
      </c>
      <c r="AH76" t="s">
        <v>56</v>
      </c>
      <c r="AI76">
        <f>ROUND(_xlfn.STDEV.P(AM65:AT65),0)</f>
        <v>4364</v>
      </c>
      <c r="AJ76">
        <f>ROUND(_xlfn.STDEV.P(AM66:AT66),0)</f>
        <v>8454</v>
      </c>
      <c r="AK76">
        <f>ROUND(_xlfn.STDEV.P(AM67:AT67),0)</f>
        <v>9198</v>
      </c>
      <c r="AL76">
        <f>ROUND(_xlfn.STDEV.P(AM68:AT68),0)</f>
        <v>7290</v>
      </c>
      <c r="AM76">
        <f>ROUND(_xlfn.STDEV.P(AM69:AT69),0)</f>
        <v>9215</v>
      </c>
      <c r="AN76">
        <f>ROUND(_xlfn.STDEV.P(AM70:AT70),0)</f>
        <v>7471</v>
      </c>
      <c r="AO76">
        <f>ROUND(_xlfn.STDEV.P(AL65:AL70),0)</f>
        <v>1335</v>
      </c>
      <c r="AX76" t="s">
        <v>56</v>
      </c>
      <c r="AY76">
        <f>ROUND(_xlfn.STDEV.P(BC65:BJ65),0)</f>
        <v>5023</v>
      </c>
      <c r="AZ76">
        <f>ROUND(_xlfn.STDEV.P(BC66:BJ66),0)</f>
        <v>6557</v>
      </c>
      <c r="BA76">
        <f>ROUND(_xlfn.STDEV.P(BC67:BJ67),0)</f>
        <v>2396</v>
      </c>
      <c r="BB76">
        <f>ROUND(_xlfn.STDEV.P(BC68:BJ68),0)</f>
        <v>2303</v>
      </c>
      <c r="BC76">
        <f>ROUND(_xlfn.STDEV.P(BC69:BJ69),0)</f>
        <v>3184</v>
      </c>
      <c r="BD76">
        <f>ROUND(_xlfn.STDEV.P(BC70:BJ70),0)</f>
        <v>3185</v>
      </c>
      <c r="BE76">
        <f>ROUND(_xlfn.STDEV.P(BB65:BB70),0)</f>
        <v>2766</v>
      </c>
      <c r="BN76" s="84" t="s">
        <v>56</v>
      </c>
      <c r="BO76" s="84">
        <f>ROUND(_xlfn.STDEV.P(BS65:BZ65),0)</f>
        <v>37764</v>
      </c>
      <c r="BP76" s="84">
        <f>ROUND(_xlfn.STDEV.P(BS66:BZ66),0)</f>
        <v>27215</v>
      </c>
      <c r="BQ76" s="84">
        <f>ROUND(_xlfn.STDEV.P(BS67:BZ67),0)</f>
        <v>10790</v>
      </c>
      <c r="BR76" s="84">
        <f>ROUND(_xlfn.STDEV.P(BS68:BZ68),0)</f>
        <v>9604</v>
      </c>
      <c r="BS76" s="84">
        <f>ROUND(_xlfn.STDEV.P(BS69:BZ69),0)</f>
        <v>5815</v>
      </c>
      <c r="BT76" s="84">
        <f>ROUND(_xlfn.STDEV.P(BS70:BZ70),0)</f>
        <v>5362</v>
      </c>
      <c r="BU76" s="84">
        <f>ROUND(_xlfn.STDEV.P(BR65:BR70),0)</f>
        <v>4304</v>
      </c>
      <c r="BV76" s="84"/>
      <c r="BW76" s="84"/>
      <c r="BX76" s="84"/>
      <c r="BY76" s="84"/>
      <c r="BZ76" s="84"/>
      <c r="CA76" s="84"/>
      <c r="CB76" s="84"/>
      <c r="CC76" s="84"/>
      <c r="CD76" s="84" t="s">
        <v>56</v>
      </c>
      <c r="CE76" s="84">
        <f>ROUND(_xlfn.STDEV.P(CI65:CP65),0)</f>
        <v>6374</v>
      </c>
      <c r="CF76" s="84">
        <f>ROUND(_xlfn.STDEV.P(CI66:CP66),0)</f>
        <v>2211</v>
      </c>
      <c r="CG76" s="84">
        <f>ROUND(_xlfn.STDEV.P(CI67:CP67),0)</f>
        <v>3238</v>
      </c>
      <c r="CH76" s="84">
        <f>ROUND(_xlfn.STDEV.P(CI68:CP68),0)</f>
        <v>2445</v>
      </c>
      <c r="CI76" s="84">
        <f>ROUND(_xlfn.STDEV.P(CI69:CP69),0)</f>
        <v>2210</v>
      </c>
      <c r="CJ76" s="84">
        <f>ROUND(_xlfn.STDEV.P(CI70:CP70),0)</f>
        <v>2022</v>
      </c>
      <c r="CK76" s="84">
        <f>ROUND(_xlfn.STDEV.P(CH65:CH70),0)</f>
        <v>2891</v>
      </c>
      <c r="CL76" s="84"/>
      <c r="CM76" s="84"/>
      <c r="CN76" s="84"/>
      <c r="CO76" s="84"/>
      <c r="CP76" s="84"/>
      <c r="CQ76" s="84"/>
      <c r="CR76" s="84"/>
      <c r="CT76" s="84" t="s">
        <v>56</v>
      </c>
      <c r="CU76" s="84">
        <f>ROUND(_xlfn.STDEV.P(CY65:DF65),0)</f>
        <v>38153</v>
      </c>
      <c r="CV76" s="84">
        <f>ROUND(_xlfn.STDEV.P(CY66:DF66),0)</f>
        <v>26840</v>
      </c>
      <c r="CW76" s="84">
        <f>ROUND(_xlfn.STDEV.P(CY67:DF67),0)</f>
        <v>28340</v>
      </c>
      <c r="CX76" s="84">
        <f>ROUND(_xlfn.STDEV.P(CY68:DF68),0)</f>
        <v>10930</v>
      </c>
      <c r="CY76" s="84">
        <f>ROUND(_xlfn.STDEV.P(CY69:DF69),0)</f>
        <v>3936</v>
      </c>
      <c r="CZ76" s="84">
        <f>ROUND(_xlfn.STDEV.P(CY70:DF70),0)</f>
        <v>1718</v>
      </c>
      <c r="DA76" s="84">
        <f>ROUND(_xlfn.STDEV.P(CX65:CX70),0)</f>
        <v>4283</v>
      </c>
      <c r="DB76" s="84"/>
      <c r="DC76" s="84"/>
      <c r="DD76" s="84"/>
      <c r="DE76" s="84"/>
      <c r="DF76" s="84"/>
      <c r="DG76" s="84"/>
      <c r="DH76" s="84"/>
      <c r="DI76" s="84"/>
      <c r="DJ76" s="84" t="s">
        <v>56</v>
      </c>
      <c r="DK76" s="84">
        <f>ROUND(_xlfn.STDEV.P(DO65:DV65),0)</f>
        <v>1429</v>
      </c>
      <c r="DL76" s="84">
        <f>ROUND(_xlfn.STDEV.P(DO66:DV66),0)</f>
        <v>474</v>
      </c>
      <c r="DM76" s="84">
        <f>ROUND(_xlfn.STDEV.P(DO67:DV67),0)</f>
        <v>220</v>
      </c>
      <c r="DN76" s="84">
        <f>ROUND(_xlfn.STDEV.P(DO68:DV68),0)</f>
        <v>257</v>
      </c>
      <c r="DO76" s="84">
        <f>ROUND(_xlfn.STDEV.P(DO69:DV69),0)</f>
        <v>414</v>
      </c>
      <c r="DP76" s="84">
        <f>ROUND(_xlfn.STDEV.P(DO70:DV70),0)</f>
        <v>381</v>
      </c>
      <c r="DQ76" s="84">
        <f>ROUND(_xlfn.STDEV.P(DN65:DN70),0)</f>
        <v>2879</v>
      </c>
      <c r="DR76" s="84"/>
      <c r="DS76" s="84"/>
      <c r="DT76" s="84"/>
      <c r="DU76" s="84"/>
      <c r="DV76" s="84"/>
      <c r="DW76" s="84"/>
      <c r="DX76" s="84"/>
    </row>
    <row r="77" spans="2:128" x14ac:dyDescent="0.2"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</row>
    <row r="78" spans="2:128" x14ac:dyDescent="0.2">
      <c r="L78" t="s">
        <v>73</v>
      </c>
      <c r="M78">
        <v>0</v>
      </c>
      <c r="N78">
        <v>2.5000000000000001E-2</v>
      </c>
      <c r="O78">
        <v>0.05</v>
      </c>
      <c r="P78">
        <v>0.1</v>
      </c>
      <c r="Q78">
        <v>0.2</v>
      </c>
      <c r="R78">
        <v>0.3</v>
      </c>
      <c r="S78">
        <v>0.4</v>
      </c>
      <c r="T78">
        <v>0.6</v>
      </c>
      <c r="U78">
        <v>0.8</v>
      </c>
      <c r="V78">
        <v>1</v>
      </c>
      <c r="W78">
        <v>2</v>
      </c>
      <c r="X78">
        <v>5</v>
      </c>
      <c r="AR78" t="s">
        <v>73</v>
      </c>
      <c r="AS78">
        <v>0</v>
      </c>
      <c r="AT78">
        <v>2.5000000000000001E-2</v>
      </c>
      <c r="AU78">
        <v>0.05</v>
      </c>
      <c r="AV78">
        <v>0.1</v>
      </c>
      <c r="AW78">
        <v>0.2</v>
      </c>
      <c r="AX78">
        <v>0.3</v>
      </c>
      <c r="AY78">
        <v>0.4</v>
      </c>
      <c r="AZ78">
        <v>0.6</v>
      </c>
      <c r="BA78">
        <v>0.8</v>
      </c>
      <c r="BB78">
        <v>1</v>
      </c>
      <c r="BC78">
        <v>2</v>
      </c>
      <c r="BD78">
        <v>5</v>
      </c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 t="s">
        <v>73</v>
      </c>
      <c r="BY78" s="84">
        <v>0</v>
      </c>
      <c r="BZ78" s="84">
        <v>2.5000000000000001E-2</v>
      </c>
      <c r="CA78" s="84">
        <v>0.05</v>
      </c>
      <c r="CB78" s="84">
        <v>0.1</v>
      </c>
      <c r="CC78" s="84">
        <v>0.2</v>
      </c>
      <c r="CD78" s="84">
        <v>0.3</v>
      </c>
      <c r="CE78" s="84">
        <v>0.4</v>
      </c>
      <c r="CF78" s="84">
        <v>0.6</v>
      </c>
      <c r="CG78" s="84">
        <v>0.8</v>
      </c>
      <c r="CH78" s="84">
        <v>1</v>
      </c>
      <c r="CI78" s="84">
        <v>2</v>
      </c>
      <c r="CJ78" s="84">
        <v>5</v>
      </c>
      <c r="CK78" s="84"/>
      <c r="CL78" s="84"/>
      <c r="CM78" s="84"/>
      <c r="CN78" s="84"/>
      <c r="CO78" s="84"/>
      <c r="CP78" s="84"/>
      <c r="CQ78" s="84"/>
      <c r="CR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 t="s">
        <v>73</v>
      </c>
      <c r="DE78" s="84">
        <v>0</v>
      </c>
      <c r="DF78" s="84">
        <v>2.5000000000000001E-2</v>
      </c>
      <c r="DG78" s="84">
        <v>0.05</v>
      </c>
      <c r="DH78" s="84">
        <v>0.1</v>
      </c>
      <c r="DI78" s="84">
        <v>0.2</v>
      </c>
      <c r="DJ78" s="84">
        <v>0.3</v>
      </c>
      <c r="DK78" s="84">
        <v>0.4</v>
      </c>
      <c r="DL78" s="84">
        <v>0.6</v>
      </c>
      <c r="DM78" s="84">
        <v>0.8</v>
      </c>
      <c r="DN78" s="84">
        <v>1</v>
      </c>
      <c r="DO78" s="84">
        <v>2</v>
      </c>
      <c r="DP78" s="84">
        <v>5</v>
      </c>
      <c r="DQ78" s="84"/>
      <c r="DR78" s="84"/>
      <c r="DS78" s="84"/>
      <c r="DT78" s="84"/>
      <c r="DU78" s="84"/>
      <c r="DV78" s="84"/>
      <c r="DW78" s="84"/>
      <c r="DX78" s="84"/>
    </row>
    <row r="79" spans="2:128" x14ac:dyDescent="0.2">
      <c r="L79" t="s">
        <v>57</v>
      </c>
      <c r="M79">
        <f t="shared" ref="M79:R80" si="32">C75/$I$75</f>
        <v>1.6704812332422256E-2</v>
      </c>
      <c r="N79">
        <f t="shared" si="32"/>
        <v>1.8230638962645842E-2</v>
      </c>
      <c r="O79">
        <f t="shared" si="32"/>
        <v>1.983314682897095E-2</v>
      </c>
      <c r="P79">
        <f t="shared" si="32"/>
        <v>1.8430789985690501E-2</v>
      </c>
      <c r="Q79">
        <f t="shared" si="32"/>
        <v>1.7478123103276628E-2</v>
      </c>
      <c r="R79">
        <f t="shared" si="32"/>
        <v>1.7193492752323507E-2</v>
      </c>
      <c r="S79">
        <f>S75/$Y$75</f>
        <v>1.7195920477168239E-2</v>
      </c>
      <c r="T79">
        <f t="shared" ref="T79:X80" si="33">T75/$Y$75</f>
        <v>2.2388419217453461E-2</v>
      </c>
      <c r="U79">
        <f t="shared" si="33"/>
        <v>2.3620140332877189E-2</v>
      </c>
      <c r="V79">
        <f t="shared" si="33"/>
        <v>2.3726906856624277E-2</v>
      </c>
      <c r="W79">
        <f t="shared" si="33"/>
        <v>2.1470487519383984E-2</v>
      </c>
      <c r="X79">
        <f t="shared" si="33"/>
        <v>1.7965420666613718E-2</v>
      </c>
      <c r="AR79" t="s">
        <v>57</v>
      </c>
      <c r="AS79">
        <f>AI75/$AO$75</f>
        <v>6.8276999446061679E-2</v>
      </c>
      <c r="AT79" s="84">
        <f t="shared" ref="AT79:AX79" si="34">AJ75/$AO$75</f>
        <v>5.929158985346502E-2</v>
      </c>
      <c r="AU79" s="84">
        <f t="shared" si="34"/>
        <v>6.1444252227425118E-2</v>
      </c>
      <c r="AV79" s="84">
        <f t="shared" si="34"/>
        <v>4.7830492348963478E-2</v>
      </c>
      <c r="AW79" s="84">
        <f t="shared" si="34"/>
        <v>4.3711916740167597E-2</v>
      </c>
      <c r="AX79" s="84">
        <f t="shared" si="34"/>
        <v>3.8344140808850902E-2</v>
      </c>
      <c r="AY79">
        <f>AY75/$BE$75</f>
        <v>3.7464909431257874E-2</v>
      </c>
      <c r="AZ79" s="84">
        <f t="shared" ref="AZ79:BD79" si="35">AZ75/$BE$75</f>
        <v>3.8096887256419944E-2</v>
      </c>
      <c r="BA79" s="84">
        <f t="shared" si="35"/>
        <v>3.917251351484579E-2</v>
      </c>
      <c r="BB79" s="84">
        <f t="shared" si="35"/>
        <v>2.8188738913529004E-2</v>
      </c>
      <c r="BC79" s="84">
        <f t="shared" si="35"/>
        <v>2.4529587305840612E-2</v>
      </c>
      <c r="BD79" s="84">
        <f t="shared" si="35"/>
        <v>2.8657666459799259E-2</v>
      </c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 t="s">
        <v>57</v>
      </c>
      <c r="BY79" s="84">
        <f>BO75/$BU$75</f>
        <v>0.36871173294427195</v>
      </c>
      <c r="BZ79" s="84">
        <f t="shared" ref="BZ79:CD79" si="36">BP75/$BU$75</f>
        <v>0.24050977017944208</v>
      </c>
      <c r="CA79" s="84">
        <f t="shared" si="36"/>
        <v>0.17204369458680932</v>
      </c>
      <c r="CB79" s="84">
        <f t="shared" si="36"/>
        <v>8.4648286010000878E-2</v>
      </c>
      <c r="CC79" s="84">
        <f t="shared" si="36"/>
        <v>3.6019353310139286E-2</v>
      </c>
      <c r="CD79" s="84">
        <f t="shared" si="36"/>
        <v>2.4776476749841007E-2</v>
      </c>
      <c r="CE79" s="84">
        <f>CE75/$CK$75</f>
        <v>1.8457245167631049E-2</v>
      </c>
      <c r="CF79" s="84">
        <f t="shared" ref="CF79:CJ79" si="37">CF75/$CK$75</f>
        <v>1.8677166567474247E-2</v>
      </c>
      <c r="CG79" s="84">
        <f t="shared" si="37"/>
        <v>1.6241878750001552E-2</v>
      </c>
      <c r="CH79" s="84">
        <f t="shared" si="37"/>
        <v>1.2652314206798181E-2</v>
      </c>
      <c r="CI79" s="84">
        <f t="shared" si="37"/>
        <v>1.1117834383033499E-2</v>
      </c>
      <c r="CJ79" s="84">
        <f t="shared" si="37"/>
        <v>1.2306900934728074E-2</v>
      </c>
      <c r="CK79" s="84"/>
      <c r="CL79" s="84"/>
      <c r="CM79" s="84"/>
      <c r="CN79" s="84"/>
      <c r="CO79" s="84"/>
      <c r="CP79" s="84"/>
      <c r="CQ79" s="84"/>
      <c r="CR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 t="s">
        <v>57</v>
      </c>
      <c r="DE79" s="84">
        <f>CU75/$DA$75</f>
        <v>0.62515968056416726</v>
      </c>
      <c r="DF79" s="84">
        <f t="shared" ref="DF79:DJ80" si="38">CV75/$DA$75</f>
        <v>0.45072251564433752</v>
      </c>
      <c r="DG79" s="84">
        <f t="shared" si="38"/>
        <v>0.30950388836180814</v>
      </c>
      <c r="DH79" s="84">
        <f t="shared" si="38"/>
        <v>9.0322548514254836E-2</v>
      </c>
      <c r="DI79" s="84">
        <f t="shared" si="38"/>
        <v>1.6219561086998204E-2</v>
      </c>
      <c r="DJ79" s="84">
        <f t="shared" si="38"/>
        <v>5.8369004664042051E-3</v>
      </c>
      <c r="DK79" s="84">
        <f>DK75/$DQ$75</f>
        <v>1.8448121645796064E-3</v>
      </c>
      <c r="DL79" s="84">
        <f t="shared" ref="DL79:DP80" si="39">DL75/$DQ$75</f>
        <v>-2.3758944543828266E-4</v>
      </c>
      <c r="DM79" s="84">
        <f t="shared" si="39"/>
        <v>-4.8534314522686618E-4</v>
      </c>
      <c r="DN79" s="84">
        <f t="shared" si="39"/>
        <v>-3.4304358432265408E-4</v>
      </c>
      <c r="DO79" s="84">
        <f t="shared" si="39"/>
        <v>-1.0164254350300863E-5</v>
      </c>
      <c r="DP79" s="84">
        <f t="shared" si="39"/>
        <v>1.6377154821922263E-3</v>
      </c>
      <c r="DQ79" s="84"/>
      <c r="DR79" s="84"/>
      <c r="DS79" s="84"/>
      <c r="DT79" s="84"/>
      <c r="DU79" s="84"/>
      <c r="DV79" s="84"/>
      <c r="DW79" s="84"/>
      <c r="DX79" s="84"/>
    </row>
    <row r="80" spans="2:128" x14ac:dyDescent="0.2">
      <c r="L80" t="s">
        <v>56</v>
      </c>
      <c r="M80">
        <f t="shared" si="32"/>
        <v>1.1645150431689366E-3</v>
      </c>
      <c r="N80">
        <f t="shared" si="32"/>
        <v>1.2749880104338468E-3</v>
      </c>
      <c r="O80">
        <f t="shared" si="32"/>
        <v>1.9040340828599242E-3</v>
      </c>
      <c r="P80">
        <f t="shared" si="32"/>
        <v>1.4140539809908515E-3</v>
      </c>
      <c r="Q80">
        <f t="shared" si="32"/>
        <v>2.1249800173897449E-3</v>
      </c>
      <c r="R80">
        <f t="shared" si="32"/>
        <v>1.8234538008549308E-3</v>
      </c>
      <c r="S80">
        <f>S76/$Y$75</f>
        <v>8.1116517432239059E-4</v>
      </c>
      <c r="T80">
        <f t="shared" si="33"/>
        <v>3.2459627280669659E-3</v>
      </c>
      <c r="U80">
        <f t="shared" si="33"/>
        <v>3.0389398344598069E-3</v>
      </c>
      <c r="V80">
        <f t="shared" si="33"/>
        <v>2.5636986007075233E-3</v>
      </c>
      <c r="W80">
        <f t="shared" si="33"/>
        <v>1.8749243194610633E-3</v>
      </c>
      <c r="X80">
        <f t="shared" si="33"/>
        <v>9.8824136004926877E-4</v>
      </c>
      <c r="AR80" t="s">
        <v>56</v>
      </c>
      <c r="AS80" s="84">
        <f>AI76/$AO$75</f>
        <v>5.5065759671523405E-3</v>
      </c>
      <c r="AT80" s="84">
        <f t="shared" ref="AT80:AX80" si="40">AJ76/$AO$75</f>
        <v>1.0667413663223164E-2</v>
      </c>
      <c r="AU80" s="84">
        <f t="shared" si="40"/>
        <v>1.1606206632875166E-2</v>
      </c>
      <c r="AV80" s="84">
        <f t="shared" si="40"/>
        <v>9.1986569203805144E-3</v>
      </c>
      <c r="AW80" s="84">
        <f t="shared" si="40"/>
        <v>1.1627657547504312E-2</v>
      </c>
      <c r="AX80" s="84">
        <f t="shared" si="40"/>
        <v>9.4270460702555302E-3</v>
      </c>
      <c r="AY80" s="84">
        <f>AY76/$BE$75</f>
        <v>6.3488492315781622E-3</v>
      </c>
      <c r="AZ80" s="84">
        <f t="shared" ref="AZ80:BD80" si="41">AZ76/$BE$75</f>
        <v>8.2877571991753947E-3</v>
      </c>
      <c r="BA80" s="84">
        <f t="shared" si="41"/>
        <v>3.0284377381766428E-3</v>
      </c>
      <c r="BB80" s="84">
        <f t="shared" si="41"/>
        <v>2.9108898626964978E-3</v>
      </c>
      <c r="BC80" s="84">
        <f t="shared" si="41"/>
        <v>4.0244347906320662E-3</v>
      </c>
      <c r="BD80" s="84">
        <f t="shared" si="41"/>
        <v>4.0256987462823903E-3</v>
      </c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 t="s">
        <v>56</v>
      </c>
      <c r="BY80" s="84">
        <f>BO76/$BU$75</f>
        <v>4.7091392016759569E-2</v>
      </c>
      <c r="BZ80" s="84">
        <f t="shared" ref="BZ80:CD80" si="42">BP76/$BU$75</f>
        <v>3.3936877283553428E-2</v>
      </c>
      <c r="CA80" s="84">
        <f t="shared" si="42"/>
        <v>1.3455039716683501E-2</v>
      </c>
      <c r="CB80" s="84">
        <f t="shared" si="42"/>
        <v>1.1976107640317734E-2</v>
      </c>
      <c r="CC80" s="84">
        <f t="shared" si="42"/>
        <v>7.2512563440699316E-3</v>
      </c>
      <c r="CD80" s="84">
        <f t="shared" si="42"/>
        <v>6.6863691344631075E-3</v>
      </c>
      <c r="CE80" s="84">
        <f>CE76/$CK$75</f>
        <v>7.9196553819239519E-3</v>
      </c>
      <c r="CF80" s="84">
        <f t="shared" ref="CF80:CJ80" si="43">CF76/$CK$75</f>
        <v>2.7471537573633287E-3</v>
      </c>
      <c r="CG80" s="84">
        <f t="shared" si="43"/>
        <v>4.0231948739676429E-3</v>
      </c>
      <c r="CH80" s="84">
        <f t="shared" si="43"/>
        <v>3.0378973029187421E-3</v>
      </c>
      <c r="CI80" s="84">
        <f t="shared" si="43"/>
        <v>2.7459112635789041E-3</v>
      </c>
      <c r="CJ80" s="84">
        <f t="shared" si="43"/>
        <v>2.5123224321070333E-3</v>
      </c>
      <c r="CK80" s="84"/>
      <c r="CL80" s="84"/>
      <c r="CM80" s="84"/>
      <c r="CN80" s="84"/>
      <c r="CO80" s="84"/>
      <c r="CP80" s="84"/>
      <c r="CQ80" s="84"/>
      <c r="CR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 t="s">
        <v>56</v>
      </c>
      <c r="DE80" s="84">
        <f>CU76/$DA$75</f>
        <v>4.7503255864914599E-2</v>
      </c>
      <c r="DF80" s="84">
        <f t="shared" si="38"/>
        <v>3.341774925731418E-2</v>
      </c>
      <c r="DG80" s="84">
        <f t="shared" si="38"/>
        <v>3.5285358194943509E-2</v>
      </c>
      <c r="DH80" s="84">
        <f t="shared" si="38"/>
        <v>1.3608643792192399E-2</v>
      </c>
      <c r="DI80" s="84">
        <f t="shared" si="38"/>
        <v>4.9006058523393672E-3</v>
      </c>
      <c r="DJ80" s="84">
        <f t="shared" si="38"/>
        <v>2.1390347698981281E-3</v>
      </c>
      <c r="DK80" s="84">
        <f>DK76/$DQ$75</f>
        <v>1.8155899333224914E-3</v>
      </c>
      <c r="DL80" s="84">
        <f t="shared" si="39"/>
        <v>6.0223207025532604E-4</v>
      </c>
      <c r="DM80" s="84">
        <f t="shared" si="39"/>
        <v>2.7951699463327369E-4</v>
      </c>
      <c r="DN80" s="84">
        <f t="shared" si="39"/>
        <v>3.2652667100341521E-4</v>
      </c>
      <c r="DO80" s="84">
        <f t="shared" si="39"/>
        <v>5.2600016262806964E-4</v>
      </c>
      <c r="DP80" s="84">
        <f t="shared" si="39"/>
        <v>4.8407261343307853E-4</v>
      </c>
      <c r="DQ80" s="84"/>
      <c r="DR80" s="84"/>
      <c r="DS80" s="84"/>
      <c r="DT80" s="84"/>
      <c r="DU80" s="84"/>
      <c r="DV80" s="84"/>
      <c r="DW80" s="84"/>
      <c r="DX80" s="84"/>
    </row>
    <row r="81" spans="1:128" x14ac:dyDescent="0.2"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</row>
    <row r="82" spans="1:128" x14ac:dyDescent="0.2">
      <c r="L82" t="s">
        <v>100</v>
      </c>
      <c r="M82">
        <v>0</v>
      </c>
      <c r="N82">
        <v>2.5000000000000001E-2</v>
      </c>
      <c r="O82">
        <v>0.05</v>
      </c>
      <c r="P82">
        <v>0.1</v>
      </c>
      <c r="Q82">
        <v>0.2</v>
      </c>
      <c r="R82">
        <v>0.3</v>
      </c>
      <c r="S82">
        <v>0.4</v>
      </c>
      <c r="T82">
        <v>0.6</v>
      </c>
      <c r="U82">
        <v>0.8</v>
      </c>
      <c r="V82">
        <v>1</v>
      </c>
      <c r="W82">
        <v>2</v>
      </c>
      <c r="X82">
        <v>5</v>
      </c>
      <c r="AR82" t="s">
        <v>100</v>
      </c>
      <c r="AS82">
        <v>0</v>
      </c>
      <c r="AT82">
        <v>2.5000000000000001E-2</v>
      </c>
      <c r="AU82">
        <v>0.05</v>
      </c>
      <c r="AV82">
        <v>0.1</v>
      </c>
      <c r="AW82">
        <v>0.2</v>
      </c>
      <c r="AX82">
        <v>0.3</v>
      </c>
      <c r="AY82">
        <v>0.4</v>
      </c>
      <c r="AZ82">
        <v>0.6</v>
      </c>
      <c r="BA82">
        <v>0.8</v>
      </c>
      <c r="BB82">
        <v>1</v>
      </c>
      <c r="BC82">
        <v>2</v>
      </c>
      <c r="BD82">
        <v>5</v>
      </c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 t="s">
        <v>100</v>
      </c>
      <c r="BY82" s="84">
        <v>0</v>
      </c>
      <c r="BZ82" s="84">
        <v>2.5000000000000001E-2</v>
      </c>
      <c r="CA82" s="84">
        <v>0.05</v>
      </c>
      <c r="CB82" s="84">
        <v>0.1</v>
      </c>
      <c r="CC82" s="84">
        <v>0.2</v>
      </c>
      <c r="CD82" s="84">
        <v>0.3</v>
      </c>
      <c r="CE82" s="84">
        <v>0.4</v>
      </c>
      <c r="CF82" s="84">
        <v>0.6</v>
      </c>
      <c r="CG82" s="84">
        <v>0.8</v>
      </c>
      <c r="CH82" s="84">
        <v>1</v>
      </c>
      <c r="CI82" s="84">
        <v>2</v>
      </c>
      <c r="CJ82" s="84">
        <v>5</v>
      </c>
      <c r="CK82" s="84"/>
      <c r="CL82" s="84"/>
      <c r="CM82" s="84"/>
      <c r="CN82" s="84"/>
      <c r="CO82" s="84"/>
      <c r="CP82" s="84"/>
      <c r="CQ82" s="84"/>
      <c r="CR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 t="s">
        <v>100</v>
      </c>
      <c r="DE82" s="84">
        <v>0</v>
      </c>
      <c r="DF82" s="84">
        <v>2.5000000000000001E-2</v>
      </c>
      <c r="DG82" s="84">
        <v>0.05</v>
      </c>
      <c r="DH82" s="84">
        <v>0.1</v>
      </c>
      <c r="DI82" s="84">
        <v>0.2</v>
      </c>
      <c r="DJ82" s="84">
        <v>0.3</v>
      </c>
      <c r="DK82" s="84">
        <v>0.4</v>
      </c>
      <c r="DL82" s="84">
        <v>0.6</v>
      </c>
      <c r="DM82" s="84">
        <v>0.8</v>
      </c>
      <c r="DN82" s="84">
        <v>1</v>
      </c>
      <c r="DO82" s="84">
        <v>2</v>
      </c>
      <c r="DP82" s="84">
        <v>5</v>
      </c>
      <c r="DQ82" s="84"/>
      <c r="DR82" s="84"/>
      <c r="DS82" s="84"/>
      <c r="DT82" s="84"/>
      <c r="DU82" s="84"/>
      <c r="DV82" s="84"/>
      <c r="DW82" s="84"/>
      <c r="DX82" s="84"/>
    </row>
    <row r="83" spans="1:128" x14ac:dyDescent="0.2">
      <c r="L83" t="s">
        <v>57</v>
      </c>
      <c r="M83">
        <f xml:space="preserve"> M79 *'Calibration Plates'!$AA$105</f>
        <v>1498.189446854014</v>
      </c>
      <c r="N83">
        <f xml:space="preserve"> N79 *'Calibration Plates'!$AA$105</f>
        <v>1635.0348845422279</v>
      </c>
      <c r="O83">
        <f xml:space="preserve"> O79 *'Calibration Plates'!$AA$105</f>
        <v>1778.7575631364082</v>
      </c>
      <c r="P83">
        <f xml:space="preserve"> P79 *'Calibration Plates'!$AA$105</f>
        <v>1652.9856489408521</v>
      </c>
      <c r="Q83">
        <f xml:space="preserve"> Q79 *'Calibration Plates'!$AA$105</f>
        <v>1567.5446729396078</v>
      </c>
      <c r="R83">
        <f xml:space="preserve"> R79 *'Calibration Plates'!$AA$105</f>
        <v>1542.017287203902</v>
      </c>
      <c r="S83">
        <f xml:space="preserve"> S79 *'Calibration Plates'!$AA$105</f>
        <v>1542.2350203738331</v>
      </c>
      <c r="T83">
        <f xml:space="preserve"> T79 *'Calibration Plates'!$AA$105</f>
        <v>2007.9299746595032</v>
      </c>
      <c r="U83">
        <f xml:space="preserve"> U79 *'Calibration Plates'!$AA$105</f>
        <v>2118.3982361324834</v>
      </c>
      <c r="V83">
        <f xml:space="preserve"> V79 *'Calibration Plates'!$AA$105</f>
        <v>2127.9737091142852</v>
      </c>
      <c r="W83">
        <f xml:space="preserve"> W79 *'Calibration Plates'!$AA$105</f>
        <v>1925.6042618281599</v>
      </c>
      <c r="X83">
        <f xml:space="preserve"> X79 *'Calibration Plates'!$AA$105</f>
        <v>1611.2484902792573</v>
      </c>
      <c r="AR83" t="s">
        <v>57</v>
      </c>
      <c r="AS83">
        <f xml:space="preserve"> AS79 *'Calibration Plates'!$AA$105</f>
        <v>6123.4977081669667</v>
      </c>
      <c r="AT83">
        <f xml:space="preserve"> AT79 *'Calibration Plates'!$AA$105</f>
        <v>5317.6313769923781</v>
      </c>
      <c r="AU83">
        <f xml:space="preserve"> AU79 *'Calibration Plates'!$AA$105</f>
        <v>5510.6952670336432</v>
      </c>
      <c r="AV83">
        <f xml:space="preserve"> AV79 *'Calibration Plates'!$AA$105</f>
        <v>4289.7302555124197</v>
      </c>
      <c r="AW83">
        <f xml:space="preserve"> AW79 *'Calibration Plates'!$AA$105</f>
        <v>3920.351277145076</v>
      </c>
      <c r="AX83">
        <f xml:space="preserve"> AX79 *'Calibration Plates'!$AA$105</f>
        <v>3438.936395412637</v>
      </c>
      <c r="AY83">
        <f xml:space="preserve"> AY79 *'Calibration Plates'!$AA$105</f>
        <v>3360.0815633415132</v>
      </c>
      <c r="AZ83">
        <f xml:space="preserve"> AZ79 *'Calibration Plates'!$AA$105</f>
        <v>3416.7611889165869</v>
      </c>
      <c r="BA83">
        <f xml:space="preserve"> BA79 *'Calibration Plates'!$AA$105</f>
        <v>3513.2299116453623</v>
      </c>
      <c r="BB83">
        <f xml:space="preserve"> BB79 *'Calibration Plates'!$AA$105</f>
        <v>2528.1380191505832</v>
      </c>
      <c r="BC83">
        <f xml:space="preserve"> BC79 *'Calibration Plates'!$AA$105</f>
        <v>2199.9629870709068</v>
      </c>
      <c r="BD83">
        <f xml:space="preserve"> BD79 *'Calibration Plates'!$AA$105</f>
        <v>2570.194301327288</v>
      </c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 t="s">
        <v>57</v>
      </c>
      <c r="BY83" s="84">
        <f xml:space="preserve"> BY79 *'Calibration Plates'!$AA$105</f>
        <v>33068.316855988516</v>
      </c>
      <c r="BZ83" s="84">
        <f xml:space="preserve"> BZ79 *'Calibration Plates'!$AA$105</f>
        <v>21570.382975734716</v>
      </c>
      <c r="CA83" s="84">
        <f xml:space="preserve"> CA79 *'Calibration Plates'!$AA$105</f>
        <v>15429.927765633123</v>
      </c>
      <c r="CB83" s="84">
        <f xml:space="preserve"> CB79 *'Calibration Plates'!$AA$105</f>
        <v>7591.7745300449214</v>
      </c>
      <c r="CC83" s="84">
        <f xml:space="preserve"> CC79 *'Calibration Plates'!$AA$105</f>
        <v>3230.4352744519538</v>
      </c>
      <c r="CD83" s="84">
        <f xml:space="preserve"> CD79 *'Calibration Plates'!$AA$105</f>
        <v>2222.1055381023325</v>
      </c>
      <c r="CE83" s="84">
        <f xml:space="preserve"> CE79 *'Calibration Plates'!$AA$105</f>
        <v>1655.3583109983003</v>
      </c>
      <c r="CF83" s="84">
        <f xml:space="preserve"> CF79 *'Calibration Plates'!$AA$105</f>
        <v>1675.082203360919</v>
      </c>
      <c r="CG83" s="84">
        <f xml:space="preserve"> CG79 *'Calibration Plates'!$AA$105</f>
        <v>1456.670739910453</v>
      </c>
      <c r="CH83" s="84">
        <f xml:space="preserve"> CH79 *'Calibration Plates'!$AA$105</f>
        <v>1134.7367001612718</v>
      </c>
      <c r="CI83" s="84">
        <f xml:space="preserve"> CI79 *'Calibration Plates'!$AA$105</f>
        <v>997.11519130345278</v>
      </c>
      <c r="CJ83" s="84">
        <f xml:space="preserve"> CJ79 *'Calibration Plates'!$AA$105</f>
        <v>1103.7579313657466</v>
      </c>
      <c r="CK83" s="84"/>
      <c r="CL83" s="84"/>
      <c r="CM83" s="84"/>
      <c r="CN83" s="84"/>
      <c r="CO83" s="84"/>
      <c r="CP83" s="84"/>
      <c r="CQ83" s="84"/>
      <c r="CR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 t="s">
        <v>57</v>
      </c>
      <c r="DE83" s="84">
        <f xml:space="preserve"> DE79 *'Calibration Plates'!$AA$105</f>
        <v>56068.132786023969</v>
      </c>
      <c r="DF83" s="84">
        <f xml:space="preserve"> DF79 *'Calibration Plates'!$AA$105</f>
        <v>40423.544003976458</v>
      </c>
      <c r="DG83" s="84">
        <f xml:space="preserve"> DG79 *'Calibration Plates'!$AA$105</f>
        <v>27758.196265633018</v>
      </c>
      <c r="DH83" s="84">
        <f xml:space="preserve"> DH79 *'Calibration Plates'!$AA$105</f>
        <v>8100.6769967941555</v>
      </c>
      <c r="DI83" s="84">
        <f xml:space="preserve"> DI79 *'Calibration Plates'!$AA$105</f>
        <v>1454.6691557845922</v>
      </c>
      <c r="DJ83" s="84">
        <f xml:space="preserve"> DJ79 *'Calibration Plates'!$AA$105</f>
        <v>523.48883106764174</v>
      </c>
      <c r="DK83" s="84">
        <f xml:space="preserve"> DK79 *'Calibration Plates'!$AA$105</f>
        <v>165.45400579189294</v>
      </c>
      <c r="DL83" s="84">
        <f xml:space="preserve"> DL79 *'Calibration Plates'!$AA$105</f>
        <v>-21.308470442895306</v>
      </c>
      <c r="DM83" s="84">
        <f xml:space="preserve"> DM79 *'Calibration Plates'!$AA$105</f>
        <v>-43.528533204203242</v>
      </c>
      <c r="DN83" s="84">
        <f xml:space="preserve"> DN79 *'Calibration Plates'!$AA$105</f>
        <v>-30.766240746426373</v>
      </c>
      <c r="DO83" s="84">
        <f xml:space="preserve"> DO79 *'Calibration Plates'!$AA$105</f>
        <v>-0.91159231841263344</v>
      </c>
      <c r="DP83" s="84">
        <f xml:space="preserve"> DP79 *'Calibration Plates'!$AA$105</f>
        <v>146.88031230423556</v>
      </c>
      <c r="DQ83" s="84"/>
      <c r="DR83" s="84"/>
      <c r="DS83" s="84"/>
      <c r="DT83" s="84"/>
      <c r="DU83" s="84"/>
      <c r="DV83" s="84"/>
      <c r="DW83" s="84"/>
      <c r="DX83" s="84"/>
    </row>
    <row r="84" spans="1:128" x14ac:dyDescent="0.2">
      <c r="L84" t="s">
        <v>56</v>
      </c>
      <c r="M84">
        <f xml:space="preserve"> M80 *'Calibration Plates'!$AA$105</f>
        <v>104.4408110465414</v>
      </c>
      <c r="N84">
        <f xml:space="preserve"> N80 *'Calibration Plates'!$AA$105</f>
        <v>114.34870048734052</v>
      </c>
      <c r="O84">
        <f xml:space="preserve"> O80 *'Calibration Plates'!$AA$105</f>
        <v>170.7653885973026</v>
      </c>
      <c r="P84">
        <f xml:space="preserve"> P80 *'Calibration Plates'!$AA$105</f>
        <v>126.82098484222882</v>
      </c>
      <c r="Q84">
        <f xml:space="preserve"> Q80 *'Calibration Plates'!$AA$105</f>
        <v>190.58116747890088</v>
      </c>
      <c r="R84">
        <f xml:space="preserve"> R80 *'Calibration Plates'!$AA$105</f>
        <v>163.53845747577856</v>
      </c>
      <c r="S84">
        <f xml:space="preserve"> S80 *'Calibration Plates'!$AA$105</f>
        <v>72.750239849541757</v>
      </c>
      <c r="T84">
        <f xml:space="preserve"> T80 *'Calibration Plates'!$AA$105</f>
        <v>291.11773345892072</v>
      </c>
      <c r="U84">
        <f xml:space="preserve"> U80 *'Calibration Plates'!$AA$105</f>
        <v>272.5506577990858</v>
      </c>
      <c r="V84">
        <f xml:space="preserve"> V80 *'Calibration Plates'!$AA$105</f>
        <v>229.92812562399311</v>
      </c>
      <c r="W84">
        <f xml:space="preserve"> W80 *'Calibration Plates'!$AA$105</f>
        <v>168.15464748529715</v>
      </c>
      <c r="X84">
        <f xml:space="preserve"> X80 *'Calibration Plates'!$AA$105</f>
        <v>88.631512112042046</v>
      </c>
      <c r="AR84" t="s">
        <v>56</v>
      </c>
      <c r="AS84">
        <f xml:space="preserve"> AS80 *'Calibration Plates'!$AA$105</f>
        <v>493.86331543967179</v>
      </c>
      <c r="AT84">
        <f xml:space="preserve"> AT80 *'Calibration Plates'!$AA$105</f>
        <v>956.71871419041838</v>
      </c>
      <c r="AU84">
        <f xml:space="preserve"> AU80 *'Calibration Plates'!$AA$105</f>
        <v>1040.9153930829746</v>
      </c>
      <c r="AV84">
        <f xml:space="preserve"> AV80 *'Calibration Plates'!$AA$105</f>
        <v>824.99165205206407</v>
      </c>
      <c r="AW84">
        <f xml:space="preserve"> AW80 *'Calibration Plates'!$AA$105</f>
        <v>1042.8392419286379</v>
      </c>
      <c r="AX84">
        <f xml:space="preserve"> AX80 *'Calibration Plates'!$AA$105</f>
        <v>845.47498387941971</v>
      </c>
      <c r="AY84">
        <f xml:space="preserve"> AY80 *'Calibration Plates'!$AA$105</f>
        <v>569.40351852718948</v>
      </c>
      <c r="AZ84">
        <f xml:space="preserve"> AZ80 *'Calibration Plates'!$AA$105</f>
        <v>743.29660979151527</v>
      </c>
      <c r="BA84">
        <f xml:space="preserve"> BA80 *'Calibration Plates'!$AA$105</f>
        <v>271.6087657557527</v>
      </c>
      <c r="BB84">
        <f xml:space="preserve"> BB80 *'Calibration Plates'!$AA$105</f>
        <v>261.06635539878903</v>
      </c>
      <c r="BC84">
        <f xml:space="preserve"> BC80 *'Calibration Plates'!$AA$105</f>
        <v>360.93585566206872</v>
      </c>
      <c r="BD84">
        <f xml:space="preserve"> BD80 *'Calibration Plates'!$AA$105</f>
        <v>361.04921491321886</v>
      </c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 t="s">
        <v>56</v>
      </c>
      <c r="BY84" s="84">
        <f xml:space="preserve"> BY80 *'Calibration Plates'!$AA$105</f>
        <v>4223.4432302026516</v>
      </c>
      <c r="BZ84" s="84">
        <f xml:space="preserve"> BZ80 *'Calibration Plates'!$AA$105</f>
        <v>3043.6661240855092</v>
      </c>
      <c r="CA84" s="84">
        <f xml:space="preserve"> CA80 *'Calibration Plates'!$AA$105</f>
        <v>1206.7300194334978</v>
      </c>
      <c r="CB84" s="84">
        <f xml:space="preserve"> CB80 *'Calibration Plates'!$AA$105</f>
        <v>1074.0903713289447</v>
      </c>
      <c r="CC84" s="84">
        <f xml:space="preserve"> CC80 *'Calibration Plates'!$AA$105</f>
        <v>650.33689184483694</v>
      </c>
      <c r="CD84" s="84">
        <f xml:space="preserve"> CD80 *'Calibration Plates'!$AA$105</f>
        <v>599.67436183525626</v>
      </c>
      <c r="CE84" s="84">
        <f xml:space="preserve"> CE80 *'Calibration Plates'!$AA$105</f>
        <v>710.28299389452479</v>
      </c>
      <c r="CF84" s="84">
        <f xml:space="preserve"> CF80 *'Calibration Plates'!$AA$105</f>
        <v>246.38150290254069</v>
      </c>
      <c r="CG84" s="84">
        <f xml:space="preserve"> CG80 *'Calibration Plates'!$AA$105</f>
        <v>360.82465237377966</v>
      </c>
      <c r="CH84" s="84">
        <f xml:space="preserve"> CH80 *'Calibration Plates'!$AA$105</f>
        <v>272.45715721244324</v>
      </c>
      <c r="CI84" s="84">
        <f xml:space="preserve"> CI80 *'Calibration Plates'!$AA$105</f>
        <v>246.27006848241291</v>
      </c>
      <c r="CJ84" s="84">
        <f xml:space="preserve"> CJ80 *'Calibration Plates'!$AA$105</f>
        <v>225.32039749838864</v>
      </c>
      <c r="CK84" s="84"/>
      <c r="CL84" s="84"/>
      <c r="CM84" s="84"/>
      <c r="CN84" s="84"/>
      <c r="CO84" s="84"/>
      <c r="CP84" s="84"/>
      <c r="CQ84" s="84"/>
      <c r="CR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 t="s">
        <v>56</v>
      </c>
      <c r="DE84" s="84">
        <f xml:space="preserve"> DE80 *'Calibration Plates'!$AA$105</f>
        <v>4260.3816919205919</v>
      </c>
      <c r="DF84" s="84">
        <f xml:space="preserve"> DF80 *'Calibration Plates'!$AA$105</f>
        <v>2997.1075567097919</v>
      </c>
      <c r="DG84" s="84">
        <f xml:space="preserve"> DG80 *'Calibration Plates'!$AA$105</f>
        <v>3164.6061161384314</v>
      </c>
      <c r="DH84" s="84">
        <f xml:space="preserve"> DH80 *'Calibration Plates'!$AA$105</f>
        <v>1220.5061697033541</v>
      </c>
      <c r="DI84" s="84">
        <f xml:space="preserve"> DI80 *'Calibration Plates'!$AA$105</f>
        <v>439.51621994075043</v>
      </c>
      <c r="DJ84" s="84">
        <f xml:space="preserve"> DJ80 *'Calibration Plates'!$AA$105</f>
        <v>191.84168339893526</v>
      </c>
      <c r="DK84" s="84">
        <f xml:space="preserve"> DK80 *'Calibration Plates'!$AA$105</f>
        <v>162.83317787645663</v>
      </c>
      <c r="DL84" s="84">
        <f xml:space="preserve"> DL80 *'Calibration Plates'!$AA$105</f>
        <v>54.011844865948525</v>
      </c>
      <c r="DM84" s="84">
        <f xml:space="preserve"> DM80 *'Calibration Plates'!$AA$105</f>
        <v>25.068788756347416</v>
      </c>
      <c r="DN84" s="84">
        <f xml:space="preserve"> DN80 *'Calibration Plates'!$AA$105</f>
        <v>29.284903229005849</v>
      </c>
      <c r="DO84" s="84">
        <f xml:space="preserve"> DO80 *'Calibration Plates'!$AA$105</f>
        <v>47.174902477853777</v>
      </c>
      <c r="DP84" s="84">
        <f xml:space="preserve"> DP80 *'Calibration Plates'!$AA$105</f>
        <v>43.41458416440166</v>
      </c>
      <c r="DQ84" s="84"/>
      <c r="DR84" s="84"/>
      <c r="DS84" s="84"/>
      <c r="DT84" s="84"/>
      <c r="DU84" s="84"/>
      <c r="DV84" s="84"/>
      <c r="DW84" s="84"/>
      <c r="DX84" s="84"/>
    </row>
    <row r="85" spans="1:128" x14ac:dyDescent="0.2"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</row>
    <row r="86" spans="1:128" x14ac:dyDescent="0.2"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</row>
    <row r="87" spans="1:128" x14ac:dyDescent="0.2"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</row>
    <row r="88" spans="1:128" x14ac:dyDescent="0.2"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</row>
    <row r="89" spans="1:128" x14ac:dyDescent="0.2"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</row>
    <row r="90" spans="1:128" x14ac:dyDescent="0.2"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</row>
    <row r="91" spans="1:128" x14ac:dyDescent="0.2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</row>
    <row r="92" spans="1:128" x14ac:dyDescent="0.2">
      <c r="A92" s="84"/>
      <c r="B92" s="84"/>
      <c r="C92" s="84" t="s">
        <v>124</v>
      </c>
      <c r="D92" s="84" t="s">
        <v>185</v>
      </c>
      <c r="E92" s="84" t="s">
        <v>186</v>
      </c>
      <c r="F92" s="84" t="s">
        <v>187</v>
      </c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 t="s">
        <v>124</v>
      </c>
      <c r="T92" s="84" t="s">
        <v>185</v>
      </c>
      <c r="U92" s="84" t="s">
        <v>186</v>
      </c>
      <c r="V92" s="84" t="s">
        <v>187</v>
      </c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 t="s">
        <v>124</v>
      </c>
      <c r="AJ92" s="84" t="s">
        <v>185</v>
      </c>
      <c r="AK92" s="84" t="s">
        <v>186</v>
      </c>
      <c r="AL92" s="84" t="s">
        <v>187</v>
      </c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 t="s">
        <v>124</v>
      </c>
      <c r="AZ92" s="84" t="s">
        <v>185</v>
      </c>
      <c r="BA92" s="84" t="s">
        <v>186</v>
      </c>
      <c r="BB92" s="84" t="s">
        <v>187</v>
      </c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 t="s">
        <v>124</v>
      </c>
      <c r="BP92" s="84" t="s">
        <v>185</v>
      </c>
      <c r="BQ92" s="84" t="s">
        <v>186</v>
      </c>
      <c r="BR92" s="84" t="s">
        <v>187</v>
      </c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 t="s">
        <v>124</v>
      </c>
      <c r="CF92" s="84" t="s">
        <v>185</v>
      </c>
      <c r="CG92" s="84" t="s">
        <v>186</v>
      </c>
      <c r="CH92" s="84" t="s">
        <v>187</v>
      </c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T92" s="84"/>
      <c r="CU92" s="84" t="s">
        <v>124</v>
      </c>
      <c r="CV92" s="84" t="s">
        <v>185</v>
      </c>
      <c r="CW92" s="84" t="s">
        <v>186</v>
      </c>
      <c r="CX92" s="84" t="s">
        <v>187</v>
      </c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 t="s">
        <v>124</v>
      </c>
      <c r="DL92" s="84" t="s">
        <v>185</v>
      </c>
      <c r="DM92" s="84" t="s">
        <v>186</v>
      </c>
      <c r="DN92" s="84" t="s">
        <v>187</v>
      </c>
      <c r="DO92" s="84"/>
      <c r="DP92" s="84"/>
      <c r="DQ92" s="84"/>
      <c r="DR92" s="84"/>
      <c r="DS92" s="84"/>
      <c r="DT92" s="84"/>
      <c r="DU92" s="84"/>
      <c r="DV92" s="84"/>
      <c r="DW92" s="84"/>
      <c r="DX92" s="84"/>
    </row>
    <row r="93" spans="1:128" x14ac:dyDescent="0.2">
      <c r="A93" s="84"/>
      <c r="B93" s="84"/>
      <c r="C93" s="84" t="s">
        <v>125</v>
      </c>
      <c r="D93" s="84">
        <f>E53</f>
        <v>19217</v>
      </c>
      <c r="E93" s="84">
        <f>D93-AVERAGE($D$93,$D$103,$D$113,$D$123,$D$133,$D$143)</f>
        <v>214.33333333333212</v>
      </c>
      <c r="F93" s="84">
        <f>E93/AVERAGE($D$94,$D$104,$D$114,$D$124,$D$134,$D$144)</f>
        <v>2.7185103070859532E-4</v>
      </c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 t="s">
        <v>125</v>
      </c>
      <c r="T93" s="84">
        <f>U53</f>
        <v>19315</v>
      </c>
      <c r="U93" s="84">
        <f>ROUND(T93-AVERAGE($T$93,$T$103,$T$113,$T$123,$T$133,$T$143),0)</f>
        <v>119</v>
      </c>
      <c r="V93" s="84">
        <f>U93/AVERAGE($T$94,$T$104,$T$114,$T$124,$T$134,$T$144)</f>
        <v>1.511633224427993E-4</v>
      </c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 t="s">
        <v>125</v>
      </c>
      <c r="AJ93" s="84">
        <f>AK53</f>
        <v>22164</v>
      </c>
      <c r="AK93" s="84">
        <f>ROUND(AJ93-AVERAGE($AJ$93,$AJ$103,$AJ$113,$AJ$123,$AJ$133,$AJ$143),0)</f>
        <v>-302</v>
      </c>
      <c r="AL93" s="84">
        <f>AK93/AVERAGE($AJ$94,$AJ$104,$AJ$114,$AJ$124,$AJ$134,$AJ$144)</f>
        <v>-3.7056442360667164E-4</v>
      </c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 t="s">
        <v>125</v>
      </c>
      <c r="AZ93" s="84">
        <f>BA53</f>
        <v>21029</v>
      </c>
      <c r="BA93" s="84">
        <f>ROUND(AZ93-AVERAGE($AZ$93,$AZ$103,$AZ$113,$AZ$123,$AZ$133,$AZ$143),0)</f>
        <v>-613</v>
      </c>
      <c r="BB93" s="84">
        <f>BA93/AVERAGE($AZ$94,$AZ$104,$AZ$114,$AZ$124,$AZ$134,$AZ$144)</f>
        <v>-7.541747200141731E-4</v>
      </c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 t="s">
        <v>125</v>
      </c>
      <c r="BP93" s="84">
        <f>BQ53</f>
        <v>23395</v>
      </c>
      <c r="BQ93" s="84">
        <f>ROUND(BP93-AVERAGE($BP$93,$BP$103,$BP$113,$BP$123,$BP$133),0)</f>
        <v>95</v>
      </c>
      <c r="BR93" s="84">
        <f>BQ93/AVERAGE($BP$94,$BP$104,$BP$114,$BP$124,$BP$134,$BP$144)</f>
        <v>1.1511939800229472E-4</v>
      </c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 t="s">
        <v>125</v>
      </c>
      <c r="CF93" s="84">
        <f>CG53</f>
        <v>23388</v>
      </c>
      <c r="CG93" s="84">
        <f>ROUND(CF93-AVERAGE($CF$93,$CF$103,$CF$113,$CF$123,$CF$133,$CF$143),0)</f>
        <v>-248</v>
      </c>
      <c r="CH93" s="84">
        <f>CG93/AVERAGE($CF$94,$CF$104,$CF$114,$CF$124,$CF$134,$CF$144)</f>
        <v>-2.9934753101656855E-4</v>
      </c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T93" s="84"/>
      <c r="CU93" s="84" t="s">
        <v>125</v>
      </c>
      <c r="CV93" s="84">
        <f>CW53</f>
        <v>23424</v>
      </c>
      <c r="CW93" s="84">
        <f>ROUND(CV93-AVERAGE($CV$93,$CV$103,$CV$113,$CV$123,$CV$133),0)</f>
        <v>-148</v>
      </c>
      <c r="CX93" s="84">
        <f>CW93/AVERAGE($CV$94,$CV$104,$CV$114,$CV$124,$CV$134,$CV$144)</f>
        <v>-1.7901673846823762E-4</v>
      </c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 t="s">
        <v>125</v>
      </c>
      <c r="DL93" s="84">
        <f>DM53</f>
        <v>25806</v>
      </c>
      <c r="DM93" s="84">
        <f>ROUND(DL93-AVERAGE($DL$93,$DL$103,$DL$113,$DL$123,$DL$133,$DL$143),0)</f>
        <v>1147</v>
      </c>
      <c r="DN93" s="84">
        <f>DM93/AVERAGE($DL$94,$DL$104,$DL$114,$DL$124,$DL$134,$DL$144)</f>
        <v>1.4130291056893207E-3</v>
      </c>
      <c r="DO93" s="84"/>
      <c r="DP93" s="84"/>
      <c r="DQ93" s="84"/>
      <c r="DR93" s="84"/>
      <c r="DS93" s="84"/>
      <c r="DT93" s="84"/>
      <c r="DU93" s="84"/>
      <c r="DV93" s="84"/>
      <c r="DW93" s="84"/>
      <c r="DX93" s="84"/>
    </row>
    <row r="94" spans="1:128" x14ac:dyDescent="0.2">
      <c r="A94" s="84"/>
      <c r="B94" s="84"/>
      <c r="C94" s="84" t="s">
        <v>126</v>
      </c>
      <c r="D94" s="84">
        <f>F53</f>
        <v>787267</v>
      </c>
      <c r="E94" s="84">
        <f t="shared" ref="E94:E152" si="44">D94-AVERAGE($D$93,$D$103,$D$113,$D$123,$D$133,$D$143)</f>
        <v>768264.33333333337</v>
      </c>
      <c r="F94" s="84">
        <f t="shared" ref="F94:F152" si="45">E94/AVERAGE($D$94,$D$104,$D$114,$D$124,$D$134,$D$144)</f>
        <v>0.97443289676509959</v>
      </c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 t="s">
        <v>126</v>
      </c>
      <c r="T94" s="84">
        <f>V53</f>
        <v>783309</v>
      </c>
      <c r="U94" s="84">
        <f t="shared" ref="U94:U152" si="46">ROUND(T94-AVERAGE($T$93,$T$103,$T$113,$T$123,$T$133,$T$143),0)</f>
        <v>764113</v>
      </c>
      <c r="V94" s="84">
        <f t="shared" ref="V94:V152" si="47">U94/AVERAGE($T$94,$T$104,$T$114,$T$124,$T$134,$T$144)</f>
        <v>0.97063747732550165</v>
      </c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 t="s">
        <v>126</v>
      </c>
      <c r="AJ94" s="84">
        <f>AL53</f>
        <v>815236</v>
      </c>
      <c r="AK94" s="84">
        <f t="shared" ref="AK94:AK152" si="48">ROUND(AJ94-AVERAGE($AJ$93,$AJ$103,$AJ$113,$AJ$123,$AJ$133,$AJ$143),0)</f>
        <v>792770</v>
      </c>
      <c r="AL94" s="84">
        <f t="shared" ref="AL94:AL152" si="49">AK94/AVERAGE($AJ$94,$AJ$104,$AJ$114,$AJ$124,$AJ$134,$AJ$144)</f>
        <v>0.97275615265781812</v>
      </c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 t="s">
        <v>126</v>
      </c>
      <c r="AZ94" s="84">
        <f>BB53</f>
        <v>809588</v>
      </c>
      <c r="BA94" s="84">
        <f t="shared" ref="BA94:BA152" si="50">ROUND(AZ94-AVERAGE($AZ$93,$AZ$103,$AZ$113,$AZ$123,$AZ$133,$AZ$143),0)</f>
        <v>787947</v>
      </c>
      <c r="BB94" s="84">
        <f t="shared" ref="BB94:BB152" si="51">BA94/AVERAGE($AZ$94,$AZ$104,$AZ$114,$AZ$124,$AZ$134,$AZ$144)</f>
        <v>0.96941224814193738</v>
      </c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 t="s">
        <v>126</v>
      </c>
      <c r="BP94" s="84">
        <f>BR53</f>
        <v>820171</v>
      </c>
      <c r="BQ94" s="84">
        <f t="shared" ref="BQ94:BQ152" si="52">ROUND(BP94-AVERAGE($BP$93,$BP$103,$BP$113,$BP$123,$BP$133),0)</f>
        <v>796871</v>
      </c>
      <c r="BR94" s="84">
        <f t="shared" ref="BR94:BR152" si="53">BQ94/AVERAGE($BP$94,$BP$104,$BP$114,$BP$124,$BP$134,$BP$144)</f>
        <v>0.96563484005775369</v>
      </c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 t="s">
        <v>126</v>
      </c>
      <c r="CF94" s="84">
        <f>CH53</f>
        <v>826768</v>
      </c>
      <c r="CG94" s="84">
        <f t="shared" ref="CG94:CG152" si="54">ROUND(CF94-AVERAGE($CF$93,$CF$103,$CF$113,$CF$123,$CF$133,$CF$143),0)</f>
        <v>803132</v>
      </c>
      <c r="CH94" s="84">
        <f t="shared" ref="CH94:CH152" si="55">CG94/AVERAGE($CF$94,$CF$104,$CF$114,$CF$124,$CF$134,$CF$144)</f>
        <v>0.96941766645322058</v>
      </c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T94" s="84"/>
      <c r="CU94" s="84" t="s">
        <v>126</v>
      </c>
      <c r="CV94" s="84">
        <f>CX53</f>
        <v>820772</v>
      </c>
      <c r="CW94" s="84">
        <f t="shared" ref="CW94:CW152" si="56">ROUND(CV94-AVERAGE($CV$93,$CV$103,$CV$113,$CV$123,$CV$133),0)</f>
        <v>797200</v>
      </c>
      <c r="CX94" s="84">
        <f t="shared" ref="CX94:CX152" si="57">CW94/AVERAGE($CV$94,$CV$104,$CV$114,$CV$124,$CV$134,$CV$144)</f>
        <v>0.96427124261404751</v>
      </c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 t="s">
        <v>126</v>
      </c>
      <c r="DL94" s="84">
        <f>DN53</f>
        <v>809520</v>
      </c>
      <c r="DM94" s="84">
        <f t="shared" ref="DM94:DM152" si="58">ROUND(DL94-AVERAGE($DL$93,$DL$103,$DL$113,$DL$123,$DL$133,$DL$143),0)</f>
        <v>784861</v>
      </c>
      <c r="DN94" s="84">
        <f t="shared" ref="DN94:DN152" si="59">DM94/AVERAGE($DL$94,$DL$104,$DL$114,$DL$124,$DL$134,$DL$144)</f>
        <v>0.96689750385390238</v>
      </c>
      <c r="DO94" s="84"/>
      <c r="DP94" s="84"/>
      <c r="DQ94" s="84"/>
      <c r="DR94" s="84"/>
      <c r="DS94" s="84"/>
      <c r="DT94" s="84"/>
      <c r="DU94" s="84"/>
      <c r="DV94" s="84"/>
      <c r="DW94" s="84"/>
      <c r="DX94" s="84"/>
    </row>
    <row r="95" spans="1:128" x14ac:dyDescent="0.2">
      <c r="A95" s="84"/>
      <c r="B95" s="84"/>
      <c r="C95" s="84" t="s">
        <v>127</v>
      </c>
      <c r="D95" s="84">
        <f>G53</f>
        <v>30970</v>
      </c>
      <c r="E95" s="84">
        <f t="shared" si="44"/>
        <v>11967.333333333332</v>
      </c>
      <c r="F95" s="84">
        <f t="shared" si="45"/>
        <v>1.5178842464230237E-2</v>
      </c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 t="s">
        <v>127</v>
      </c>
      <c r="T95" s="84">
        <f>W53</f>
        <v>32720</v>
      </c>
      <c r="U95" s="84">
        <f t="shared" si="46"/>
        <v>13524</v>
      </c>
      <c r="V95" s="84">
        <f>U95/AVERAGE($T$94,$T$104,$T$114,$T$124,$T$134,$T$144)</f>
        <v>1.7179266997616956E-2</v>
      </c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 t="s">
        <v>127</v>
      </c>
      <c r="AJ95" s="84">
        <f>AM53</f>
        <v>71383</v>
      </c>
      <c r="AK95" s="84">
        <f t="shared" si="48"/>
        <v>48917</v>
      </c>
      <c r="AL95" s="84">
        <f t="shared" si="49"/>
        <v>6.0022847382674029E-2</v>
      </c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 t="s">
        <v>127</v>
      </c>
      <c r="AZ95" s="84">
        <f>BC53</f>
        <v>47996</v>
      </c>
      <c r="BA95" s="84">
        <f t="shared" si="50"/>
        <v>26355</v>
      </c>
      <c r="BB95" s="84">
        <f t="shared" si="51"/>
        <v>3.2424591755258615E-2</v>
      </c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 t="s">
        <v>127</v>
      </c>
      <c r="BP95" s="84">
        <f>BS53</f>
        <v>255508</v>
      </c>
      <c r="BQ95" s="84">
        <f t="shared" si="52"/>
        <v>232208</v>
      </c>
      <c r="BR95" s="84">
        <f t="shared" si="53"/>
        <v>0.28138573864544053</v>
      </c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 t="s">
        <v>127</v>
      </c>
      <c r="CF95" s="84">
        <f>CI53</f>
        <v>36524</v>
      </c>
      <c r="CG95" s="84">
        <f t="shared" si="54"/>
        <v>12888</v>
      </c>
      <c r="CH95" s="84">
        <f t="shared" si="55"/>
        <v>1.5556415240893287E-2</v>
      </c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T95" s="84"/>
      <c r="CU95" s="84" t="s">
        <v>127</v>
      </c>
      <c r="CV95" s="84">
        <f>CY53</f>
        <v>498362</v>
      </c>
      <c r="CW95" s="84">
        <f t="shared" si="56"/>
        <v>474790</v>
      </c>
      <c r="CX95" s="84">
        <f t="shared" si="57"/>
        <v>0.57429295444144957</v>
      </c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 t="s">
        <v>127</v>
      </c>
      <c r="DL95" s="84">
        <f>DO53</f>
        <v>25021</v>
      </c>
      <c r="DM95" s="84">
        <f t="shared" si="58"/>
        <v>362</v>
      </c>
      <c r="DN95" s="84">
        <f t="shared" si="59"/>
        <v>4.4596036291153803E-4</v>
      </c>
      <c r="DO95" s="84"/>
      <c r="DP95" s="84"/>
      <c r="DQ95" s="84"/>
      <c r="DR95" s="84"/>
      <c r="DS95" s="84"/>
      <c r="DT95" s="84"/>
      <c r="DU95" s="84"/>
      <c r="DV95" s="84"/>
      <c r="DW95" s="84"/>
      <c r="DX95" s="84"/>
    </row>
    <row r="96" spans="1:128" x14ac:dyDescent="0.2">
      <c r="A96" s="84"/>
      <c r="B96" s="84"/>
      <c r="C96" s="84" t="s">
        <v>128</v>
      </c>
      <c r="D96" s="84">
        <f>H53</f>
        <v>32500</v>
      </c>
      <c r="E96" s="84">
        <f t="shared" si="44"/>
        <v>13497.333333333332</v>
      </c>
      <c r="F96" s="84">
        <f t="shared" si="45"/>
        <v>1.711942758235226E-2</v>
      </c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 t="s">
        <v>128</v>
      </c>
      <c r="T96" s="84">
        <f>X53</f>
        <v>32247</v>
      </c>
      <c r="U96" s="84">
        <f t="shared" si="46"/>
        <v>13051</v>
      </c>
      <c r="V96" s="84">
        <f t="shared" si="47"/>
        <v>1.6578424547907342E-2</v>
      </c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 t="s">
        <v>128</v>
      </c>
      <c r="AJ96" s="84">
        <f>AN53</f>
        <v>82045</v>
      </c>
      <c r="AK96" s="84">
        <f t="shared" si="48"/>
        <v>59579</v>
      </c>
      <c r="AL96" s="84">
        <f t="shared" si="49"/>
        <v>7.3105489384310884E-2</v>
      </c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 t="s">
        <v>128</v>
      </c>
      <c r="AZ96" s="84">
        <f>BD53</f>
        <v>47715</v>
      </c>
      <c r="BA96" s="84">
        <f t="shared" si="50"/>
        <v>26074</v>
      </c>
      <c r="BB96" s="84">
        <f t="shared" si="51"/>
        <v>3.207887707936305E-2</v>
      </c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 t="s">
        <v>128</v>
      </c>
      <c r="BP96" s="84">
        <f>BT53</f>
        <v>284896</v>
      </c>
      <c r="BQ96" s="84">
        <f t="shared" si="52"/>
        <v>261596</v>
      </c>
      <c r="BR96" s="84">
        <f t="shared" si="53"/>
        <v>0.31699762147166621</v>
      </c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 t="s">
        <v>128</v>
      </c>
      <c r="CF96" s="84">
        <f>CJ53</f>
        <v>32722</v>
      </c>
      <c r="CG96" s="84">
        <f t="shared" si="54"/>
        <v>9086</v>
      </c>
      <c r="CH96" s="84">
        <f t="shared" si="55"/>
        <v>1.0967224462969926E-2</v>
      </c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T96" s="84"/>
      <c r="CU96" s="84" t="s">
        <v>128</v>
      </c>
      <c r="CV96" s="84">
        <f>CZ53</f>
        <v>550794</v>
      </c>
      <c r="CW96" s="84">
        <f t="shared" si="56"/>
        <v>527222</v>
      </c>
      <c r="CX96" s="84">
        <f t="shared" si="57"/>
        <v>0.63771326276149443</v>
      </c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 t="s">
        <v>128</v>
      </c>
      <c r="DL96" s="84">
        <f>DP53</f>
        <v>24684</v>
      </c>
      <c r="DM96" s="84">
        <f t="shared" si="58"/>
        <v>25</v>
      </c>
      <c r="DN96" s="84">
        <f t="shared" si="59"/>
        <v>3.0798367604387989E-5</v>
      </c>
      <c r="DO96" s="84"/>
      <c r="DP96" s="84"/>
      <c r="DQ96" s="84"/>
      <c r="DR96" s="84"/>
      <c r="DS96" s="84"/>
      <c r="DT96" s="84"/>
      <c r="DU96" s="84"/>
      <c r="DV96" s="84"/>
      <c r="DW96" s="84"/>
      <c r="DX96" s="84"/>
    </row>
    <row r="97" spans="1:128" x14ac:dyDescent="0.2">
      <c r="A97" s="84"/>
      <c r="B97" s="84"/>
      <c r="C97" s="84" t="s">
        <v>129</v>
      </c>
      <c r="D97" s="84">
        <f>I53</f>
        <v>30442</v>
      </c>
      <c r="E97" s="84">
        <f t="shared" si="44"/>
        <v>11439.333333333332</v>
      </c>
      <c r="F97" s="84">
        <f t="shared" si="45"/>
        <v>1.4509150345035186E-2</v>
      </c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 t="s">
        <v>129</v>
      </c>
      <c r="T97" s="84">
        <f>Y53</f>
        <v>31474</v>
      </c>
      <c r="U97" s="84">
        <f t="shared" si="46"/>
        <v>12278</v>
      </c>
      <c r="V97" s="84">
        <f t="shared" si="47"/>
        <v>1.5596498092039409E-2</v>
      </c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 t="s">
        <v>129</v>
      </c>
      <c r="AJ97" s="84">
        <f>AO53</f>
        <v>73271</v>
      </c>
      <c r="AK97" s="84">
        <f t="shared" si="48"/>
        <v>50805</v>
      </c>
      <c r="AL97" s="84">
        <f t="shared" si="49"/>
        <v>6.233948854747335E-2</v>
      </c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 t="s">
        <v>129</v>
      </c>
      <c r="AZ97" s="84">
        <f>BE53</f>
        <v>45887</v>
      </c>
      <c r="BA97" s="84">
        <f t="shared" si="50"/>
        <v>24246</v>
      </c>
      <c r="BB97" s="84">
        <f t="shared" si="51"/>
        <v>2.9829886234035301E-2</v>
      </c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 t="s">
        <v>129</v>
      </c>
      <c r="BP97" s="84">
        <f>BU53</f>
        <v>308359</v>
      </c>
      <c r="BQ97" s="84">
        <f t="shared" si="52"/>
        <v>285059</v>
      </c>
      <c r="BR97" s="84">
        <f t="shared" si="53"/>
        <v>0.34542968921195927</v>
      </c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 t="s">
        <v>129</v>
      </c>
      <c r="CF97" s="84">
        <f>CK53</f>
        <v>35200</v>
      </c>
      <c r="CG97" s="84">
        <f t="shared" si="54"/>
        <v>11564</v>
      </c>
      <c r="CH97" s="84">
        <f t="shared" si="55"/>
        <v>1.3958285680143541E-2</v>
      </c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T97" s="84"/>
      <c r="CU97" s="84" t="s">
        <v>129</v>
      </c>
      <c r="CV97" s="84">
        <f>DA53</f>
        <v>493010</v>
      </c>
      <c r="CW97" s="84">
        <f t="shared" si="56"/>
        <v>469438</v>
      </c>
      <c r="CX97" s="84">
        <f t="shared" si="57"/>
        <v>0.56781932211521979</v>
      </c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 t="s">
        <v>129</v>
      </c>
      <c r="DL97" s="84">
        <f>DQ53</f>
        <v>25512</v>
      </c>
      <c r="DM97" s="84">
        <f t="shared" si="58"/>
        <v>853</v>
      </c>
      <c r="DN97" s="84">
        <f t="shared" si="59"/>
        <v>1.0508403026617181E-3</v>
      </c>
      <c r="DO97" s="84"/>
      <c r="DP97" s="84"/>
      <c r="DQ97" s="84"/>
      <c r="DR97" s="84"/>
      <c r="DS97" s="84"/>
      <c r="DT97" s="84"/>
      <c r="DU97" s="84"/>
      <c r="DV97" s="84"/>
      <c r="DW97" s="84"/>
      <c r="DX97" s="84"/>
    </row>
    <row r="98" spans="1:128" x14ac:dyDescent="0.2">
      <c r="A98" s="84"/>
      <c r="B98" s="84"/>
      <c r="C98" s="84" t="s">
        <v>130</v>
      </c>
      <c r="D98" s="84">
        <f>J53</f>
        <v>32811</v>
      </c>
      <c r="E98" s="84">
        <f t="shared" si="44"/>
        <v>13808.333333333332</v>
      </c>
      <c r="F98" s="84">
        <f t="shared" si="45"/>
        <v>1.7513886387408435E-2</v>
      </c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 t="s">
        <v>130</v>
      </c>
      <c r="T98" s="84">
        <f>Z53</f>
        <v>32529</v>
      </c>
      <c r="U98" s="84">
        <f t="shared" si="46"/>
        <v>13333</v>
      </c>
      <c r="V98" s="84">
        <f t="shared" si="47"/>
        <v>1.693664351369616E-2</v>
      </c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 t="s">
        <v>130</v>
      </c>
      <c r="AJ98" s="84">
        <f>AP53</f>
        <v>78773</v>
      </c>
      <c r="AK98" s="84">
        <f t="shared" si="48"/>
        <v>56307</v>
      </c>
      <c r="AL98" s="84">
        <f t="shared" si="49"/>
        <v>6.9090632450400202E-2</v>
      </c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 t="s">
        <v>130</v>
      </c>
      <c r="AZ98" s="84">
        <f>BF53</f>
        <v>47154</v>
      </c>
      <c r="BA98" s="84">
        <f t="shared" si="50"/>
        <v>25513</v>
      </c>
      <c r="BB98" s="84">
        <f t="shared" si="51"/>
        <v>3.1388678028909621E-2</v>
      </c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 t="s">
        <v>130</v>
      </c>
      <c r="BP98" s="84">
        <f>BV53</f>
        <v>302295</v>
      </c>
      <c r="BQ98" s="84">
        <f t="shared" si="52"/>
        <v>278995</v>
      </c>
      <c r="BR98" s="84">
        <f t="shared" si="53"/>
        <v>0.33808143627000226</v>
      </c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 t="s">
        <v>130</v>
      </c>
      <c r="CF98" s="84">
        <f>CL53</f>
        <v>32689</v>
      </c>
      <c r="CG98" s="84">
        <f t="shared" si="54"/>
        <v>9053</v>
      </c>
      <c r="CH98" s="84">
        <f t="shared" si="55"/>
        <v>1.0927391928600786E-2</v>
      </c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T98" s="84"/>
      <c r="CU98" s="84" t="s">
        <v>130</v>
      </c>
      <c r="CV98" s="84">
        <f>DB53</f>
        <v>563625</v>
      </c>
      <c r="CW98" s="84">
        <f t="shared" si="56"/>
        <v>540053</v>
      </c>
      <c r="CX98" s="84">
        <f t="shared" si="57"/>
        <v>0.6532332882431563</v>
      </c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 t="s">
        <v>130</v>
      </c>
      <c r="DL98" s="84">
        <f>DR53</f>
        <v>24752</v>
      </c>
      <c r="DM98" s="84">
        <f t="shared" si="58"/>
        <v>93</v>
      </c>
      <c r="DN98" s="84">
        <f t="shared" si="59"/>
        <v>1.1456992748832331E-4</v>
      </c>
      <c r="DO98" s="84"/>
      <c r="DP98" s="84"/>
      <c r="DQ98" s="84"/>
      <c r="DR98" s="84"/>
      <c r="DS98" s="84"/>
      <c r="DT98" s="84"/>
      <c r="DU98" s="84"/>
      <c r="DV98" s="84"/>
      <c r="DW98" s="84"/>
      <c r="DX98" s="84"/>
    </row>
    <row r="99" spans="1:128" x14ac:dyDescent="0.2">
      <c r="A99" s="84"/>
      <c r="B99" s="84"/>
      <c r="C99" s="84" t="s">
        <v>131</v>
      </c>
      <c r="D99" s="84">
        <f>K53</f>
        <v>33144</v>
      </c>
      <c r="E99" s="84">
        <f t="shared" si="44"/>
        <v>14141.333333333332</v>
      </c>
      <c r="F99" s="84">
        <f t="shared" si="45"/>
        <v>1.7936249030764403E-2</v>
      </c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 t="s">
        <v>131</v>
      </c>
      <c r="T99" s="84">
        <f>AA53</f>
        <v>33277</v>
      </c>
      <c r="U99" s="84">
        <f t="shared" si="46"/>
        <v>14081</v>
      </c>
      <c r="V99" s="84">
        <f t="shared" si="47"/>
        <v>1.7886812969050897E-2</v>
      </c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 t="s">
        <v>131</v>
      </c>
      <c r="AJ99" s="84">
        <f>AQ53</f>
        <v>76085</v>
      </c>
      <c r="AK99" s="84">
        <f t="shared" si="48"/>
        <v>53619</v>
      </c>
      <c r="AL99" s="84">
        <f t="shared" si="49"/>
        <v>6.5792363673397775E-2</v>
      </c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 t="s">
        <v>131</v>
      </c>
      <c r="AZ99" s="84">
        <f>BG53</f>
        <v>51877</v>
      </c>
      <c r="BA99" s="84">
        <f t="shared" si="50"/>
        <v>30236</v>
      </c>
      <c r="BB99" s="84">
        <f t="shared" si="51"/>
        <v>3.7199391246898104E-2</v>
      </c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 t="s">
        <v>131</v>
      </c>
      <c r="BP99" s="84">
        <f>BW53</f>
        <v>329746</v>
      </c>
      <c r="BQ99" s="84">
        <f t="shared" si="52"/>
        <v>306446</v>
      </c>
      <c r="BR99" s="84">
        <f t="shared" si="53"/>
        <v>0.37134609516011796</v>
      </c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 t="s">
        <v>131</v>
      </c>
      <c r="CF99" s="84">
        <f>CM53</f>
        <v>35951</v>
      </c>
      <c r="CG99" s="84">
        <f t="shared" si="54"/>
        <v>12315</v>
      </c>
      <c r="CH99" s="84">
        <f t="shared" si="55"/>
        <v>1.486477759866549E-2</v>
      </c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T99" s="84"/>
      <c r="CU99" s="84" t="s">
        <v>131</v>
      </c>
      <c r="CV99" s="84">
        <f>DC53</f>
        <v>493281</v>
      </c>
      <c r="CW99" s="84">
        <f t="shared" si="56"/>
        <v>469709</v>
      </c>
      <c r="CX99" s="84">
        <f t="shared" si="57"/>
        <v>0.56814711627822589</v>
      </c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 t="s">
        <v>131</v>
      </c>
      <c r="DL99" s="84">
        <f>DS53</f>
        <v>25824</v>
      </c>
      <c r="DM99" s="84">
        <f t="shared" si="58"/>
        <v>1165</v>
      </c>
      <c r="DN99" s="84">
        <f t="shared" si="59"/>
        <v>1.43520393036448E-3</v>
      </c>
      <c r="DO99" s="84"/>
      <c r="DP99" s="84"/>
      <c r="DQ99" s="84"/>
      <c r="DR99" s="84"/>
      <c r="DS99" s="84"/>
      <c r="DT99" s="84"/>
      <c r="DU99" s="84"/>
      <c r="DV99" s="84"/>
      <c r="DW99" s="84"/>
      <c r="DX99" s="84"/>
    </row>
    <row r="100" spans="1:128" x14ac:dyDescent="0.2">
      <c r="A100" s="84"/>
      <c r="B100" s="84"/>
      <c r="C100" s="84" t="s">
        <v>132</v>
      </c>
      <c r="D100" s="84">
        <f>L53</f>
        <v>31114</v>
      </c>
      <c r="E100" s="84">
        <f t="shared" si="44"/>
        <v>12111.333333333332</v>
      </c>
      <c r="F100" s="84">
        <f t="shared" si="45"/>
        <v>1.5361485769465251E-2</v>
      </c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 t="s">
        <v>132</v>
      </c>
      <c r="T100" s="84">
        <f>AB53</f>
        <v>32401</v>
      </c>
      <c r="U100" s="84">
        <f t="shared" si="46"/>
        <v>13205</v>
      </c>
      <c r="V100" s="84">
        <f t="shared" si="47"/>
        <v>1.6774047671068611E-2</v>
      </c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 t="s">
        <v>132</v>
      </c>
      <c r="AJ100" s="84">
        <f>AR53</f>
        <v>71852</v>
      </c>
      <c r="AK100" s="84">
        <f t="shared" si="48"/>
        <v>49386</v>
      </c>
      <c r="AL100" s="84">
        <f t="shared" si="49"/>
        <v>6.0598326570328098E-2</v>
      </c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 t="s">
        <v>132</v>
      </c>
      <c r="AZ100" s="84">
        <f>BH53</f>
        <v>50952</v>
      </c>
      <c r="BA100" s="84">
        <f t="shared" si="50"/>
        <v>29311</v>
      </c>
      <c r="BB100" s="84">
        <f t="shared" si="51"/>
        <v>3.6061362509519454E-2</v>
      </c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 t="s">
        <v>132</v>
      </c>
      <c r="BP100" s="84">
        <f>BX53</f>
        <v>332310</v>
      </c>
      <c r="BQ100" s="84">
        <f t="shared" si="52"/>
        <v>309010</v>
      </c>
      <c r="BR100" s="84">
        <f t="shared" si="53"/>
        <v>0.37445310712304308</v>
      </c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 t="s">
        <v>132</v>
      </c>
      <c r="CF100" s="84">
        <f>CN53</f>
        <v>37847</v>
      </c>
      <c r="CG100" s="84">
        <f t="shared" si="54"/>
        <v>14211</v>
      </c>
      <c r="CH100" s="84">
        <f t="shared" si="55"/>
        <v>1.7153337755146998E-2</v>
      </c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T100" s="84"/>
      <c r="CU100" s="84" t="s">
        <v>132</v>
      </c>
      <c r="CV100" s="84">
        <f>DD53</f>
        <v>486172</v>
      </c>
      <c r="CW100" s="84">
        <f t="shared" si="56"/>
        <v>462600</v>
      </c>
      <c r="CX100" s="84">
        <f t="shared" si="57"/>
        <v>0.55954826496896437</v>
      </c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 t="s">
        <v>132</v>
      </c>
      <c r="DL100" s="84">
        <f>DT53</f>
        <v>26504</v>
      </c>
      <c r="DM100" s="84">
        <f t="shared" si="58"/>
        <v>1845</v>
      </c>
      <c r="DN100" s="84">
        <f t="shared" si="59"/>
        <v>2.2729195292038335E-3</v>
      </c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</row>
    <row r="101" spans="1:128" x14ac:dyDescent="0.2">
      <c r="A101" s="84"/>
      <c r="B101" s="84"/>
      <c r="C101" s="84" t="s">
        <v>133</v>
      </c>
      <c r="D101" s="84">
        <f>M53</f>
        <v>31722</v>
      </c>
      <c r="E101" s="84">
        <f t="shared" si="44"/>
        <v>12719.333333333332</v>
      </c>
      <c r="F101" s="84">
        <f t="shared" si="45"/>
        <v>1.6132646391568643E-2</v>
      </c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 t="s">
        <v>133</v>
      </c>
      <c r="T101" s="84">
        <f>AC53</f>
        <v>31482</v>
      </c>
      <c r="U101" s="84">
        <f t="shared" si="46"/>
        <v>12286</v>
      </c>
      <c r="V101" s="84">
        <f t="shared" si="47"/>
        <v>1.5606660332203631E-2</v>
      </c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 t="s">
        <v>133</v>
      </c>
      <c r="AJ101" s="84">
        <f>AS53</f>
        <v>75188</v>
      </c>
      <c r="AK101" s="84">
        <f t="shared" si="48"/>
        <v>52722</v>
      </c>
      <c r="AL101" s="84">
        <f t="shared" si="49"/>
        <v>6.469171371321504E-2</v>
      </c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 t="s">
        <v>133</v>
      </c>
      <c r="AZ101" s="84">
        <f>BI53</f>
        <v>58405</v>
      </c>
      <c r="BA101" s="84">
        <f t="shared" si="50"/>
        <v>36764</v>
      </c>
      <c r="BB101" s="84">
        <f t="shared" si="51"/>
        <v>4.5230798379447081E-2</v>
      </c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 t="s">
        <v>133</v>
      </c>
      <c r="BP101" s="84">
        <f>BY53</f>
        <v>384465</v>
      </c>
      <c r="BQ101" s="84">
        <f t="shared" si="52"/>
        <v>361165</v>
      </c>
      <c r="BR101" s="84">
        <f t="shared" si="53"/>
        <v>0.43765365662630284</v>
      </c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 t="s">
        <v>133</v>
      </c>
      <c r="CF101" s="84">
        <f>CO53</f>
        <v>44234</v>
      </c>
      <c r="CG101" s="84">
        <f t="shared" si="54"/>
        <v>20598</v>
      </c>
      <c r="CH101" s="84">
        <f t="shared" si="55"/>
        <v>2.4862743725319672E-2</v>
      </c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T101" s="84"/>
      <c r="CU101" s="84" t="s">
        <v>133</v>
      </c>
      <c r="CV101" s="84">
        <f>DE53</f>
        <v>522800</v>
      </c>
      <c r="CW101" s="84">
        <f t="shared" si="56"/>
        <v>499228</v>
      </c>
      <c r="CX101" s="84">
        <f t="shared" si="57"/>
        <v>0.60385248859473872</v>
      </c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 t="s">
        <v>133</v>
      </c>
      <c r="DL101" s="84">
        <f>DU53</f>
        <v>27544</v>
      </c>
      <c r="DM101" s="84">
        <f t="shared" si="58"/>
        <v>2885</v>
      </c>
      <c r="DN101" s="84">
        <f t="shared" si="59"/>
        <v>3.5541316215463737E-3</v>
      </c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</row>
    <row r="102" spans="1:128" x14ac:dyDescent="0.2">
      <c r="A102" s="84"/>
      <c r="B102" s="84"/>
      <c r="C102" s="84" t="s">
        <v>134</v>
      </c>
      <c r="D102" s="84">
        <f>N53</f>
        <v>32148</v>
      </c>
      <c r="E102" s="84">
        <f t="shared" si="44"/>
        <v>13145.333333333332</v>
      </c>
      <c r="F102" s="84">
        <f t="shared" si="45"/>
        <v>1.6672966169555558E-2</v>
      </c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 t="s">
        <v>134</v>
      </c>
      <c r="T102" s="84">
        <f>AD53</f>
        <v>33103</v>
      </c>
      <c r="U102" s="84">
        <f t="shared" si="46"/>
        <v>13907</v>
      </c>
      <c r="V102" s="84">
        <f t="shared" si="47"/>
        <v>1.7665784245479075E-2</v>
      </c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 t="s">
        <v>134</v>
      </c>
      <c r="AJ102" s="84">
        <f>AT53</f>
        <v>84009</v>
      </c>
      <c r="AK102" s="84">
        <f t="shared" si="48"/>
        <v>61543</v>
      </c>
      <c r="AL102" s="84">
        <f t="shared" si="49"/>
        <v>7.5515385172269509E-2</v>
      </c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 t="s">
        <v>134</v>
      </c>
      <c r="AZ102" s="84">
        <f>BJ53</f>
        <v>60280</v>
      </c>
      <c r="BA102" s="84">
        <f t="shared" si="50"/>
        <v>38639</v>
      </c>
      <c r="BB102" s="84">
        <f t="shared" si="51"/>
        <v>4.7537613387647039E-2</v>
      </c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 t="s">
        <v>134</v>
      </c>
      <c r="BP102" s="84">
        <f>BZ53</f>
        <v>354268</v>
      </c>
      <c r="BQ102" s="84">
        <f t="shared" si="52"/>
        <v>330968</v>
      </c>
      <c r="BR102" s="84">
        <f t="shared" si="53"/>
        <v>0.40106144124235238</v>
      </c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 t="s">
        <v>134</v>
      </c>
      <c r="CF102" s="84">
        <f>CP53</f>
        <v>52759</v>
      </c>
      <c r="CG102" s="84">
        <f t="shared" si="54"/>
        <v>29123</v>
      </c>
      <c r="CH102" s="84">
        <f t="shared" si="55"/>
        <v>3.5152815104014211E-2</v>
      </c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T102" s="84"/>
      <c r="CU102" s="84" t="s">
        <v>134</v>
      </c>
      <c r="CV102" s="84">
        <f>DF53</f>
        <v>597390</v>
      </c>
      <c r="CW102" s="84">
        <f t="shared" si="56"/>
        <v>573818</v>
      </c>
      <c r="CX102" s="84">
        <f t="shared" si="57"/>
        <v>0.69407450563761608</v>
      </c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 t="s">
        <v>134</v>
      </c>
      <c r="DL102" s="84">
        <f>DV53</f>
        <v>29047</v>
      </c>
      <c r="DM102" s="84">
        <f t="shared" si="58"/>
        <v>4388</v>
      </c>
      <c r="DN102" s="84">
        <f t="shared" si="59"/>
        <v>5.405729481922179E-3</v>
      </c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</row>
    <row r="103" spans="1:128" x14ac:dyDescent="0.2">
      <c r="A103" s="84"/>
      <c r="B103" s="84"/>
      <c r="C103" s="84" t="s">
        <v>135</v>
      </c>
      <c r="D103" s="84">
        <f>E54</f>
        <v>19098</v>
      </c>
      <c r="E103" s="84">
        <f t="shared" si="44"/>
        <v>95.333333333332121</v>
      </c>
      <c r="F103" s="84">
        <f t="shared" si="45"/>
        <v>1.2091663263243811E-4</v>
      </c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 t="s">
        <v>135</v>
      </c>
      <c r="T103" s="84">
        <f>U54</f>
        <v>19220</v>
      </c>
      <c r="U103" s="84">
        <f t="shared" si="46"/>
        <v>24</v>
      </c>
      <c r="V103" s="84">
        <f t="shared" si="47"/>
        <v>3.0486720492665403E-5</v>
      </c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 t="s">
        <v>135</v>
      </c>
      <c r="AJ103" s="84">
        <f>AK54</f>
        <v>22412</v>
      </c>
      <c r="AK103" s="84">
        <f t="shared" si="48"/>
        <v>-54</v>
      </c>
      <c r="AL103" s="84">
        <f t="shared" si="49"/>
        <v>-6.6259863823709493E-5</v>
      </c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 t="s">
        <v>135</v>
      </c>
      <c r="AZ103" s="84">
        <f>BA54</f>
        <v>21349</v>
      </c>
      <c r="BA103" s="84">
        <f t="shared" si="50"/>
        <v>-293</v>
      </c>
      <c r="BB103" s="84">
        <f t="shared" si="51"/>
        <v>-3.6047829194804686E-4</v>
      </c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 t="s">
        <v>135</v>
      </c>
      <c r="BP103" s="84">
        <f>BQ54</f>
        <v>23440</v>
      </c>
      <c r="BQ103" s="84">
        <f t="shared" si="52"/>
        <v>140</v>
      </c>
      <c r="BR103" s="84">
        <f t="shared" si="53"/>
        <v>1.6964963916127644E-4</v>
      </c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 t="s">
        <v>135</v>
      </c>
      <c r="CF103" s="84">
        <f>CG54</f>
        <v>23815</v>
      </c>
      <c r="CG103" s="84">
        <f t="shared" si="54"/>
        <v>179</v>
      </c>
      <c r="CH103" s="84">
        <f t="shared" si="55"/>
        <v>2.1606132279018453E-4</v>
      </c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T103" s="84"/>
      <c r="CU103" s="84" t="s">
        <v>135</v>
      </c>
      <c r="CV103" s="84">
        <f>CW54</f>
        <v>23765</v>
      </c>
      <c r="CW103" s="84">
        <f t="shared" si="56"/>
        <v>193</v>
      </c>
      <c r="CX103" s="84">
        <f t="shared" si="57"/>
        <v>2.3344750354303961E-4</v>
      </c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 t="s">
        <v>135</v>
      </c>
      <c r="DL103" s="84">
        <f>DM54</f>
        <v>24824</v>
      </c>
      <c r="DM103" s="84">
        <f t="shared" si="58"/>
        <v>165</v>
      </c>
      <c r="DN103" s="84">
        <f t="shared" si="59"/>
        <v>2.0326922618896072E-4</v>
      </c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</row>
    <row r="104" spans="1:128" x14ac:dyDescent="0.2">
      <c r="A104" s="84"/>
      <c r="B104" s="84"/>
      <c r="C104" s="84" t="s">
        <v>136</v>
      </c>
      <c r="D104" s="84">
        <f>F54</f>
        <v>787025</v>
      </c>
      <c r="E104" s="84">
        <f t="shared" si="44"/>
        <v>768022.33333333337</v>
      </c>
      <c r="F104" s="84">
        <f t="shared" si="45"/>
        <v>0.97412595454380191</v>
      </c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 t="s">
        <v>136</v>
      </c>
      <c r="T104" s="84">
        <f>V54</f>
        <v>783131</v>
      </c>
      <c r="U104" s="84">
        <f t="shared" si="46"/>
        <v>763935</v>
      </c>
      <c r="V104" s="84">
        <f t="shared" si="47"/>
        <v>0.97041136748184775</v>
      </c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 t="s">
        <v>136</v>
      </c>
      <c r="AJ104" s="84">
        <f>AL54</f>
        <v>814575</v>
      </c>
      <c r="AK104" s="84">
        <f t="shared" si="48"/>
        <v>792109</v>
      </c>
      <c r="AL104" s="84">
        <f t="shared" si="49"/>
        <v>0.97194508284323533</v>
      </c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 t="s">
        <v>136</v>
      </c>
      <c r="AZ104" s="84">
        <f>BB54</f>
        <v>810976</v>
      </c>
      <c r="BA104" s="84">
        <f t="shared" si="50"/>
        <v>789335</v>
      </c>
      <c r="BB104" s="84">
        <f t="shared" si="51"/>
        <v>0.97111990639867418</v>
      </c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 t="s">
        <v>136</v>
      </c>
      <c r="BP104" s="84">
        <f>BR54</f>
        <v>828516</v>
      </c>
      <c r="BQ104" s="84">
        <f t="shared" si="52"/>
        <v>805216</v>
      </c>
      <c r="BR104" s="84">
        <f t="shared" si="53"/>
        <v>0.97574717033490255</v>
      </c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 t="s">
        <v>136</v>
      </c>
      <c r="CF104" s="84">
        <f>CH54</f>
        <v>824024</v>
      </c>
      <c r="CG104" s="84">
        <f t="shared" si="54"/>
        <v>800388</v>
      </c>
      <c r="CH104" s="84">
        <f t="shared" si="55"/>
        <v>0.9661055308681018</v>
      </c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T104" s="84"/>
      <c r="CU104" s="84" t="s">
        <v>136</v>
      </c>
      <c r="CV104" s="84">
        <f>CX54</f>
        <v>828066</v>
      </c>
      <c r="CW104" s="84">
        <f t="shared" si="56"/>
        <v>804494</v>
      </c>
      <c r="CX104" s="84">
        <f t="shared" si="57"/>
        <v>0.97309386484639437</v>
      </c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 t="s">
        <v>136</v>
      </c>
      <c r="DL104" s="84">
        <f>DN54</f>
        <v>807175</v>
      </c>
      <c r="DM104" s="84">
        <f t="shared" si="58"/>
        <v>782516</v>
      </c>
      <c r="DN104" s="84">
        <f t="shared" si="59"/>
        <v>0.96400861697261075</v>
      </c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</row>
    <row r="105" spans="1:128" x14ac:dyDescent="0.2">
      <c r="A105" s="84"/>
      <c r="B105" s="84"/>
      <c r="C105" s="84" t="s">
        <v>137</v>
      </c>
      <c r="D105" s="84">
        <f>G54</f>
        <v>32792</v>
      </c>
      <c r="E105" s="84">
        <f t="shared" si="44"/>
        <v>13789.333333333332</v>
      </c>
      <c r="F105" s="84">
        <f t="shared" si="45"/>
        <v>1.7489787617967701E-2</v>
      </c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 t="s">
        <v>137</v>
      </c>
      <c r="T105" s="84">
        <f>W54</f>
        <v>37832</v>
      </c>
      <c r="U105" s="84">
        <f t="shared" si="46"/>
        <v>18636</v>
      </c>
      <c r="V105" s="84">
        <f t="shared" si="47"/>
        <v>2.3672938462554687E-2</v>
      </c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 t="s">
        <v>137</v>
      </c>
      <c r="AJ105" s="84">
        <f>AM54</f>
        <v>66732</v>
      </c>
      <c r="AK105" s="84">
        <f t="shared" si="48"/>
        <v>44266</v>
      </c>
      <c r="AL105" s="84">
        <f t="shared" si="49"/>
        <v>5.4315909852228235E-2</v>
      </c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 t="s">
        <v>137</v>
      </c>
      <c r="AZ105" s="84">
        <f>BC54</f>
        <v>54104</v>
      </c>
      <c r="BA105" s="84">
        <f t="shared" si="50"/>
        <v>32463</v>
      </c>
      <c r="BB105" s="84">
        <f t="shared" si="51"/>
        <v>3.9939272325970797E-2</v>
      </c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 t="s">
        <v>137</v>
      </c>
      <c r="BP105" s="84">
        <f>BS54</f>
        <v>189211</v>
      </c>
      <c r="BQ105" s="84">
        <f t="shared" si="52"/>
        <v>165911</v>
      </c>
      <c r="BR105" s="84">
        <f t="shared" si="53"/>
        <v>0.2010481520206181</v>
      </c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 t="s">
        <v>137</v>
      </c>
      <c r="CF105" s="84">
        <f>CI54</f>
        <v>38508</v>
      </c>
      <c r="CG105" s="84">
        <f t="shared" si="54"/>
        <v>14872</v>
      </c>
      <c r="CH105" s="84">
        <f t="shared" si="55"/>
        <v>1.7951195489025833E-2</v>
      </c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T105" s="84"/>
      <c r="CU105" s="84" t="s">
        <v>137</v>
      </c>
      <c r="CV105" s="84">
        <f>CY54</f>
        <v>372019</v>
      </c>
      <c r="CW105" s="84">
        <f t="shared" si="56"/>
        <v>348447</v>
      </c>
      <c r="CX105" s="84">
        <f t="shared" si="57"/>
        <v>0.42147192884487833</v>
      </c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 t="s">
        <v>137</v>
      </c>
      <c r="DL105" s="84">
        <f>DO54</f>
        <v>25058</v>
      </c>
      <c r="DM105" s="84">
        <f t="shared" si="58"/>
        <v>399</v>
      </c>
      <c r="DN105" s="84">
        <f t="shared" si="59"/>
        <v>4.9154194696603224E-4</v>
      </c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</row>
    <row r="106" spans="1:128" x14ac:dyDescent="0.2">
      <c r="A106" s="84"/>
      <c r="B106" s="84"/>
      <c r="C106" s="84" t="s">
        <v>138</v>
      </c>
      <c r="D106" s="84">
        <f>H54</f>
        <v>32567</v>
      </c>
      <c r="E106" s="84">
        <f t="shared" si="44"/>
        <v>13564.333333333332</v>
      </c>
      <c r="F106" s="84">
        <f t="shared" si="45"/>
        <v>1.7204407453537993E-2</v>
      </c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 t="s">
        <v>138</v>
      </c>
      <c r="T106" s="84">
        <f>X54</f>
        <v>35887</v>
      </c>
      <c r="U106" s="84">
        <f t="shared" si="46"/>
        <v>16691</v>
      </c>
      <c r="V106" s="84">
        <f t="shared" si="47"/>
        <v>2.120224382262826E-2</v>
      </c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 t="s">
        <v>138</v>
      </c>
      <c r="AJ106" s="84">
        <f>AN54</f>
        <v>62610</v>
      </c>
      <c r="AK106" s="84">
        <f t="shared" si="48"/>
        <v>40144</v>
      </c>
      <c r="AL106" s="84">
        <f t="shared" si="49"/>
        <v>4.9258073580351738E-2</v>
      </c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 t="s">
        <v>138</v>
      </c>
      <c r="AZ106" s="84">
        <f>BD54</f>
        <v>40141</v>
      </c>
      <c r="BA106" s="84">
        <f t="shared" si="50"/>
        <v>18500</v>
      </c>
      <c r="BB106" s="84">
        <f t="shared" si="51"/>
        <v>2.2760574747572922E-2</v>
      </c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 t="s">
        <v>138</v>
      </c>
      <c r="BP106" s="84">
        <f>BT54</f>
        <v>204772</v>
      </c>
      <c r="BQ106" s="84">
        <f t="shared" si="52"/>
        <v>181472</v>
      </c>
      <c r="BR106" s="84">
        <f t="shared" si="53"/>
        <v>0.21990470941339396</v>
      </c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 t="s">
        <v>138</v>
      </c>
      <c r="CF106" s="84">
        <f>CJ54</f>
        <v>38343</v>
      </c>
      <c r="CG106" s="84">
        <f t="shared" si="54"/>
        <v>14707</v>
      </c>
      <c r="CH106" s="84">
        <f t="shared" si="55"/>
        <v>1.7752032817180134E-2</v>
      </c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T106" s="84"/>
      <c r="CU106" s="84" t="s">
        <v>138</v>
      </c>
      <c r="CV106" s="84">
        <f>CZ54</f>
        <v>371440</v>
      </c>
      <c r="CW106" s="84">
        <f t="shared" si="56"/>
        <v>347868</v>
      </c>
      <c r="CX106" s="84">
        <f t="shared" si="57"/>
        <v>0.42077158633424921</v>
      </c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 t="s">
        <v>138</v>
      </c>
      <c r="DL106" s="84">
        <f>DP54</f>
        <v>24228</v>
      </c>
      <c r="DM106" s="84">
        <f t="shared" si="58"/>
        <v>-431</v>
      </c>
      <c r="DN106" s="84">
        <f t="shared" si="59"/>
        <v>-5.3096385749964883E-4</v>
      </c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</row>
    <row r="107" spans="1:128" x14ac:dyDescent="0.2">
      <c r="A107" s="84"/>
      <c r="B107" s="84"/>
      <c r="C107" s="84" t="s">
        <v>139</v>
      </c>
      <c r="D107" s="84">
        <f>I54</f>
        <v>32925</v>
      </c>
      <c r="E107" s="84">
        <f t="shared" si="44"/>
        <v>13922.333333333332</v>
      </c>
      <c r="F107" s="84">
        <f t="shared" si="45"/>
        <v>1.7658479004052818E-2</v>
      </c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 t="s">
        <v>139</v>
      </c>
      <c r="T107" s="84">
        <f>Y54</f>
        <v>37397</v>
      </c>
      <c r="U107" s="84">
        <f t="shared" si="46"/>
        <v>18201</v>
      </c>
      <c r="V107" s="84">
        <f t="shared" si="47"/>
        <v>2.3120366653625126E-2</v>
      </c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 t="s">
        <v>139</v>
      </c>
      <c r="AJ107" s="84">
        <f>AO54</f>
        <v>64065</v>
      </c>
      <c r="AK107" s="84">
        <f t="shared" si="48"/>
        <v>41599</v>
      </c>
      <c r="AL107" s="84">
        <f t="shared" si="49"/>
        <v>5.1043408800046139E-2</v>
      </c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 t="s">
        <v>139</v>
      </c>
      <c r="AZ107" s="84">
        <f>BE54</f>
        <v>54007</v>
      </c>
      <c r="BA107" s="84">
        <f t="shared" si="50"/>
        <v>32366</v>
      </c>
      <c r="BB107" s="84">
        <f t="shared" si="51"/>
        <v>3.9819933096213254E-2</v>
      </c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 t="s">
        <v>139</v>
      </c>
      <c r="BP107" s="84">
        <f>BU54</f>
        <v>164318</v>
      </c>
      <c r="BQ107" s="84">
        <f t="shared" si="52"/>
        <v>141018</v>
      </c>
      <c r="BR107" s="84">
        <f t="shared" si="53"/>
        <v>0.17088323439460629</v>
      </c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 t="s">
        <v>139</v>
      </c>
      <c r="CF107" s="84">
        <f>CK54</f>
        <v>38344</v>
      </c>
      <c r="CG107" s="84">
        <f t="shared" si="54"/>
        <v>14708</v>
      </c>
      <c r="CH107" s="84">
        <f t="shared" si="55"/>
        <v>1.7753239863676169E-2</v>
      </c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T107" s="84"/>
      <c r="CU107" s="84" t="s">
        <v>139</v>
      </c>
      <c r="CV107" s="84">
        <f>DA54</f>
        <v>354358</v>
      </c>
      <c r="CW107" s="84">
        <f t="shared" si="56"/>
        <v>330786</v>
      </c>
      <c r="CX107" s="84">
        <f t="shared" si="57"/>
        <v>0.40010966791185437</v>
      </c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 t="s">
        <v>139</v>
      </c>
      <c r="DL107" s="84">
        <f>DQ54</f>
        <v>24468</v>
      </c>
      <c r="DM107" s="84">
        <f t="shared" si="58"/>
        <v>-191</v>
      </c>
      <c r="DN107" s="84">
        <f t="shared" si="59"/>
        <v>-2.3529952849752421E-4</v>
      </c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</row>
    <row r="108" spans="1:128" x14ac:dyDescent="0.2">
      <c r="A108" s="84"/>
      <c r="B108" s="84"/>
      <c r="C108" s="84" t="s">
        <v>140</v>
      </c>
      <c r="D108" s="84">
        <f>J54</f>
        <v>33886</v>
      </c>
      <c r="E108" s="84">
        <f t="shared" si="44"/>
        <v>14883.333333333332</v>
      </c>
      <c r="F108" s="84">
        <f t="shared" si="45"/>
        <v>1.8877369395239266E-2</v>
      </c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 t="s">
        <v>140</v>
      </c>
      <c r="T108" s="84">
        <f>Z54</f>
        <v>40666</v>
      </c>
      <c r="U108" s="84">
        <f t="shared" si="46"/>
        <v>21470</v>
      </c>
      <c r="V108" s="84">
        <f t="shared" si="47"/>
        <v>2.7272912040730259E-2</v>
      </c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 t="s">
        <v>140</v>
      </c>
      <c r="AJ108" s="84">
        <f>AP54</f>
        <v>65509</v>
      </c>
      <c r="AK108" s="84">
        <f t="shared" si="48"/>
        <v>43043</v>
      </c>
      <c r="AL108" s="84">
        <f t="shared" si="49"/>
        <v>5.2815246640072741E-2</v>
      </c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 t="s">
        <v>140</v>
      </c>
      <c r="AZ108" s="84">
        <f>BF54</f>
        <v>49343</v>
      </c>
      <c r="BA108" s="84">
        <f t="shared" si="50"/>
        <v>27702</v>
      </c>
      <c r="BB108" s="84">
        <f t="shared" si="51"/>
        <v>3.4081807657149465E-2</v>
      </c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 t="s">
        <v>140</v>
      </c>
      <c r="BP108" s="84">
        <f>BV54</f>
        <v>229227</v>
      </c>
      <c r="BQ108" s="84">
        <f t="shared" si="52"/>
        <v>205927</v>
      </c>
      <c r="BR108" s="84">
        <f t="shared" si="53"/>
        <v>0.24953886602545836</v>
      </c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 t="s">
        <v>140</v>
      </c>
      <c r="CF108" s="84">
        <f>CL54</f>
        <v>40399</v>
      </c>
      <c r="CG108" s="84">
        <f t="shared" si="54"/>
        <v>16763</v>
      </c>
      <c r="CH108" s="84">
        <f t="shared" si="55"/>
        <v>2.0233720413027172E-2</v>
      </c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T108" s="84"/>
      <c r="CU108" s="84" t="s">
        <v>140</v>
      </c>
      <c r="CV108" s="84">
        <f>DB54</f>
        <v>350050</v>
      </c>
      <c r="CW108" s="84">
        <f t="shared" si="56"/>
        <v>326478</v>
      </c>
      <c r="CX108" s="84">
        <f t="shared" si="57"/>
        <v>0.39489882933536002</v>
      </c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 t="s">
        <v>140</v>
      </c>
      <c r="DL108" s="84">
        <f>DR54</f>
        <v>23804</v>
      </c>
      <c r="DM108" s="84">
        <f t="shared" si="58"/>
        <v>-855</v>
      </c>
      <c r="DN108" s="84">
        <f t="shared" si="59"/>
        <v>-1.053304172070069E-3</v>
      </c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</row>
    <row r="109" spans="1:128" x14ac:dyDescent="0.2">
      <c r="A109" s="84"/>
      <c r="B109" s="84"/>
      <c r="C109" s="84" t="s">
        <v>141</v>
      </c>
      <c r="D109" s="84">
        <f>K54</f>
        <v>31971</v>
      </c>
      <c r="E109" s="84">
        <f t="shared" si="44"/>
        <v>12968.333333333332</v>
      </c>
      <c r="F109" s="84">
        <f t="shared" si="45"/>
        <v>1.6448467106870854E-2</v>
      </c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 t="s">
        <v>141</v>
      </c>
      <c r="T109" s="84">
        <f>AA54</f>
        <v>36843</v>
      </c>
      <c r="U109" s="84">
        <f t="shared" si="46"/>
        <v>17647</v>
      </c>
      <c r="V109" s="84">
        <f t="shared" si="47"/>
        <v>2.2416631522252765E-2</v>
      </c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 t="s">
        <v>141</v>
      </c>
      <c r="AJ109" s="84">
        <f>AQ54</f>
        <v>62207</v>
      </c>
      <c r="AK109" s="84">
        <f t="shared" si="48"/>
        <v>39741</v>
      </c>
      <c r="AL109" s="84">
        <f t="shared" si="49"/>
        <v>4.8763578670704431E-2</v>
      </c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 t="s">
        <v>141</v>
      </c>
      <c r="AZ109" s="84">
        <f>BG54</f>
        <v>44242</v>
      </c>
      <c r="BA109" s="84">
        <f t="shared" si="50"/>
        <v>22601</v>
      </c>
      <c r="BB109" s="84">
        <f t="shared" si="51"/>
        <v>2.780604053350787E-2</v>
      </c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 t="s">
        <v>141</v>
      </c>
      <c r="BP109" s="84">
        <f>BW54</f>
        <v>220562</v>
      </c>
      <c r="BQ109" s="84">
        <f t="shared" si="52"/>
        <v>197262</v>
      </c>
      <c r="BR109" s="84">
        <f t="shared" si="53"/>
        <v>0.23903876514451222</v>
      </c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 t="s">
        <v>141</v>
      </c>
      <c r="CF109" s="84">
        <f>CM54</f>
        <v>38103</v>
      </c>
      <c r="CG109" s="84">
        <f t="shared" si="54"/>
        <v>14467</v>
      </c>
      <c r="CH109" s="84">
        <f t="shared" si="55"/>
        <v>1.7462341658131843E-2</v>
      </c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T109" s="84"/>
      <c r="CU109" s="84" t="s">
        <v>141</v>
      </c>
      <c r="CV109" s="84">
        <f>DC54</f>
        <v>397575</v>
      </c>
      <c r="CW109" s="84">
        <f t="shared" si="56"/>
        <v>374003</v>
      </c>
      <c r="CX109" s="84">
        <f t="shared" si="57"/>
        <v>0.45238376511713702</v>
      </c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 t="s">
        <v>141</v>
      </c>
      <c r="DL109" s="84">
        <f>DS54</f>
        <v>24406</v>
      </c>
      <c r="DM109" s="84">
        <f t="shared" si="58"/>
        <v>-253</v>
      </c>
      <c r="DN109" s="84">
        <f t="shared" si="59"/>
        <v>-3.1167948015640642E-4</v>
      </c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</row>
    <row r="110" spans="1:128" x14ac:dyDescent="0.2">
      <c r="A110" s="84"/>
      <c r="B110" s="84"/>
      <c r="C110" s="84" t="s">
        <v>142</v>
      </c>
      <c r="D110" s="84">
        <f>L54</f>
        <v>33024</v>
      </c>
      <c r="E110" s="84">
        <f t="shared" si="44"/>
        <v>14021.333333333332</v>
      </c>
      <c r="F110" s="84">
        <f t="shared" si="45"/>
        <v>1.7784046276401892E-2</v>
      </c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 t="s">
        <v>142</v>
      </c>
      <c r="T110" s="84">
        <f>AB54</f>
        <v>36235</v>
      </c>
      <c r="U110" s="84">
        <f t="shared" si="46"/>
        <v>17039</v>
      </c>
      <c r="V110" s="84">
        <f t="shared" si="47"/>
        <v>2.1644301269771907E-2</v>
      </c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 t="s">
        <v>142</v>
      </c>
      <c r="AJ110" s="84">
        <f>AR54</f>
        <v>66927</v>
      </c>
      <c r="AK110" s="84">
        <f t="shared" si="48"/>
        <v>44461</v>
      </c>
      <c r="AL110" s="84">
        <f t="shared" si="49"/>
        <v>5.4555181582702741E-2</v>
      </c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 t="s">
        <v>142</v>
      </c>
      <c r="AZ110" s="84">
        <f>BH54</f>
        <v>55536</v>
      </c>
      <c r="BA110" s="84">
        <f t="shared" si="50"/>
        <v>33895</v>
      </c>
      <c r="BB110" s="84">
        <f t="shared" si="51"/>
        <v>4.1701063841566716E-2</v>
      </c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 t="s">
        <v>142</v>
      </c>
      <c r="BP110" s="84">
        <f>BX54</f>
        <v>237408</v>
      </c>
      <c r="BQ110" s="84">
        <f t="shared" si="52"/>
        <v>214108</v>
      </c>
      <c r="BR110" s="84">
        <f t="shared" si="53"/>
        <v>0.25945246386816123</v>
      </c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 t="s">
        <v>142</v>
      </c>
      <c r="CF110" s="84">
        <f>CN54</f>
        <v>39505</v>
      </c>
      <c r="CG110" s="84">
        <f t="shared" si="54"/>
        <v>15869</v>
      </c>
      <c r="CH110" s="84">
        <f t="shared" si="55"/>
        <v>1.9154620845572283E-2</v>
      </c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T110" s="84"/>
      <c r="CU110" s="84" t="s">
        <v>142</v>
      </c>
      <c r="CV110" s="84">
        <f>DD54</f>
        <v>391110</v>
      </c>
      <c r="CW110" s="84">
        <f t="shared" si="56"/>
        <v>367538</v>
      </c>
      <c r="CX110" s="84">
        <f t="shared" si="57"/>
        <v>0.44456387853472379</v>
      </c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 t="s">
        <v>142</v>
      </c>
      <c r="DL110" s="84">
        <f>DT54</f>
        <v>23854</v>
      </c>
      <c r="DM110" s="84">
        <f t="shared" si="58"/>
        <v>-805</v>
      </c>
      <c r="DN110" s="84">
        <f t="shared" si="59"/>
        <v>-9.9170743686129311E-4</v>
      </c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</row>
    <row r="111" spans="1:128" x14ac:dyDescent="0.2">
      <c r="A111" s="84"/>
      <c r="B111" s="84"/>
      <c r="C111" s="84" t="s">
        <v>143</v>
      </c>
      <c r="D111" s="84">
        <f>M54</f>
        <v>31950</v>
      </c>
      <c r="E111" s="84">
        <f t="shared" si="44"/>
        <v>12947.333333333332</v>
      </c>
      <c r="F111" s="84">
        <f t="shared" si="45"/>
        <v>1.6421831624857414E-2</v>
      </c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 t="s">
        <v>143</v>
      </c>
      <c r="T111" s="84">
        <f>AC54</f>
        <v>34972</v>
      </c>
      <c r="U111" s="84">
        <f t="shared" si="46"/>
        <v>15776</v>
      </c>
      <c r="V111" s="84">
        <f t="shared" si="47"/>
        <v>2.0039937603845391E-2</v>
      </c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 t="s">
        <v>143</v>
      </c>
      <c r="AJ111" s="84">
        <f>AS54</f>
        <v>84952</v>
      </c>
      <c r="AK111" s="84">
        <f t="shared" si="48"/>
        <v>62486</v>
      </c>
      <c r="AL111" s="84">
        <f t="shared" si="49"/>
        <v>7.6672478720153925E-2</v>
      </c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 t="s">
        <v>143</v>
      </c>
      <c r="AZ111" s="84">
        <f>BI54</f>
        <v>62474</v>
      </c>
      <c r="BA111" s="84">
        <f t="shared" si="50"/>
        <v>40833</v>
      </c>
      <c r="BB111" s="84">
        <f t="shared" si="51"/>
        <v>5.0236894522575418E-2</v>
      </c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 t="s">
        <v>143</v>
      </c>
      <c r="BP111" s="84">
        <f>BY54</f>
        <v>227604</v>
      </c>
      <c r="BQ111" s="84">
        <f t="shared" si="52"/>
        <v>204304</v>
      </c>
      <c r="BR111" s="84">
        <f t="shared" si="53"/>
        <v>0.24757214199432442</v>
      </c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 t="s">
        <v>143</v>
      </c>
      <c r="CF111" s="84">
        <f>CO54</f>
        <v>42204</v>
      </c>
      <c r="CG111" s="84">
        <f t="shared" si="54"/>
        <v>18568</v>
      </c>
      <c r="CH111" s="84">
        <f t="shared" si="55"/>
        <v>2.2412439338369533E-2</v>
      </c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T111" s="84"/>
      <c r="CU111" s="84" t="s">
        <v>143</v>
      </c>
      <c r="CV111" s="84">
        <f>DE54</f>
        <v>426284</v>
      </c>
      <c r="CW111" s="84">
        <f t="shared" si="56"/>
        <v>402712</v>
      </c>
      <c r="CX111" s="84">
        <f t="shared" si="57"/>
        <v>0.48710938366230344</v>
      </c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 t="s">
        <v>143</v>
      </c>
      <c r="DL111" s="84">
        <f>DU54</f>
        <v>25134</v>
      </c>
      <c r="DM111" s="84">
        <f t="shared" si="58"/>
        <v>475</v>
      </c>
      <c r="DN111" s="84">
        <f t="shared" si="59"/>
        <v>5.8516898448337173E-4</v>
      </c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</row>
    <row r="112" spans="1:128" x14ac:dyDescent="0.2">
      <c r="A112" s="84"/>
      <c r="B112" s="84"/>
      <c r="C112" s="84" t="s">
        <v>144</v>
      </c>
      <c r="D112" s="84">
        <f>N54</f>
        <v>35128</v>
      </c>
      <c r="E112" s="84">
        <f t="shared" si="44"/>
        <v>16125.333333333332</v>
      </c>
      <c r="F112" s="84">
        <f t="shared" si="45"/>
        <v>2.0452667902891259E-2</v>
      </c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 t="s">
        <v>144</v>
      </c>
      <c r="T112" s="84">
        <f>AD54</f>
        <v>31307</v>
      </c>
      <c r="U112" s="84">
        <f t="shared" si="46"/>
        <v>12111</v>
      </c>
      <c r="V112" s="84">
        <f t="shared" si="47"/>
        <v>1.538436132861128E-2</v>
      </c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 t="s">
        <v>144</v>
      </c>
      <c r="AJ112" s="84">
        <f>AT54</f>
        <v>82638</v>
      </c>
      <c r="AK112" s="84">
        <f t="shared" si="48"/>
        <v>60172</v>
      </c>
      <c r="AL112" s="84">
        <f t="shared" si="49"/>
        <v>7.3833120851856449E-2</v>
      </c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 t="s">
        <v>144</v>
      </c>
      <c r="AZ112" s="84">
        <f>BJ54</f>
        <v>54413</v>
      </c>
      <c r="BA112" s="84">
        <f t="shared" si="50"/>
        <v>32772</v>
      </c>
      <c r="BB112" s="84">
        <f t="shared" si="51"/>
        <v>4.0319435439322156E-2</v>
      </c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 t="s">
        <v>144</v>
      </c>
      <c r="BP112" s="84">
        <f>BZ54</f>
        <v>256275</v>
      </c>
      <c r="BQ112" s="84">
        <f t="shared" si="52"/>
        <v>232975</v>
      </c>
      <c r="BR112" s="84">
        <f t="shared" si="53"/>
        <v>0.28231517631141695</v>
      </c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 t="s">
        <v>144</v>
      </c>
      <c r="CF112" s="84">
        <f>CP54</f>
        <v>33940</v>
      </c>
      <c r="CG112" s="84">
        <f t="shared" si="54"/>
        <v>10304</v>
      </c>
      <c r="CH112" s="84">
        <f t="shared" si="55"/>
        <v>1.2437407095140008E-2</v>
      </c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T112" s="84"/>
      <c r="CU112" s="84" t="s">
        <v>144</v>
      </c>
      <c r="CV112" s="84">
        <f>DF54</f>
        <v>421783</v>
      </c>
      <c r="CW112" s="84">
        <f t="shared" si="56"/>
        <v>398211</v>
      </c>
      <c r="CX112" s="84">
        <f t="shared" si="57"/>
        <v>0.48166509758226606</v>
      </c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 t="s">
        <v>144</v>
      </c>
      <c r="DL112" s="84">
        <f>DV54</f>
        <v>24828</v>
      </c>
      <c r="DM112" s="84">
        <f t="shared" si="58"/>
        <v>169</v>
      </c>
      <c r="DN112" s="84">
        <f t="shared" si="59"/>
        <v>2.0819696500566279E-4</v>
      </c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</row>
    <row r="113" spans="1:128" x14ac:dyDescent="0.2">
      <c r="A113" s="84"/>
      <c r="B113" s="84"/>
      <c r="C113" s="84" t="s">
        <v>145</v>
      </c>
      <c r="D113" s="84">
        <f>E55</f>
        <v>18862</v>
      </c>
      <c r="E113" s="84">
        <f t="shared" si="44"/>
        <v>-140.66666666666788</v>
      </c>
      <c r="F113" s="84">
        <f t="shared" si="45"/>
        <v>-1.7841545094716773E-4</v>
      </c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 t="s">
        <v>145</v>
      </c>
      <c r="T113" s="84">
        <f>U55</f>
        <v>19179</v>
      </c>
      <c r="U113" s="84">
        <f t="shared" si="46"/>
        <v>-18</v>
      </c>
      <c r="V113" s="84">
        <f t="shared" si="47"/>
        <v>-2.2865040369499053E-5</v>
      </c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 t="s">
        <v>145</v>
      </c>
      <c r="AJ113" s="84">
        <f>AK55</f>
        <v>22214</v>
      </c>
      <c r="AK113" s="84">
        <f t="shared" si="48"/>
        <v>-252</v>
      </c>
      <c r="AL113" s="84">
        <f t="shared" si="49"/>
        <v>-3.0921269784397765E-4</v>
      </c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 t="s">
        <v>145</v>
      </c>
      <c r="AZ113" s="84">
        <f>BA55</f>
        <v>20626</v>
      </c>
      <c r="BA113" s="84">
        <f t="shared" si="50"/>
        <v>-1016</v>
      </c>
      <c r="BB113" s="84">
        <f t="shared" si="51"/>
        <v>-1.2499861591099507E-3</v>
      </c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 t="s">
        <v>145</v>
      </c>
      <c r="BP113" s="84">
        <f>BQ55</f>
        <v>22869</v>
      </c>
      <c r="BQ113" s="84">
        <f t="shared" si="52"/>
        <v>-431</v>
      </c>
      <c r="BR113" s="84">
        <f t="shared" si="53"/>
        <v>-5.222785319893581E-4</v>
      </c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 t="s">
        <v>145</v>
      </c>
      <c r="CF113" s="84">
        <f>CG55</f>
        <v>23439</v>
      </c>
      <c r="CG113" s="84">
        <f t="shared" si="54"/>
        <v>-197</v>
      </c>
      <c r="CH113" s="84">
        <f t="shared" si="55"/>
        <v>-2.3778815971880644E-4</v>
      </c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T113" s="84"/>
      <c r="CU113" s="84" t="s">
        <v>145</v>
      </c>
      <c r="CV113" s="84">
        <f>CW55</f>
        <v>22614</v>
      </c>
      <c r="CW113" s="84">
        <f t="shared" si="56"/>
        <v>-958</v>
      </c>
      <c r="CX113" s="84">
        <f t="shared" si="57"/>
        <v>-1.1587705098146733E-3</v>
      </c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 t="s">
        <v>145</v>
      </c>
      <c r="DL113" s="84">
        <f>DM55</f>
        <v>24228</v>
      </c>
      <c r="DM113" s="84">
        <f t="shared" si="58"/>
        <v>-431</v>
      </c>
      <c r="DN113" s="84">
        <f t="shared" si="59"/>
        <v>-5.3096385749964883E-4</v>
      </c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</row>
    <row r="114" spans="1:128" x14ac:dyDescent="0.2">
      <c r="A114" s="84"/>
      <c r="B114" s="84"/>
      <c r="C114" s="84" t="s">
        <v>146</v>
      </c>
      <c r="D114" s="84">
        <f>F55</f>
        <v>787694</v>
      </c>
      <c r="E114" s="84">
        <f t="shared" si="44"/>
        <v>768691.33333333337</v>
      </c>
      <c r="F114" s="84">
        <f t="shared" si="45"/>
        <v>0.97497448489937288</v>
      </c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 t="s">
        <v>146</v>
      </c>
      <c r="T114" s="84">
        <f>V55</f>
        <v>791986</v>
      </c>
      <c r="U114" s="84">
        <f t="shared" si="46"/>
        <v>772790</v>
      </c>
      <c r="V114" s="84">
        <f t="shared" si="47"/>
        <v>0.98165969706362066</v>
      </c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 t="s">
        <v>146</v>
      </c>
      <c r="AJ114" s="84">
        <f>AL55</f>
        <v>814577</v>
      </c>
      <c r="AK114" s="84">
        <f t="shared" si="48"/>
        <v>792111</v>
      </c>
      <c r="AL114" s="84">
        <f t="shared" si="49"/>
        <v>0.97194753691226576</v>
      </c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 t="s">
        <v>146</v>
      </c>
      <c r="AZ114" s="84">
        <f>BB55</f>
        <v>817425</v>
      </c>
      <c r="BA114" s="84">
        <f t="shared" si="50"/>
        <v>795784</v>
      </c>
      <c r="BB114" s="84">
        <f t="shared" si="51"/>
        <v>0.97905411972554435</v>
      </c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 t="s">
        <v>146</v>
      </c>
      <c r="BP114" s="84">
        <f>BR55</f>
        <v>827760</v>
      </c>
      <c r="BQ114" s="84">
        <f t="shared" si="52"/>
        <v>804460</v>
      </c>
      <c r="BR114" s="84">
        <f t="shared" si="53"/>
        <v>0.97483106228343164</v>
      </c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 t="s">
        <v>146</v>
      </c>
      <c r="CF114" s="84">
        <f>CH55</f>
        <v>827989</v>
      </c>
      <c r="CG114" s="84">
        <f t="shared" si="54"/>
        <v>804353</v>
      </c>
      <c r="CH114" s="84">
        <f t="shared" si="55"/>
        <v>0.97089147022487876</v>
      </c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T114" s="84"/>
      <c r="CU114" s="84" t="s">
        <v>146</v>
      </c>
      <c r="CV114" s="84">
        <f>CX55</f>
        <v>830002</v>
      </c>
      <c r="CW114" s="84">
        <f t="shared" si="56"/>
        <v>806430</v>
      </c>
      <c r="CX114" s="84">
        <f t="shared" si="57"/>
        <v>0.975435597317168</v>
      </c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 t="s">
        <v>146</v>
      </c>
      <c r="DL114" s="84">
        <f>DN55</f>
        <v>814496</v>
      </c>
      <c r="DM114" s="84">
        <f t="shared" si="58"/>
        <v>789837</v>
      </c>
      <c r="DN114" s="84">
        <f t="shared" si="59"/>
        <v>0.97302761094187973</v>
      </c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</row>
    <row r="115" spans="1:128" x14ac:dyDescent="0.2">
      <c r="A115" s="84"/>
      <c r="B115" s="84"/>
      <c r="C115" s="84" t="s">
        <v>147</v>
      </c>
      <c r="D115" s="84">
        <f>G55</f>
        <v>34788</v>
      </c>
      <c r="E115" s="84">
        <f t="shared" si="44"/>
        <v>15785.333333333332</v>
      </c>
      <c r="F115" s="84">
        <f t="shared" si="45"/>
        <v>2.0021426765530811E-2</v>
      </c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 t="s">
        <v>147</v>
      </c>
      <c r="T115" s="84">
        <f>W55</f>
        <v>38224</v>
      </c>
      <c r="U115" s="84">
        <f t="shared" si="46"/>
        <v>19028</v>
      </c>
      <c r="V115" s="84">
        <f t="shared" si="47"/>
        <v>2.4170888230601553E-2</v>
      </c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 t="s">
        <v>147</v>
      </c>
      <c r="AJ115" s="84">
        <f>AM55</f>
        <v>63140</v>
      </c>
      <c r="AK115" s="84">
        <f t="shared" si="48"/>
        <v>40674</v>
      </c>
      <c r="AL115" s="84">
        <f t="shared" si="49"/>
        <v>4.9908401873436301E-2</v>
      </c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 t="s">
        <v>147</v>
      </c>
      <c r="AZ115" s="84">
        <f>BC55</f>
        <v>49017</v>
      </c>
      <c r="BA115" s="84">
        <f t="shared" si="50"/>
        <v>27376</v>
      </c>
      <c r="BB115" s="84">
        <f t="shared" si="51"/>
        <v>3.3680729421057098E-2</v>
      </c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 t="s">
        <v>147</v>
      </c>
      <c r="BP115" s="84">
        <f>BS55</f>
        <v>156468</v>
      </c>
      <c r="BQ115" s="84">
        <f t="shared" si="52"/>
        <v>133168</v>
      </c>
      <c r="BR115" s="84">
        <f t="shared" si="53"/>
        <v>0.16137073677020614</v>
      </c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 t="s">
        <v>147</v>
      </c>
      <c r="CF115" s="84">
        <f>CI55</f>
        <v>37148</v>
      </c>
      <c r="CG115" s="84">
        <f t="shared" si="54"/>
        <v>13512</v>
      </c>
      <c r="CH115" s="84">
        <f t="shared" si="55"/>
        <v>1.6309612254418845E-2</v>
      </c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T115" s="84"/>
      <c r="CU115" s="84" t="s">
        <v>147</v>
      </c>
      <c r="CV115" s="84">
        <f>CY55</f>
        <v>278839</v>
      </c>
      <c r="CW115" s="84">
        <f t="shared" si="56"/>
        <v>255267</v>
      </c>
      <c r="CX115" s="84">
        <f t="shared" si="57"/>
        <v>0.30876395796332173</v>
      </c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 t="s">
        <v>147</v>
      </c>
      <c r="DL115" s="84">
        <f>DO55</f>
        <v>23814</v>
      </c>
      <c r="DM115" s="84">
        <f t="shared" si="58"/>
        <v>-845</v>
      </c>
      <c r="DN115" s="84">
        <f t="shared" si="59"/>
        <v>-1.0409848250283139E-3</v>
      </c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</row>
    <row r="116" spans="1:128" x14ac:dyDescent="0.2">
      <c r="A116" s="84"/>
      <c r="B116" s="84"/>
      <c r="C116" s="84" t="s">
        <v>148</v>
      </c>
      <c r="D116" s="84">
        <f>H55</f>
        <v>34130</v>
      </c>
      <c r="E116" s="84">
        <f t="shared" si="44"/>
        <v>15127.333333333332</v>
      </c>
      <c r="F116" s="84">
        <f t="shared" si="45"/>
        <v>1.9186848329109704E-2</v>
      </c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 t="s">
        <v>148</v>
      </c>
      <c r="T116" s="84">
        <f>X55</f>
        <v>35238</v>
      </c>
      <c r="U116" s="84">
        <f t="shared" si="46"/>
        <v>16042</v>
      </c>
      <c r="V116" s="84">
        <f t="shared" si="47"/>
        <v>2.0377832089305766E-2</v>
      </c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 t="s">
        <v>148</v>
      </c>
      <c r="AJ116" s="84">
        <f>AN55</f>
        <v>58970</v>
      </c>
      <c r="AK116" s="84">
        <f t="shared" si="48"/>
        <v>36504</v>
      </c>
      <c r="AL116" s="84">
        <f t="shared" si="49"/>
        <v>4.4791667944827619E-2</v>
      </c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 t="s">
        <v>148</v>
      </c>
      <c r="AZ116" s="84">
        <f>BD55</f>
        <v>54564</v>
      </c>
      <c r="BA116" s="84">
        <f t="shared" si="50"/>
        <v>32923</v>
      </c>
      <c r="BB116" s="84">
        <f t="shared" si="51"/>
        <v>4.0505210941315858E-2</v>
      </c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 t="s">
        <v>148</v>
      </c>
      <c r="BP116" s="84">
        <f>BT55</f>
        <v>150308</v>
      </c>
      <c r="BQ116" s="84">
        <f t="shared" si="52"/>
        <v>127008</v>
      </c>
      <c r="BR116" s="84">
        <f t="shared" si="53"/>
        <v>0.15390615264710997</v>
      </c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 t="s">
        <v>148</v>
      </c>
      <c r="CF116" s="84">
        <f>CJ55</f>
        <v>34869</v>
      </c>
      <c r="CG116" s="84">
        <f t="shared" si="54"/>
        <v>11233</v>
      </c>
      <c r="CH116" s="84">
        <f t="shared" si="55"/>
        <v>1.3558753289956106E-2</v>
      </c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T116" s="84"/>
      <c r="CU116" s="84" t="s">
        <v>148</v>
      </c>
      <c r="CV116" s="84">
        <f>CZ55</f>
        <v>255105</v>
      </c>
      <c r="CW116" s="84">
        <f t="shared" si="56"/>
        <v>231533</v>
      </c>
      <c r="CX116" s="84">
        <f t="shared" si="57"/>
        <v>0.28005596289031393</v>
      </c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 t="s">
        <v>148</v>
      </c>
      <c r="DL116" s="84">
        <f>DP55</f>
        <v>24185</v>
      </c>
      <c r="DM116" s="84">
        <f t="shared" si="58"/>
        <v>-474</v>
      </c>
      <c r="DN116" s="84">
        <f t="shared" si="59"/>
        <v>-5.8393704977919626E-4</v>
      </c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</row>
    <row r="117" spans="1:128" x14ac:dyDescent="0.2">
      <c r="A117" s="84"/>
      <c r="B117" s="84"/>
      <c r="C117" s="84" t="s">
        <v>149</v>
      </c>
      <c r="D117" s="84">
        <f>I55</f>
        <v>34877</v>
      </c>
      <c r="E117" s="84">
        <f t="shared" si="44"/>
        <v>15874.333333333332</v>
      </c>
      <c r="F117" s="84">
        <f t="shared" si="45"/>
        <v>2.0134310475016338E-2</v>
      </c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 t="s">
        <v>149</v>
      </c>
      <c r="T117" s="84">
        <f>Y55</f>
        <v>40236</v>
      </c>
      <c r="U117" s="84">
        <f t="shared" si="46"/>
        <v>21040</v>
      </c>
      <c r="V117" s="84">
        <f t="shared" si="47"/>
        <v>2.6726691631903336E-2</v>
      </c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 t="s">
        <v>149</v>
      </c>
      <c r="AJ117" s="84">
        <f>AO55</f>
        <v>68907</v>
      </c>
      <c r="AK117" s="84">
        <f t="shared" si="48"/>
        <v>46441</v>
      </c>
      <c r="AL117" s="84">
        <f t="shared" si="49"/>
        <v>5.698470992290542E-2</v>
      </c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 t="s">
        <v>149</v>
      </c>
      <c r="AZ117" s="84">
        <f>BE55</f>
        <v>55153</v>
      </c>
      <c r="BA117" s="84">
        <f t="shared" si="50"/>
        <v>33512</v>
      </c>
      <c r="BB117" s="84">
        <f t="shared" si="51"/>
        <v>4.1229858429225073E-2</v>
      </c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 t="s">
        <v>149</v>
      </c>
      <c r="BP117" s="84">
        <f>BU55</f>
        <v>187648</v>
      </c>
      <c r="BQ117" s="84">
        <f t="shared" si="52"/>
        <v>164348</v>
      </c>
      <c r="BR117" s="84">
        <f t="shared" si="53"/>
        <v>0.19915413497769613</v>
      </c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 t="s">
        <v>149</v>
      </c>
      <c r="CF117" s="84">
        <f>CK55</f>
        <v>33970</v>
      </c>
      <c r="CG117" s="84">
        <f t="shared" si="54"/>
        <v>10334</v>
      </c>
      <c r="CH117" s="84">
        <f t="shared" si="55"/>
        <v>1.2473618490021045E-2</v>
      </c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T117" s="84"/>
      <c r="CU117" s="84" t="s">
        <v>149</v>
      </c>
      <c r="CV117" s="84">
        <f>DA55</f>
        <v>272397</v>
      </c>
      <c r="CW117" s="84">
        <f t="shared" si="56"/>
        <v>248825</v>
      </c>
      <c r="CX117" s="84">
        <f t="shared" si="57"/>
        <v>0.30097189154972448</v>
      </c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 t="s">
        <v>149</v>
      </c>
      <c r="DL117" s="84">
        <f>DQ55</f>
        <v>24268</v>
      </c>
      <c r="DM117" s="84">
        <f t="shared" si="58"/>
        <v>-391</v>
      </c>
      <c r="DN117" s="84">
        <f t="shared" si="59"/>
        <v>-4.816864693326281E-4</v>
      </c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</row>
    <row r="118" spans="1:128" x14ac:dyDescent="0.2">
      <c r="A118" s="84"/>
      <c r="B118" s="84"/>
      <c r="C118" s="84" t="s">
        <v>150</v>
      </c>
      <c r="D118" s="84">
        <f>J55</f>
        <v>34443</v>
      </c>
      <c r="E118" s="84">
        <f t="shared" si="44"/>
        <v>15440.333333333332</v>
      </c>
      <c r="F118" s="84">
        <f t="shared" si="45"/>
        <v>1.9583843846738589E-2</v>
      </c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 t="s">
        <v>150</v>
      </c>
      <c r="T118" s="84">
        <f>Z55</f>
        <v>39329</v>
      </c>
      <c r="U118" s="84">
        <f t="shared" si="46"/>
        <v>20133</v>
      </c>
      <c r="V118" s="84">
        <f t="shared" si="47"/>
        <v>2.557454765328469E-2</v>
      </c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 t="s">
        <v>150</v>
      </c>
      <c r="AJ118" s="84">
        <f>AP55</f>
        <v>67029</v>
      </c>
      <c r="AK118" s="84">
        <f t="shared" si="48"/>
        <v>44563</v>
      </c>
      <c r="AL118" s="84">
        <f t="shared" si="49"/>
        <v>5.4680339103258632E-2</v>
      </c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 t="s">
        <v>150</v>
      </c>
      <c r="AZ118" s="84">
        <f>BF55</f>
        <v>52998</v>
      </c>
      <c r="BA118" s="84">
        <f t="shared" si="50"/>
        <v>31357</v>
      </c>
      <c r="BB118" s="84">
        <f t="shared" si="51"/>
        <v>3.8578559046467252E-2</v>
      </c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 t="s">
        <v>150</v>
      </c>
      <c r="BP118" s="84">
        <f>BV55</f>
        <v>160396</v>
      </c>
      <c r="BQ118" s="84">
        <f t="shared" si="52"/>
        <v>137096</v>
      </c>
      <c r="BR118" s="84">
        <f t="shared" si="53"/>
        <v>0.1661306209318168</v>
      </c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 t="s">
        <v>150</v>
      </c>
      <c r="CF118" s="84">
        <f>CL55</f>
        <v>33486</v>
      </c>
      <c r="CG118" s="84">
        <f t="shared" si="54"/>
        <v>9850</v>
      </c>
      <c r="CH118" s="84">
        <f t="shared" si="55"/>
        <v>1.1889407985940322E-2</v>
      </c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T118" s="84"/>
      <c r="CU118" s="84" t="s">
        <v>150</v>
      </c>
      <c r="CV118" s="84">
        <f>DB55</f>
        <v>301669</v>
      </c>
      <c r="CW118" s="84">
        <f t="shared" si="56"/>
        <v>278097</v>
      </c>
      <c r="CX118" s="84">
        <f t="shared" si="57"/>
        <v>0.33637849944460457</v>
      </c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 t="s">
        <v>150</v>
      </c>
      <c r="DL118" s="84">
        <f>DR55</f>
        <v>24171</v>
      </c>
      <c r="DM118" s="84">
        <f t="shared" si="58"/>
        <v>-488</v>
      </c>
      <c r="DN118" s="84">
        <f t="shared" si="59"/>
        <v>-6.011841356376535E-4</v>
      </c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</row>
    <row r="119" spans="1:128" x14ac:dyDescent="0.2">
      <c r="A119" s="84"/>
      <c r="B119" s="84"/>
      <c r="C119" s="84" t="s">
        <v>151</v>
      </c>
      <c r="D119" s="84">
        <f>K55</f>
        <v>37393</v>
      </c>
      <c r="E119" s="84">
        <f t="shared" si="44"/>
        <v>18390.333333333332</v>
      </c>
      <c r="F119" s="84">
        <f t="shared" si="45"/>
        <v>2.3325494891483663E-2</v>
      </c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 t="s">
        <v>151</v>
      </c>
      <c r="T119" s="84">
        <f>AA55</f>
        <v>37389</v>
      </c>
      <c r="U119" s="84">
        <f t="shared" si="46"/>
        <v>18193</v>
      </c>
      <c r="V119" s="84">
        <f t="shared" si="47"/>
        <v>2.3110204413460903E-2</v>
      </c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 t="s">
        <v>151</v>
      </c>
      <c r="AJ119" s="84">
        <f>AQ55</f>
        <v>72095</v>
      </c>
      <c r="AK119" s="84">
        <f t="shared" si="48"/>
        <v>49629</v>
      </c>
      <c r="AL119" s="84">
        <f t="shared" si="49"/>
        <v>6.0896495957534789E-2</v>
      </c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 t="s">
        <v>151</v>
      </c>
      <c r="AZ119" s="84">
        <f>BG55</f>
        <v>52152</v>
      </c>
      <c r="BA119" s="84">
        <f t="shared" si="50"/>
        <v>30511</v>
      </c>
      <c r="BB119" s="84">
        <f t="shared" si="51"/>
        <v>3.7537724114767433E-2</v>
      </c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 t="s">
        <v>151</v>
      </c>
      <c r="BP119" s="84">
        <f>BW55</f>
        <v>162703</v>
      </c>
      <c r="BQ119" s="84">
        <f t="shared" si="52"/>
        <v>139403</v>
      </c>
      <c r="BR119" s="84">
        <f t="shared" si="53"/>
        <v>0.16892620462856728</v>
      </c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 t="s">
        <v>151</v>
      </c>
      <c r="CF119" s="84">
        <f>CM55</f>
        <v>35540</v>
      </c>
      <c r="CG119" s="84">
        <f t="shared" si="54"/>
        <v>11904</v>
      </c>
      <c r="CH119" s="84">
        <f t="shared" si="55"/>
        <v>1.4368681488795288E-2</v>
      </c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T119" s="84"/>
      <c r="CU119" s="84" t="s">
        <v>151</v>
      </c>
      <c r="CV119" s="84">
        <f>DC55</f>
        <v>260473</v>
      </c>
      <c r="CW119" s="84">
        <f t="shared" si="56"/>
        <v>236901</v>
      </c>
      <c r="CX119" s="84">
        <f t="shared" si="57"/>
        <v>0.2865489483774592</v>
      </c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 t="s">
        <v>151</v>
      </c>
      <c r="DL119" s="84">
        <f>DS55</f>
        <v>24378</v>
      </c>
      <c r="DM119" s="84">
        <f t="shared" si="58"/>
        <v>-281</v>
      </c>
      <c r="DN119" s="84">
        <f t="shared" si="59"/>
        <v>-3.4617365187332097E-4</v>
      </c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</row>
    <row r="120" spans="1:128" x14ac:dyDescent="0.2">
      <c r="A120" s="84"/>
      <c r="B120" s="84"/>
      <c r="C120" s="84" t="s">
        <v>152</v>
      </c>
      <c r="D120" s="84">
        <f>L55</f>
        <v>33376</v>
      </c>
      <c r="E120" s="84">
        <f t="shared" si="44"/>
        <v>14373.333333333332</v>
      </c>
      <c r="F120" s="84">
        <f t="shared" si="45"/>
        <v>1.8230507689198591E-2</v>
      </c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 t="s">
        <v>152</v>
      </c>
      <c r="T120" s="84">
        <f>AB55</f>
        <v>39354</v>
      </c>
      <c r="U120" s="84">
        <f t="shared" si="46"/>
        <v>20158</v>
      </c>
      <c r="V120" s="84">
        <f t="shared" si="47"/>
        <v>2.5606304653797884E-2</v>
      </c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 t="s">
        <v>152</v>
      </c>
      <c r="AJ120" s="84">
        <f>AR55</f>
        <v>70016</v>
      </c>
      <c r="AK120" s="84">
        <f t="shared" si="48"/>
        <v>47550</v>
      </c>
      <c r="AL120" s="84">
        <f t="shared" si="49"/>
        <v>5.8345491200321974E-2</v>
      </c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 t="s">
        <v>152</v>
      </c>
      <c r="AZ120" s="84">
        <f>BH55</f>
        <v>55003</v>
      </c>
      <c r="BA120" s="84">
        <f t="shared" si="50"/>
        <v>33362</v>
      </c>
      <c r="BB120" s="84">
        <f t="shared" si="51"/>
        <v>4.1045313228569073E-2</v>
      </c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 t="s">
        <v>152</v>
      </c>
      <c r="BP120" s="84">
        <f>BX55</f>
        <v>156743</v>
      </c>
      <c r="BQ120" s="84">
        <f t="shared" si="52"/>
        <v>133443</v>
      </c>
      <c r="BR120" s="84">
        <f t="shared" si="53"/>
        <v>0.16170397713284437</v>
      </c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 t="s">
        <v>152</v>
      </c>
      <c r="CF120" s="84">
        <f>CN55</f>
        <v>35215</v>
      </c>
      <c r="CG120" s="84">
        <f t="shared" si="54"/>
        <v>11579</v>
      </c>
      <c r="CH120" s="84">
        <f t="shared" si="55"/>
        <v>1.3976391377584061E-2</v>
      </c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T120" s="84"/>
      <c r="CU120" s="84" t="s">
        <v>152</v>
      </c>
      <c r="CV120" s="84">
        <f>DD55</f>
        <v>326158</v>
      </c>
      <c r="CW120" s="84">
        <f t="shared" si="56"/>
        <v>302586</v>
      </c>
      <c r="CX120" s="84">
        <f t="shared" si="57"/>
        <v>0.36599972179831181</v>
      </c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 t="s">
        <v>152</v>
      </c>
      <c r="DL120" s="84">
        <f>DT55</f>
        <v>24398</v>
      </c>
      <c r="DM120" s="84">
        <f t="shared" si="58"/>
        <v>-261</v>
      </c>
      <c r="DN120" s="84">
        <f t="shared" si="59"/>
        <v>-3.2153495778981057E-4</v>
      </c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</row>
    <row r="121" spans="1:128" x14ac:dyDescent="0.2">
      <c r="A121" s="84"/>
      <c r="B121" s="84"/>
      <c r="C121" s="84" t="s">
        <v>153</v>
      </c>
      <c r="D121" s="84">
        <f>M55</f>
        <v>32598</v>
      </c>
      <c r="E121" s="84">
        <f t="shared" si="44"/>
        <v>13595.333333333332</v>
      </c>
      <c r="F121" s="84">
        <f t="shared" si="45"/>
        <v>1.7243726498414977E-2</v>
      </c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 t="s">
        <v>153</v>
      </c>
      <c r="T121" s="84">
        <f>AC55</f>
        <v>36116</v>
      </c>
      <c r="U121" s="84">
        <f t="shared" si="46"/>
        <v>16920</v>
      </c>
      <c r="V121" s="84">
        <f t="shared" si="47"/>
        <v>2.149313794732911E-2</v>
      </c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 t="s">
        <v>153</v>
      </c>
      <c r="AJ121" s="84">
        <f>AS55</f>
        <v>90895</v>
      </c>
      <c r="AK121" s="84">
        <f t="shared" si="48"/>
        <v>68429</v>
      </c>
      <c r="AL121" s="84">
        <f t="shared" si="49"/>
        <v>8.3964744844307729E-2</v>
      </c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 t="s">
        <v>153</v>
      </c>
      <c r="AZ121" s="84">
        <f>BI55</f>
        <v>53547</v>
      </c>
      <c r="BA121" s="84">
        <f t="shared" si="50"/>
        <v>31906</v>
      </c>
      <c r="BB121" s="84">
        <f t="shared" si="51"/>
        <v>3.92539944808682E-2</v>
      </c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 t="s">
        <v>153</v>
      </c>
      <c r="BP121" s="84">
        <f>BY55</f>
        <v>162776</v>
      </c>
      <c r="BQ121" s="84">
        <f t="shared" si="52"/>
        <v>139476</v>
      </c>
      <c r="BR121" s="84">
        <f t="shared" si="53"/>
        <v>0.1690146647975585</v>
      </c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 t="s">
        <v>153</v>
      </c>
      <c r="CF121" s="84">
        <f>CO55</f>
        <v>39643</v>
      </c>
      <c r="CG121" s="84">
        <f t="shared" si="54"/>
        <v>16007</v>
      </c>
      <c r="CH121" s="84">
        <f t="shared" si="55"/>
        <v>1.9321193262025051E-2</v>
      </c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T121" s="84"/>
      <c r="CU121" s="84" t="s">
        <v>153</v>
      </c>
      <c r="CV121" s="84">
        <f>DE55</f>
        <v>229858</v>
      </c>
      <c r="CW121" s="84">
        <f t="shared" si="56"/>
        <v>206286</v>
      </c>
      <c r="CX121" s="84">
        <f t="shared" si="57"/>
        <v>0.24951788453823559</v>
      </c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 t="s">
        <v>153</v>
      </c>
      <c r="DL121" s="84">
        <f>DU55</f>
        <v>24622</v>
      </c>
      <c r="DM121" s="84">
        <f t="shared" si="58"/>
        <v>-37</v>
      </c>
      <c r="DN121" s="84">
        <f t="shared" si="59"/>
        <v>-4.5581584054494217E-5</v>
      </c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</row>
    <row r="122" spans="1:128" x14ac:dyDescent="0.2">
      <c r="A122" s="84"/>
      <c r="B122" s="84"/>
      <c r="C122" s="84" t="s">
        <v>154</v>
      </c>
      <c r="D122" s="84">
        <f>N55</f>
        <v>32497</v>
      </c>
      <c r="E122" s="84">
        <f t="shared" si="44"/>
        <v>13494.333333333332</v>
      </c>
      <c r="F122" s="84">
        <f t="shared" si="45"/>
        <v>1.7115622513493196E-2</v>
      </c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 t="s">
        <v>154</v>
      </c>
      <c r="T122" s="84">
        <f>AD55</f>
        <v>32814</v>
      </c>
      <c r="U122" s="84">
        <f t="shared" si="46"/>
        <v>13618</v>
      </c>
      <c r="V122" s="84">
        <f t="shared" si="47"/>
        <v>1.729867331954656E-2</v>
      </c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 t="s">
        <v>154</v>
      </c>
      <c r="AJ122" s="84">
        <f>AT55</f>
        <v>78237</v>
      </c>
      <c r="AK122" s="84">
        <f t="shared" si="48"/>
        <v>55771</v>
      </c>
      <c r="AL122" s="84">
        <f t="shared" si="49"/>
        <v>6.8432941950224119E-2</v>
      </c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 t="s">
        <v>154</v>
      </c>
      <c r="AZ122" s="84">
        <f>BJ55</f>
        <v>48641</v>
      </c>
      <c r="BA122" s="84">
        <f t="shared" si="50"/>
        <v>27000</v>
      </c>
      <c r="BB122" s="84">
        <f t="shared" si="51"/>
        <v>3.3218136118079403E-2</v>
      </c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 t="s">
        <v>154</v>
      </c>
      <c r="BP122" s="84">
        <f>BZ55</f>
        <v>153095</v>
      </c>
      <c r="BQ122" s="84">
        <f t="shared" si="52"/>
        <v>129795</v>
      </c>
      <c r="BR122" s="84">
        <f t="shared" si="53"/>
        <v>0.15728339224955623</v>
      </c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 t="s">
        <v>154</v>
      </c>
      <c r="CF122" s="84">
        <f>CP55</f>
        <v>43795</v>
      </c>
      <c r="CG122" s="84">
        <f t="shared" si="54"/>
        <v>20159</v>
      </c>
      <c r="CH122" s="84">
        <f t="shared" si="55"/>
        <v>2.4332850313560504E-2</v>
      </c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T122" s="84"/>
      <c r="CU122" s="84" t="s">
        <v>154</v>
      </c>
      <c r="CV122" s="84">
        <f>DF55</f>
        <v>252743</v>
      </c>
      <c r="CW122" s="84">
        <f t="shared" si="56"/>
        <v>229171</v>
      </c>
      <c r="CX122" s="84">
        <f t="shared" si="57"/>
        <v>0.27719895251016546</v>
      </c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 t="s">
        <v>154</v>
      </c>
      <c r="DL122" s="84">
        <f>DV55</f>
        <v>24377</v>
      </c>
      <c r="DM122" s="84">
        <f t="shared" si="58"/>
        <v>-282</v>
      </c>
      <c r="DN122" s="84">
        <f t="shared" si="59"/>
        <v>-3.4740558657749649E-4</v>
      </c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</row>
    <row r="123" spans="1:128" x14ac:dyDescent="0.2">
      <c r="A123" s="84"/>
      <c r="B123" s="84"/>
      <c r="C123" s="84" t="s">
        <v>155</v>
      </c>
      <c r="D123" s="84">
        <f>E56</f>
        <v>18921</v>
      </c>
      <c r="E123" s="84">
        <f t="shared" si="44"/>
        <v>-81.666666666667879</v>
      </c>
      <c r="F123" s="84">
        <f t="shared" si="45"/>
        <v>-1.0358243005226627E-4</v>
      </c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 t="s">
        <v>155</v>
      </c>
      <c r="T123" s="84">
        <f>U56</f>
        <v>19021</v>
      </c>
      <c r="U123" s="84">
        <f t="shared" si="46"/>
        <v>-176</v>
      </c>
      <c r="V123" s="84">
        <f t="shared" si="47"/>
        <v>-2.2356928361287961E-4</v>
      </c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 t="s">
        <v>155</v>
      </c>
      <c r="AJ123" s="84">
        <f>AK56</f>
        <v>22222</v>
      </c>
      <c r="AK123" s="84">
        <f t="shared" si="48"/>
        <v>-244</v>
      </c>
      <c r="AL123" s="84">
        <f t="shared" si="49"/>
        <v>-2.9939642172194659E-4</v>
      </c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 t="s">
        <v>155</v>
      </c>
      <c r="AZ123" s="84">
        <f>BA56</f>
        <v>21576</v>
      </c>
      <c r="BA123" s="84">
        <f t="shared" si="50"/>
        <v>-66</v>
      </c>
      <c r="BB123" s="84">
        <f t="shared" si="51"/>
        <v>-8.1199888288638534E-5</v>
      </c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 t="s">
        <v>155</v>
      </c>
      <c r="BP123" s="84">
        <f>BQ56</f>
        <v>23229</v>
      </c>
      <c r="BQ123" s="84">
        <f t="shared" si="52"/>
        <v>-71</v>
      </c>
      <c r="BR123" s="84">
        <f t="shared" si="53"/>
        <v>-8.6036602717504473E-5</v>
      </c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 t="s">
        <v>155</v>
      </c>
      <c r="CF123" s="84">
        <f>CG56</f>
        <v>23468</v>
      </c>
      <c r="CG123" s="84">
        <f t="shared" si="54"/>
        <v>-168</v>
      </c>
      <c r="CH123" s="84">
        <f t="shared" si="55"/>
        <v>-2.0278381133380447E-4</v>
      </c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T123" s="84"/>
      <c r="CU123" s="84" t="s">
        <v>155</v>
      </c>
      <c r="CV123" s="84">
        <f>CW56</f>
        <v>24023</v>
      </c>
      <c r="CW123" s="84">
        <f t="shared" si="56"/>
        <v>451</v>
      </c>
      <c r="CX123" s="84">
        <f t="shared" si="57"/>
        <v>5.4551722330523761E-4</v>
      </c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 t="s">
        <v>155</v>
      </c>
      <c r="DL123" s="84">
        <f>DM56</f>
        <v>24488</v>
      </c>
      <c r="DM123" s="84">
        <f t="shared" si="58"/>
        <v>-171</v>
      </c>
      <c r="DN123" s="84">
        <f t="shared" si="59"/>
        <v>-2.1066083441401381E-4</v>
      </c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</row>
    <row r="124" spans="1:128" x14ac:dyDescent="0.2">
      <c r="A124" s="84"/>
      <c r="B124" s="84"/>
      <c r="C124" s="84" t="s">
        <v>156</v>
      </c>
      <c r="D124" s="84">
        <f>F56</f>
        <v>786825</v>
      </c>
      <c r="E124" s="84">
        <f t="shared" si="44"/>
        <v>767822.33333333337</v>
      </c>
      <c r="F124" s="84">
        <f t="shared" si="45"/>
        <v>0.97387228328653108</v>
      </c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 t="s">
        <v>156</v>
      </c>
      <c r="T124" s="84">
        <f>V56</f>
        <v>788270</v>
      </c>
      <c r="U124" s="84">
        <f t="shared" si="46"/>
        <v>769074</v>
      </c>
      <c r="V124" s="84">
        <f t="shared" si="47"/>
        <v>0.97693933650733966</v>
      </c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 t="s">
        <v>156</v>
      </c>
      <c r="AJ124" s="84">
        <f>AL56</f>
        <v>813941</v>
      </c>
      <c r="AK124" s="84">
        <f t="shared" si="48"/>
        <v>791475</v>
      </c>
      <c r="AL124" s="84">
        <f t="shared" si="49"/>
        <v>0.97116714296056439</v>
      </c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 t="s">
        <v>156</v>
      </c>
      <c r="AZ124" s="84">
        <f>BB56</f>
        <v>815042</v>
      </c>
      <c r="BA124" s="84">
        <f t="shared" si="50"/>
        <v>793401</v>
      </c>
      <c r="BB124" s="84">
        <f t="shared" si="51"/>
        <v>0.9761223116377894</v>
      </c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 t="s">
        <v>156</v>
      </c>
      <c r="BP124" s="84">
        <f>BR56</f>
        <v>831213</v>
      </c>
      <c r="BQ124" s="84">
        <f t="shared" si="52"/>
        <v>807913</v>
      </c>
      <c r="BR124" s="84">
        <f t="shared" si="53"/>
        <v>0.97901534945503088</v>
      </c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 t="s">
        <v>156</v>
      </c>
      <c r="CF124" s="84">
        <f>CH56</f>
        <v>830082</v>
      </c>
      <c r="CG124" s="84">
        <f t="shared" si="54"/>
        <v>806446</v>
      </c>
      <c r="CH124" s="84">
        <f t="shared" si="55"/>
        <v>0.97341781854107912</v>
      </c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T124" s="84"/>
      <c r="CU124" s="84" t="s">
        <v>156</v>
      </c>
      <c r="CV124" s="84">
        <f>CX56</f>
        <v>833574</v>
      </c>
      <c r="CW124" s="84">
        <f t="shared" si="56"/>
        <v>810002</v>
      </c>
      <c r="CX124" s="84">
        <f t="shared" si="57"/>
        <v>0.97975619049155005</v>
      </c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 t="s">
        <v>156</v>
      </c>
      <c r="DL124" s="84">
        <f>DN56</f>
        <v>812977</v>
      </c>
      <c r="DM124" s="84">
        <f t="shared" si="58"/>
        <v>788318</v>
      </c>
      <c r="DN124" s="84">
        <f t="shared" si="59"/>
        <v>0.97115630212623716</v>
      </c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</row>
    <row r="125" spans="1:128" x14ac:dyDescent="0.2">
      <c r="A125" s="84"/>
      <c r="B125" s="84"/>
      <c r="C125" s="84" t="s">
        <v>157</v>
      </c>
      <c r="D125" s="84">
        <f>G56</f>
        <v>34208</v>
      </c>
      <c r="E125" s="84">
        <f t="shared" si="44"/>
        <v>15205.333333333332</v>
      </c>
      <c r="F125" s="84">
        <f t="shared" si="45"/>
        <v>1.9285780119445338E-2</v>
      </c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 t="s">
        <v>157</v>
      </c>
      <c r="T125" s="84">
        <f>W56</f>
        <v>39315</v>
      </c>
      <c r="U125" s="84">
        <f t="shared" si="46"/>
        <v>20119</v>
      </c>
      <c r="V125" s="84">
        <f t="shared" si="47"/>
        <v>2.5556763732997301E-2</v>
      </c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 t="s">
        <v>157</v>
      </c>
      <c r="AJ125" s="84">
        <f>AM56</f>
        <v>58544</v>
      </c>
      <c r="AK125" s="84">
        <f t="shared" si="48"/>
        <v>36078</v>
      </c>
      <c r="AL125" s="84">
        <f t="shared" si="49"/>
        <v>4.4268951241329464E-2</v>
      </c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 t="s">
        <v>157</v>
      </c>
      <c r="AZ125" s="84">
        <f>BC56</f>
        <v>46608</v>
      </c>
      <c r="BA125" s="84">
        <f t="shared" si="50"/>
        <v>24967</v>
      </c>
      <c r="BB125" s="84">
        <f t="shared" si="51"/>
        <v>3.0716933498521792E-2</v>
      </c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 t="s">
        <v>157</v>
      </c>
      <c r="BP125" s="84">
        <f>BS56</f>
        <v>74904</v>
      </c>
      <c r="BQ125" s="84">
        <f t="shared" si="52"/>
        <v>51604</v>
      </c>
      <c r="BR125" s="84">
        <f t="shared" si="53"/>
        <v>6.2532856994846495E-2</v>
      </c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 t="s">
        <v>157</v>
      </c>
      <c r="CF125" s="84">
        <f>CI56</f>
        <v>34851</v>
      </c>
      <c r="CG125" s="84">
        <f t="shared" si="54"/>
        <v>11215</v>
      </c>
      <c r="CH125" s="84">
        <f t="shared" si="55"/>
        <v>1.3537026453027484E-2</v>
      </c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T125" s="84"/>
      <c r="CU125" s="84" t="s">
        <v>157</v>
      </c>
      <c r="CV125" s="84">
        <f>CY56</f>
        <v>99963</v>
      </c>
      <c r="CW125" s="84">
        <f t="shared" si="56"/>
        <v>76391</v>
      </c>
      <c r="CX125" s="84">
        <f t="shared" si="57"/>
        <v>9.2400457218426629E-2</v>
      </c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 t="s">
        <v>157</v>
      </c>
      <c r="DL125" s="84">
        <f>DO56</f>
        <v>24526</v>
      </c>
      <c r="DM125" s="84">
        <f t="shared" si="58"/>
        <v>-133</v>
      </c>
      <c r="DN125" s="84">
        <f t="shared" si="59"/>
        <v>-1.6384731565534407E-4</v>
      </c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</row>
    <row r="126" spans="1:128" x14ac:dyDescent="0.2">
      <c r="A126" s="84"/>
      <c r="B126" s="84"/>
      <c r="C126" s="84" t="s">
        <v>158</v>
      </c>
      <c r="D126" s="84">
        <f>H56</f>
        <v>32240</v>
      </c>
      <c r="E126" s="84">
        <f t="shared" si="44"/>
        <v>13237.333333333332</v>
      </c>
      <c r="F126" s="84">
        <f t="shared" si="45"/>
        <v>1.6789654947900148E-2</v>
      </c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 t="s">
        <v>158</v>
      </c>
      <c r="T126" s="84">
        <f>X56</f>
        <v>37211</v>
      </c>
      <c r="U126" s="84">
        <f t="shared" si="46"/>
        <v>18015</v>
      </c>
      <c r="V126" s="84">
        <f t="shared" si="47"/>
        <v>2.288409456980697E-2</v>
      </c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 t="s">
        <v>158</v>
      </c>
      <c r="AJ126" s="84">
        <f>AN56</f>
        <v>56840</v>
      </c>
      <c r="AK126" s="84">
        <f t="shared" si="48"/>
        <v>34374</v>
      </c>
      <c r="AL126" s="84">
        <f t="shared" si="49"/>
        <v>4.2178084427336858E-2</v>
      </c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 t="s">
        <v>158</v>
      </c>
      <c r="AZ126" s="84">
        <f>BD56</f>
        <v>43349</v>
      </c>
      <c r="BA126" s="84">
        <f t="shared" si="50"/>
        <v>21708</v>
      </c>
      <c r="BB126" s="84">
        <f t="shared" si="51"/>
        <v>2.6707381438935838E-2</v>
      </c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 t="s">
        <v>158</v>
      </c>
      <c r="BP126" s="84">
        <f>BT56</f>
        <v>95881</v>
      </c>
      <c r="BQ126" s="84">
        <f t="shared" si="52"/>
        <v>72581</v>
      </c>
      <c r="BR126" s="84">
        <f t="shared" si="53"/>
        <v>8.7952431856890029E-2</v>
      </c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 t="s">
        <v>158</v>
      </c>
      <c r="CF126" s="84">
        <f>CJ56</f>
        <v>32929</v>
      </c>
      <c r="CG126" s="84">
        <f t="shared" si="54"/>
        <v>9293</v>
      </c>
      <c r="CH126" s="84">
        <f t="shared" si="55"/>
        <v>1.1217083087649078E-2</v>
      </c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T126" s="84"/>
      <c r="CU126" s="84" t="s">
        <v>158</v>
      </c>
      <c r="CV126" s="84">
        <f>CZ56</f>
        <v>89943</v>
      </c>
      <c r="CW126" s="84">
        <f t="shared" si="56"/>
        <v>66371</v>
      </c>
      <c r="CX126" s="84">
        <f t="shared" si="57"/>
        <v>8.0280540195104055E-2</v>
      </c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 t="s">
        <v>158</v>
      </c>
      <c r="DL126" s="84">
        <f>DP56</f>
        <v>24308</v>
      </c>
      <c r="DM126" s="84">
        <f t="shared" si="58"/>
        <v>-351</v>
      </c>
      <c r="DN126" s="84">
        <f t="shared" si="59"/>
        <v>-4.324090811656073E-4</v>
      </c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</row>
    <row r="127" spans="1:128" x14ac:dyDescent="0.2">
      <c r="A127" s="84"/>
      <c r="B127" s="84"/>
      <c r="C127" s="84" t="s">
        <v>159</v>
      </c>
      <c r="D127" s="84">
        <f>I56</f>
        <v>32116</v>
      </c>
      <c r="E127" s="84">
        <f t="shared" si="44"/>
        <v>13113.333333333332</v>
      </c>
      <c r="F127" s="84">
        <f t="shared" si="45"/>
        <v>1.6632378768392221E-2</v>
      </c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 t="s">
        <v>159</v>
      </c>
      <c r="T127" s="84">
        <f>Y56</f>
        <v>36092</v>
      </c>
      <c r="U127" s="84">
        <f t="shared" si="46"/>
        <v>16896</v>
      </c>
      <c r="V127" s="84">
        <f t="shared" si="47"/>
        <v>2.1462651226836445E-2</v>
      </c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 t="s">
        <v>159</v>
      </c>
      <c r="AJ127" s="84">
        <f>AO56</f>
        <v>56286</v>
      </c>
      <c r="AK127" s="84">
        <f t="shared" si="48"/>
        <v>33820</v>
      </c>
      <c r="AL127" s="84">
        <f t="shared" si="49"/>
        <v>4.149830730588621E-2</v>
      </c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 t="s">
        <v>159</v>
      </c>
      <c r="AZ127" s="84">
        <f>BE56</f>
        <v>43211</v>
      </c>
      <c r="BA127" s="84">
        <f t="shared" si="50"/>
        <v>21570</v>
      </c>
      <c r="BB127" s="84">
        <f t="shared" si="51"/>
        <v>2.6537599854332322E-2</v>
      </c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 t="s">
        <v>159</v>
      </c>
      <c r="BP127" s="84">
        <f>BU56</f>
        <v>109088</v>
      </c>
      <c r="BQ127" s="84">
        <f t="shared" si="52"/>
        <v>85788</v>
      </c>
      <c r="BR127" s="84">
        <f t="shared" si="53"/>
        <v>0.10395645174548274</v>
      </c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 t="s">
        <v>159</v>
      </c>
      <c r="CF127" s="84">
        <f>CK56</f>
        <v>34888</v>
      </c>
      <c r="CG127" s="84">
        <f t="shared" si="54"/>
        <v>11252</v>
      </c>
      <c r="CH127" s="84">
        <f t="shared" si="55"/>
        <v>1.3581687173380761E-2</v>
      </c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T127" s="84"/>
      <c r="CU127" s="84" t="s">
        <v>159</v>
      </c>
      <c r="CV127" s="84">
        <f>DA56</f>
        <v>98397</v>
      </c>
      <c r="CW127" s="84">
        <f t="shared" si="56"/>
        <v>74825</v>
      </c>
      <c r="CX127" s="84">
        <f t="shared" si="57"/>
        <v>9.050626659382352E-2</v>
      </c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 t="s">
        <v>159</v>
      </c>
      <c r="DL127" s="84">
        <f>DQ56</f>
        <v>24284</v>
      </c>
      <c r="DM127" s="84">
        <f t="shared" si="58"/>
        <v>-375</v>
      </c>
      <c r="DN127" s="84">
        <f t="shared" si="59"/>
        <v>-4.619755140658198E-4</v>
      </c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</row>
    <row r="128" spans="1:128" x14ac:dyDescent="0.2">
      <c r="A128" s="84"/>
      <c r="B128" s="84"/>
      <c r="C128" s="84" t="s">
        <v>160</v>
      </c>
      <c r="D128" s="84">
        <f>J56</f>
        <v>31754</v>
      </c>
      <c r="E128" s="84">
        <f t="shared" si="44"/>
        <v>12751.333333333332</v>
      </c>
      <c r="F128" s="84">
        <f t="shared" si="45"/>
        <v>1.6173233792731979E-2</v>
      </c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 t="s">
        <v>160</v>
      </c>
      <c r="T128" s="84">
        <f>Z56</f>
        <v>37211</v>
      </c>
      <c r="U128" s="84">
        <f t="shared" si="46"/>
        <v>18015</v>
      </c>
      <c r="V128" s="84">
        <f t="shared" si="47"/>
        <v>2.288409456980697E-2</v>
      </c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 t="s">
        <v>160</v>
      </c>
      <c r="AJ128" s="84">
        <f>AP56</f>
        <v>59219</v>
      </c>
      <c r="AK128" s="84">
        <f t="shared" si="48"/>
        <v>36753</v>
      </c>
      <c r="AL128" s="84">
        <f t="shared" si="49"/>
        <v>4.5097199539125839E-2</v>
      </c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 t="s">
        <v>160</v>
      </c>
      <c r="AZ128" s="84">
        <f>BF56</f>
        <v>40611</v>
      </c>
      <c r="BA128" s="84">
        <f t="shared" si="50"/>
        <v>18970</v>
      </c>
      <c r="BB128" s="84">
        <f t="shared" si="51"/>
        <v>2.3338816376295046E-2</v>
      </c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 t="s">
        <v>160</v>
      </c>
      <c r="BP128" s="84">
        <f>BV56</f>
        <v>91105</v>
      </c>
      <c r="BQ128" s="84">
        <f t="shared" si="52"/>
        <v>67805</v>
      </c>
      <c r="BR128" s="84">
        <f t="shared" si="53"/>
        <v>8.2164955595216776E-2</v>
      </c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 t="s">
        <v>160</v>
      </c>
      <c r="CF128" s="84">
        <f>CL56</f>
        <v>31951</v>
      </c>
      <c r="CG128" s="84">
        <f t="shared" si="54"/>
        <v>8315</v>
      </c>
      <c r="CH128" s="84">
        <f t="shared" si="55"/>
        <v>1.0036591614527288E-2</v>
      </c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T128" s="84"/>
      <c r="CU128" s="84" t="s">
        <v>160</v>
      </c>
      <c r="CV128" s="84">
        <f>DB56</f>
        <v>85266</v>
      </c>
      <c r="CW128" s="84">
        <f t="shared" si="56"/>
        <v>61694</v>
      </c>
      <c r="CX128" s="84">
        <f t="shared" si="57"/>
        <v>7.462336934499629E-2</v>
      </c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 t="s">
        <v>160</v>
      </c>
      <c r="DL128" s="84">
        <f>DR56</f>
        <v>24592</v>
      </c>
      <c r="DM128" s="84">
        <f t="shared" si="58"/>
        <v>-67</v>
      </c>
      <c r="DN128" s="84">
        <f t="shared" si="59"/>
        <v>-8.2539625179759799E-5</v>
      </c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</row>
    <row r="129" spans="1:128" x14ac:dyDescent="0.2">
      <c r="A129" s="84"/>
      <c r="B129" s="84"/>
      <c r="C129" s="84" t="s">
        <v>161</v>
      </c>
      <c r="D129" s="84">
        <f>K56</f>
        <v>34470</v>
      </c>
      <c r="E129" s="84">
        <f t="shared" si="44"/>
        <v>15467.333333333332</v>
      </c>
      <c r="F129" s="84">
        <f t="shared" si="45"/>
        <v>1.9618089466470156E-2</v>
      </c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 t="s">
        <v>161</v>
      </c>
      <c r="T129" s="84">
        <f>AA56</f>
        <v>40694</v>
      </c>
      <c r="U129" s="84">
        <f t="shared" si="46"/>
        <v>21498</v>
      </c>
      <c r="V129" s="84">
        <f t="shared" si="47"/>
        <v>2.7308479881305036E-2</v>
      </c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 t="s">
        <v>161</v>
      </c>
      <c r="AJ129" s="84">
        <f>AQ56</f>
        <v>55371</v>
      </c>
      <c r="AK129" s="84">
        <f t="shared" si="48"/>
        <v>32905</v>
      </c>
      <c r="AL129" s="84">
        <f t="shared" si="49"/>
        <v>4.0375570724428905E-2</v>
      </c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 t="s">
        <v>161</v>
      </c>
      <c r="AZ129" s="84">
        <f>BG56</f>
        <v>44472</v>
      </c>
      <c r="BA129" s="84">
        <f t="shared" si="50"/>
        <v>22831</v>
      </c>
      <c r="BB129" s="84">
        <f t="shared" si="51"/>
        <v>2.8089009841180401E-2</v>
      </c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 t="s">
        <v>161</v>
      </c>
      <c r="BP129" s="84">
        <f>BW56</f>
        <v>91995</v>
      </c>
      <c r="BQ129" s="84">
        <f t="shared" si="52"/>
        <v>68695</v>
      </c>
      <c r="BR129" s="84">
        <f t="shared" si="53"/>
        <v>8.3243442587027747E-2</v>
      </c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 t="s">
        <v>161</v>
      </c>
      <c r="CF129" s="84">
        <f>CM56</f>
        <v>32312</v>
      </c>
      <c r="CG129" s="84">
        <f t="shared" si="54"/>
        <v>8676</v>
      </c>
      <c r="CH129" s="84">
        <f t="shared" si="55"/>
        <v>1.047233539959576E-2</v>
      </c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T129" s="84"/>
      <c r="CU129" s="84" t="s">
        <v>161</v>
      </c>
      <c r="CV129" s="84">
        <f>DC56</f>
        <v>85902</v>
      </c>
      <c r="CW129" s="84">
        <f t="shared" si="56"/>
        <v>62330</v>
      </c>
      <c r="CX129" s="84">
        <f t="shared" si="57"/>
        <v>7.5392657491386836E-2</v>
      </c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 t="s">
        <v>161</v>
      </c>
      <c r="DL129" s="84">
        <f>DS56</f>
        <v>23978</v>
      </c>
      <c r="DM129" s="84">
        <f t="shared" si="58"/>
        <v>-681</v>
      </c>
      <c r="DN129" s="84">
        <f t="shared" si="59"/>
        <v>-8.3894753354352874E-4</v>
      </c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</row>
    <row r="130" spans="1:128" x14ac:dyDescent="0.2">
      <c r="A130" s="84"/>
      <c r="B130" s="84"/>
      <c r="C130" s="84" t="s">
        <v>162</v>
      </c>
      <c r="D130" s="84">
        <f>L56</f>
        <v>33298</v>
      </c>
      <c r="E130" s="84">
        <f t="shared" si="44"/>
        <v>14295.333333333332</v>
      </c>
      <c r="F130" s="84">
        <f t="shared" si="45"/>
        <v>1.813157589886296E-2</v>
      </c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 t="s">
        <v>162</v>
      </c>
      <c r="T130" s="84">
        <f>AB56</f>
        <v>38934</v>
      </c>
      <c r="U130" s="84">
        <f t="shared" si="46"/>
        <v>19738</v>
      </c>
      <c r="V130" s="84">
        <f t="shared" si="47"/>
        <v>2.507278704517624E-2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 t="s">
        <v>162</v>
      </c>
      <c r="AJ130" s="84">
        <f>AR56</f>
        <v>58511</v>
      </c>
      <c r="AK130" s="84">
        <f t="shared" si="48"/>
        <v>36045</v>
      </c>
      <c r="AL130" s="84">
        <f t="shared" si="49"/>
        <v>4.422845910232609E-2</v>
      </c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 t="s">
        <v>162</v>
      </c>
      <c r="AZ130" s="84">
        <f>BH56</f>
        <v>46181</v>
      </c>
      <c r="BA130" s="84">
        <f t="shared" si="50"/>
        <v>24540</v>
      </c>
      <c r="BB130" s="84">
        <f t="shared" si="51"/>
        <v>3.0191594827321054E-2</v>
      </c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 t="s">
        <v>162</v>
      </c>
      <c r="BP130" s="84">
        <f>BX56</f>
        <v>90229</v>
      </c>
      <c r="BQ130" s="84">
        <f t="shared" si="52"/>
        <v>66929</v>
      </c>
      <c r="BR130" s="84">
        <f t="shared" si="53"/>
        <v>8.1103433567321928E-2</v>
      </c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 t="s">
        <v>162</v>
      </c>
      <c r="CF130" s="84">
        <f>CN56</f>
        <v>32254</v>
      </c>
      <c r="CG130" s="84">
        <f t="shared" si="54"/>
        <v>8618</v>
      </c>
      <c r="CH130" s="84">
        <f t="shared" si="55"/>
        <v>1.0402326702825756E-2</v>
      </c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T130" s="84"/>
      <c r="CU130" s="84" t="s">
        <v>162</v>
      </c>
      <c r="CV130" s="84">
        <f>DD56</f>
        <v>101082</v>
      </c>
      <c r="CW130" s="84">
        <f t="shared" si="56"/>
        <v>77510</v>
      </c>
      <c r="CX130" s="84">
        <f t="shared" si="57"/>
        <v>9.375396890995337E-2</v>
      </c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 t="s">
        <v>162</v>
      </c>
      <c r="DL130" s="84">
        <f>DT56</f>
        <v>24221</v>
      </c>
      <c r="DM130" s="84">
        <f t="shared" si="58"/>
        <v>-438</v>
      </c>
      <c r="DN130" s="84">
        <f t="shared" si="59"/>
        <v>-5.3958740042887746E-4</v>
      </c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</row>
    <row r="131" spans="1:128" x14ac:dyDescent="0.2">
      <c r="A131" s="84"/>
      <c r="B131" s="84"/>
      <c r="C131" s="84" t="s">
        <v>163</v>
      </c>
      <c r="D131" s="84">
        <f>M56</f>
        <v>32651</v>
      </c>
      <c r="E131" s="84">
        <f t="shared" si="44"/>
        <v>13648.333333333332</v>
      </c>
      <c r="F131" s="84">
        <f t="shared" si="45"/>
        <v>1.731094938159175E-2</v>
      </c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 t="s">
        <v>163</v>
      </c>
      <c r="T131" s="84">
        <f>AC56</f>
        <v>35399</v>
      </c>
      <c r="U131" s="84">
        <f t="shared" si="46"/>
        <v>16203</v>
      </c>
      <c r="V131" s="84">
        <f t="shared" si="47"/>
        <v>2.0582347172610729E-2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 t="s">
        <v>163</v>
      </c>
      <c r="AJ131" s="84">
        <f>AS56</f>
        <v>58844</v>
      </c>
      <c r="AK131" s="84">
        <f t="shared" si="48"/>
        <v>36378</v>
      </c>
      <c r="AL131" s="84">
        <f t="shared" si="49"/>
        <v>4.4637061595905629E-2</v>
      </c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 t="s">
        <v>163</v>
      </c>
      <c r="AZ131" s="84">
        <f>BI56</f>
        <v>40580</v>
      </c>
      <c r="BA131" s="84">
        <f t="shared" si="50"/>
        <v>18939</v>
      </c>
      <c r="BB131" s="84">
        <f t="shared" si="51"/>
        <v>2.3300677034826141E-2</v>
      </c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 t="s">
        <v>163</v>
      </c>
      <c r="BP131" s="84">
        <f>BY56</f>
        <v>80709</v>
      </c>
      <c r="BQ131" s="84">
        <f t="shared" si="52"/>
        <v>57409</v>
      </c>
      <c r="BR131" s="84">
        <f t="shared" si="53"/>
        <v>6.9567258104355129E-2</v>
      </c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 t="s">
        <v>163</v>
      </c>
      <c r="CF131" s="84">
        <f>CO56</f>
        <v>31835</v>
      </c>
      <c r="CG131" s="84">
        <f t="shared" si="54"/>
        <v>8199</v>
      </c>
      <c r="CH131" s="84">
        <f t="shared" si="55"/>
        <v>9.8965742209872788E-3</v>
      </c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T131" s="84"/>
      <c r="CU131" s="84" t="s">
        <v>163</v>
      </c>
      <c r="CV131" s="84">
        <f>DE56</f>
        <v>88053</v>
      </c>
      <c r="CW131" s="84">
        <f t="shared" si="56"/>
        <v>64481</v>
      </c>
      <c r="CX131" s="84">
        <f t="shared" si="57"/>
        <v>7.799444806196236E-2</v>
      </c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 t="s">
        <v>163</v>
      </c>
      <c r="DL131" s="84">
        <f>DU56</f>
        <v>24317</v>
      </c>
      <c r="DM131" s="84">
        <f t="shared" si="58"/>
        <v>-342</v>
      </c>
      <c r="DN131" s="84">
        <f t="shared" si="59"/>
        <v>-4.2132166882802763E-4</v>
      </c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</row>
    <row r="132" spans="1:128" x14ac:dyDescent="0.2">
      <c r="A132" s="84"/>
      <c r="B132" s="84"/>
      <c r="C132" s="84" t="s">
        <v>164</v>
      </c>
      <c r="D132" s="84">
        <f>N56</f>
        <v>34734</v>
      </c>
      <c r="E132" s="84">
        <f t="shared" si="44"/>
        <v>15731.333333333332</v>
      </c>
      <c r="F132" s="84">
        <f t="shared" si="45"/>
        <v>1.9952935526067681E-2</v>
      </c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 t="s">
        <v>164</v>
      </c>
      <c r="T132" s="84">
        <f>AD56</f>
        <v>34506</v>
      </c>
      <c r="U132" s="84">
        <f t="shared" si="46"/>
        <v>15310</v>
      </c>
      <c r="V132" s="84">
        <f t="shared" si="47"/>
        <v>1.9447987114279471E-2</v>
      </c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 t="s">
        <v>164</v>
      </c>
      <c r="AJ132" s="84">
        <f>AT56</f>
        <v>79358</v>
      </c>
      <c r="AK132" s="84">
        <f t="shared" si="48"/>
        <v>56892</v>
      </c>
      <c r="AL132" s="84">
        <f t="shared" si="49"/>
        <v>6.9808447641823715E-2</v>
      </c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 t="s">
        <v>164</v>
      </c>
      <c r="AZ132" s="84">
        <f>BJ56</f>
        <v>46536</v>
      </c>
      <c r="BA132" s="84">
        <f t="shared" si="50"/>
        <v>24895</v>
      </c>
      <c r="BB132" s="84">
        <f t="shared" si="51"/>
        <v>3.0628351802206914E-2</v>
      </c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 t="s">
        <v>164</v>
      </c>
      <c r="BP132" s="84">
        <f>BZ56</f>
        <v>95543</v>
      </c>
      <c r="BQ132" s="84">
        <f t="shared" si="52"/>
        <v>72243</v>
      </c>
      <c r="BR132" s="84">
        <f t="shared" si="53"/>
        <v>8.7542849156629229E-2</v>
      </c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 t="s">
        <v>164</v>
      </c>
      <c r="CF132" s="84">
        <f>CP56</f>
        <v>39535</v>
      </c>
      <c r="CG132" s="84">
        <f t="shared" si="54"/>
        <v>15899</v>
      </c>
      <c r="CH132" s="84">
        <f t="shared" si="55"/>
        <v>1.9190832240453318E-2</v>
      </c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T132" s="84"/>
      <c r="CU132" s="84" t="s">
        <v>164</v>
      </c>
      <c r="CV132" s="84">
        <f>DF56</f>
        <v>120320</v>
      </c>
      <c r="CW132" s="84">
        <f t="shared" si="56"/>
        <v>96748</v>
      </c>
      <c r="CX132" s="84">
        <f t="shared" si="57"/>
        <v>0.11702372576570982</v>
      </c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 t="s">
        <v>164</v>
      </c>
      <c r="DL132" s="84">
        <f>DV56</f>
        <v>24888</v>
      </c>
      <c r="DM132" s="84">
        <f t="shared" si="58"/>
        <v>229</v>
      </c>
      <c r="DN132" s="84">
        <f t="shared" si="59"/>
        <v>2.8211304725619393E-4</v>
      </c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</row>
    <row r="133" spans="1:128" x14ac:dyDescent="0.2">
      <c r="A133" s="84"/>
      <c r="B133" s="84"/>
      <c r="C133" s="84" t="s">
        <v>165</v>
      </c>
      <c r="D133" s="84">
        <f>E57</f>
        <v>18846</v>
      </c>
      <c r="E133" s="84">
        <f t="shared" si="44"/>
        <v>-156.66666666666788</v>
      </c>
      <c r="F133" s="84">
        <f t="shared" si="45"/>
        <v>-1.9870915152883593E-4</v>
      </c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 t="s">
        <v>165</v>
      </c>
      <c r="T133" s="84">
        <f>U57</f>
        <v>19167</v>
      </c>
      <c r="U133" s="84">
        <f t="shared" si="46"/>
        <v>-30</v>
      </c>
      <c r="V133" s="84">
        <f t="shared" si="47"/>
        <v>-3.8108400615831756E-5</v>
      </c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 t="s">
        <v>165</v>
      </c>
      <c r="AJ133" s="84">
        <f>AK57</f>
        <v>22613</v>
      </c>
      <c r="AK133" s="84">
        <f t="shared" si="48"/>
        <v>147</v>
      </c>
      <c r="AL133" s="84">
        <f t="shared" si="49"/>
        <v>1.8037407374232029E-4</v>
      </c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 t="s">
        <v>165</v>
      </c>
      <c r="AZ133" s="84">
        <f>BA57</f>
        <v>22409</v>
      </c>
      <c r="BA133" s="84">
        <f t="shared" si="50"/>
        <v>768</v>
      </c>
      <c r="BB133" s="84">
        <f t="shared" si="51"/>
        <v>9.4487142735870302E-4</v>
      </c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 t="s">
        <v>165</v>
      </c>
      <c r="BP133" s="84">
        <f>BQ57</f>
        <v>23565</v>
      </c>
      <c r="BQ133" s="84">
        <f t="shared" si="52"/>
        <v>265</v>
      </c>
      <c r="BR133" s="84">
        <f t="shared" si="53"/>
        <v>3.2112253126955896E-4</v>
      </c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 t="s">
        <v>165</v>
      </c>
      <c r="CF133" s="84">
        <f>CG57</f>
        <v>23810</v>
      </c>
      <c r="CG133" s="84">
        <f t="shared" si="54"/>
        <v>174</v>
      </c>
      <c r="CH133" s="84">
        <f t="shared" si="55"/>
        <v>2.1002609031001179E-4</v>
      </c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T133" s="84"/>
      <c r="CU133" s="84" t="s">
        <v>165</v>
      </c>
      <c r="CV133" s="84">
        <f>CW57</f>
        <v>24032</v>
      </c>
      <c r="CW133" s="84">
        <f t="shared" si="56"/>
        <v>460</v>
      </c>
      <c r="CX133" s="84">
        <f t="shared" si="57"/>
        <v>5.56403376320198E-4</v>
      </c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 t="s">
        <v>165</v>
      </c>
      <c r="DL133" s="84">
        <f>DM57</f>
        <v>24415</v>
      </c>
      <c r="DM133" s="84">
        <f t="shared" si="58"/>
        <v>-244</v>
      </c>
      <c r="DN133" s="84">
        <f t="shared" si="59"/>
        <v>-3.0059206781882675E-4</v>
      </c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</row>
    <row r="134" spans="1:128" x14ac:dyDescent="0.2">
      <c r="A134" s="84"/>
      <c r="B134" s="84"/>
      <c r="C134" s="84" t="s">
        <v>166</v>
      </c>
      <c r="D134" s="84">
        <f>F57</f>
        <v>786624</v>
      </c>
      <c r="E134" s="84">
        <f t="shared" si="44"/>
        <v>767621.33333333337</v>
      </c>
      <c r="F134" s="84">
        <f t="shared" si="45"/>
        <v>0.97361734367297381</v>
      </c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 t="s">
        <v>166</v>
      </c>
      <c r="T134" s="84">
        <f>V57</f>
        <v>786344</v>
      </c>
      <c r="U134" s="84">
        <f t="shared" si="46"/>
        <v>767148</v>
      </c>
      <c r="V134" s="84">
        <f t="shared" si="47"/>
        <v>0.97449277718780325</v>
      </c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 t="s">
        <v>166</v>
      </c>
      <c r="AJ134" s="84">
        <f>AL57</f>
        <v>813752</v>
      </c>
      <c r="AK134" s="84">
        <f t="shared" si="48"/>
        <v>791286</v>
      </c>
      <c r="AL134" s="84">
        <f t="shared" si="49"/>
        <v>0.97093523343718136</v>
      </c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 t="s">
        <v>166</v>
      </c>
      <c r="AZ134" s="84">
        <f>BB57</f>
        <v>813369</v>
      </c>
      <c r="BA134" s="84">
        <f t="shared" si="50"/>
        <v>791728</v>
      </c>
      <c r="BB134" s="84">
        <f t="shared" si="51"/>
        <v>0.9740640174998062</v>
      </c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 t="s">
        <v>166</v>
      </c>
      <c r="BP134" s="84">
        <f>BR57</f>
        <v>819642</v>
      </c>
      <c r="BQ134" s="84">
        <f t="shared" si="52"/>
        <v>796342</v>
      </c>
      <c r="BR134" s="84">
        <f t="shared" si="53"/>
        <v>0.96499380677835134</v>
      </c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 t="s">
        <v>166</v>
      </c>
      <c r="CF134" s="84">
        <f>CH57</f>
        <v>828513</v>
      </c>
      <c r="CG134" s="84">
        <f t="shared" si="54"/>
        <v>804877</v>
      </c>
      <c r="CH134" s="84">
        <f t="shared" si="55"/>
        <v>0.97152396258880092</v>
      </c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T134" s="84"/>
      <c r="CU134" s="84" t="s">
        <v>166</v>
      </c>
      <c r="CV134" s="84">
        <f>CX57</f>
        <v>824458</v>
      </c>
      <c r="CW134" s="84">
        <f t="shared" si="56"/>
        <v>800886</v>
      </c>
      <c r="CX134" s="84">
        <f t="shared" si="57"/>
        <v>0.96872972705995242</v>
      </c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 t="s">
        <v>166</v>
      </c>
      <c r="DL134" s="84">
        <f>DN57</f>
        <v>815465</v>
      </c>
      <c r="DM134" s="84">
        <f t="shared" si="58"/>
        <v>790806</v>
      </c>
      <c r="DN134" s="84">
        <f t="shared" si="59"/>
        <v>0.97422135567022583</v>
      </c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</row>
    <row r="135" spans="1:128" x14ac:dyDescent="0.2">
      <c r="A135" s="84"/>
      <c r="B135" s="84"/>
      <c r="C135" s="84" t="s">
        <v>167</v>
      </c>
      <c r="D135" s="84">
        <f>G57</f>
        <v>31129</v>
      </c>
      <c r="E135" s="84">
        <f t="shared" si="44"/>
        <v>12126.333333333332</v>
      </c>
      <c r="F135" s="84">
        <f t="shared" si="45"/>
        <v>1.5380511113760565E-2</v>
      </c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 t="s">
        <v>167</v>
      </c>
      <c r="T135" s="84">
        <f>W57</f>
        <v>37513</v>
      </c>
      <c r="U135" s="84">
        <f t="shared" si="46"/>
        <v>18317</v>
      </c>
      <c r="V135" s="84">
        <f t="shared" si="47"/>
        <v>2.3267719136006341E-2</v>
      </c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 t="s">
        <v>167</v>
      </c>
      <c r="AJ135" s="84">
        <f>AM57</f>
        <v>51010</v>
      </c>
      <c r="AK135" s="84">
        <f t="shared" si="48"/>
        <v>28544</v>
      </c>
      <c r="AL135" s="84">
        <f t="shared" si="49"/>
        <v>3.5024473203406736E-2</v>
      </c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 t="s">
        <v>167</v>
      </c>
      <c r="AZ135" s="84">
        <f>BC57</f>
        <v>37644</v>
      </c>
      <c r="BA135" s="84">
        <f t="shared" si="50"/>
        <v>16003</v>
      </c>
      <c r="BB135" s="84">
        <f t="shared" si="51"/>
        <v>1.9688512307319432E-2</v>
      </c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 t="s">
        <v>167</v>
      </c>
      <c r="BP135" s="84">
        <f>BS57</f>
        <v>48897</v>
      </c>
      <c r="BQ135" s="84">
        <f t="shared" si="52"/>
        <v>25597</v>
      </c>
      <c r="BR135" s="84">
        <f t="shared" si="53"/>
        <v>3.1018012954365664E-2</v>
      </c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 t="s">
        <v>167</v>
      </c>
      <c r="CF135" s="84">
        <f>CI57</f>
        <v>32201</v>
      </c>
      <c r="CG135" s="84">
        <f t="shared" si="54"/>
        <v>8565</v>
      </c>
      <c r="CH135" s="84">
        <f t="shared" si="55"/>
        <v>1.0338353238535925E-2</v>
      </c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T135" s="84"/>
      <c r="CU135" s="84" t="s">
        <v>167</v>
      </c>
      <c r="CV135" s="84">
        <f>CY57</f>
        <v>33674</v>
      </c>
      <c r="CW135" s="84">
        <f t="shared" si="56"/>
        <v>10102</v>
      </c>
      <c r="CX135" s="84">
        <f t="shared" si="57"/>
        <v>1.2219101973014436E-2</v>
      </c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 t="s">
        <v>167</v>
      </c>
      <c r="DL135" s="84">
        <f>DO57</f>
        <v>24185</v>
      </c>
      <c r="DM135" s="84">
        <f t="shared" si="58"/>
        <v>-474</v>
      </c>
      <c r="DN135" s="84">
        <f t="shared" si="59"/>
        <v>-5.8393704977919626E-4</v>
      </c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</row>
    <row r="136" spans="1:128" x14ac:dyDescent="0.2">
      <c r="A136" s="84"/>
      <c r="B136" s="84"/>
      <c r="C136" s="84" t="s">
        <v>168</v>
      </c>
      <c r="D136" s="84">
        <f>H57</f>
        <v>30435</v>
      </c>
      <c r="E136" s="84">
        <f t="shared" si="44"/>
        <v>11432.333333333332</v>
      </c>
      <c r="F136" s="84">
        <f t="shared" si="45"/>
        <v>1.4500271851030706E-2</v>
      </c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 t="s">
        <v>168</v>
      </c>
      <c r="T136" s="84">
        <f>X57</f>
        <v>33772</v>
      </c>
      <c r="U136" s="84">
        <f t="shared" si="46"/>
        <v>14576</v>
      </c>
      <c r="V136" s="84">
        <f t="shared" si="47"/>
        <v>1.8515601579212122E-2</v>
      </c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 t="s">
        <v>168</v>
      </c>
      <c r="AJ136" s="84">
        <f>AN57</f>
        <v>44042</v>
      </c>
      <c r="AK136" s="84">
        <f t="shared" si="48"/>
        <v>21576</v>
      </c>
      <c r="AL136" s="84">
        <f t="shared" si="49"/>
        <v>2.6474496701117706E-2</v>
      </c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 t="s">
        <v>168</v>
      </c>
      <c r="AZ136" s="84">
        <f>BD57</f>
        <v>36869</v>
      </c>
      <c r="BA136" s="84">
        <f t="shared" si="50"/>
        <v>15228</v>
      </c>
      <c r="BB136" s="84">
        <f t="shared" si="51"/>
        <v>1.8735028770596782E-2</v>
      </c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 t="s">
        <v>168</v>
      </c>
      <c r="BP136" s="84">
        <f>BT57</f>
        <v>46845</v>
      </c>
      <c r="BQ136" s="84">
        <f t="shared" si="52"/>
        <v>23545</v>
      </c>
      <c r="BR136" s="84">
        <f t="shared" si="53"/>
        <v>2.8531433957516096E-2</v>
      </c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 t="s">
        <v>168</v>
      </c>
      <c r="CF136" s="84">
        <f>CJ57</f>
        <v>30924</v>
      </c>
      <c r="CG136" s="84">
        <f t="shared" si="54"/>
        <v>7288</v>
      </c>
      <c r="CH136" s="84">
        <f t="shared" si="55"/>
        <v>8.7969548630998044E-3</v>
      </c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T136" s="84"/>
      <c r="CU136" s="84" t="s">
        <v>168</v>
      </c>
      <c r="CV136" s="84">
        <f>CZ57</f>
        <v>34969</v>
      </c>
      <c r="CW136" s="84">
        <f t="shared" si="56"/>
        <v>11397</v>
      </c>
      <c r="CX136" s="84">
        <f t="shared" si="57"/>
        <v>1.3785498434611515E-2</v>
      </c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 t="s">
        <v>168</v>
      </c>
      <c r="DL136" s="84">
        <f>DP57</f>
        <v>24245</v>
      </c>
      <c r="DM136" s="84">
        <f t="shared" si="58"/>
        <v>-414</v>
      </c>
      <c r="DN136" s="84">
        <f t="shared" si="59"/>
        <v>-5.1002096752866507E-4</v>
      </c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</row>
    <row r="137" spans="1:128" x14ac:dyDescent="0.2">
      <c r="A137" s="84"/>
      <c r="B137" s="84"/>
      <c r="C137" s="84" t="s">
        <v>169</v>
      </c>
      <c r="D137" s="84">
        <f>I57</f>
        <v>30795</v>
      </c>
      <c r="E137" s="84">
        <f t="shared" si="44"/>
        <v>11792.333333333332</v>
      </c>
      <c r="F137" s="84">
        <f t="shared" si="45"/>
        <v>1.4956880114118241E-2</v>
      </c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 t="s">
        <v>169</v>
      </c>
      <c r="T137" s="84">
        <f>Y57</f>
        <v>35302</v>
      </c>
      <c r="U137" s="84">
        <f t="shared" si="46"/>
        <v>16106</v>
      </c>
      <c r="V137" s="84">
        <f t="shared" si="47"/>
        <v>2.0459130010619542E-2</v>
      </c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 t="s">
        <v>169</v>
      </c>
      <c r="AJ137" s="84">
        <f>AO57</f>
        <v>51194</v>
      </c>
      <c r="AK137" s="84">
        <f t="shared" si="48"/>
        <v>28728</v>
      </c>
      <c r="AL137" s="84">
        <f t="shared" si="49"/>
        <v>3.5250247554213451E-2</v>
      </c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 t="s">
        <v>169</v>
      </c>
      <c r="AZ137" s="84">
        <f>BE57</f>
        <v>40987</v>
      </c>
      <c r="BA137" s="84">
        <f t="shared" si="50"/>
        <v>19346</v>
      </c>
      <c r="BB137" s="84">
        <f t="shared" si="51"/>
        <v>2.3801409679272745E-2</v>
      </c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 t="s">
        <v>169</v>
      </c>
      <c r="BP137" s="84">
        <f>BU57</f>
        <v>43350</v>
      </c>
      <c r="BQ137" s="84">
        <f t="shared" si="52"/>
        <v>20050</v>
      </c>
      <c r="BR137" s="84">
        <f t="shared" si="53"/>
        <v>2.4296251894168518E-2</v>
      </c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 t="s">
        <v>169</v>
      </c>
      <c r="CF137" s="84">
        <f>CK57</f>
        <v>32955</v>
      </c>
      <c r="CG137" s="84">
        <f t="shared" si="54"/>
        <v>9319</v>
      </c>
      <c r="CH137" s="84">
        <f t="shared" si="55"/>
        <v>1.1248466296545976E-2</v>
      </c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T137" s="84"/>
      <c r="CU137" s="84" t="s">
        <v>169</v>
      </c>
      <c r="CV137" s="84">
        <f>DA57</f>
        <v>34471</v>
      </c>
      <c r="CW137" s="84">
        <f t="shared" si="56"/>
        <v>10899</v>
      </c>
      <c r="CX137" s="84">
        <f t="shared" si="57"/>
        <v>1.318313130111704E-2</v>
      </c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 t="s">
        <v>169</v>
      </c>
      <c r="DL137" s="84">
        <f>DQ57</f>
        <v>24792</v>
      </c>
      <c r="DM137" s="84">
        <f t="shared" si="58"/>
        <v>133</v>
      </c>
      <c r="DN137" s="84">
        <f t="shared" si="59"/>
        <v>1.6384731565534407E-4</v>
      </c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</row>
    <row r="138" spans="1:128" x14ac:dyDescent="0.2">
      <c r="A138" s="84"/>
      <c r="B138" s="84"/>
      <c r="C138" s="84" t="s">
        <v>170</v>
      </c>
      <c r="D138" s="84">
        <f>J57</f>
        <v>32082</v>
      </c>
      <c r="E138" s="84">
        <f t="shared" si="44"/>
        <v>13079.333333333332</v>
      </c>
      <c r="F138" s="84">
        <f t="shared" si="45"/>
        <v>1.6589254654656178E-2</v>
      </c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 t="s">
        <v>170</v>
      </c>
      <c r="T138" s="84">
        <f>Z57</f>
        <v>35068</v>
      </c>
      <c r="U138" s="84">
        <f t="shared" si="46"/>
        <v>15872</v>
      </c>
      <c r="V138" s="84">
        <f t="shared" si="47"/>
        <v>2.0161884485816052E-2</v>
      </c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 t="s">
        <v>170</v>
      </c>
      <c r="AJ138" s="84">
        <f>AP57</f>
        <v>56900</v>
      </c>
      <c r="AK138" s="84">
        <f t="shared" si="48"/>
        <v>34434</v>
      </c>
      <c r="AL138" s="84">
        <f t="shared" si="49"/>
        <v>4.2251706498252092E-2</v>
      </c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 t="s">
        <v>170</v>
      </c>
      <c r="AZ138" s="84">
        <f>BF57</f>
        <v>38970</v>
      </c>
      <c r="BA138" s="84">
        <f t="shared" si="50"/>
        <v>17329</v>
      </c>
      <c r="BB138" s="84">
        <f t="shared" si="51"/>
        <v>2.1319891881118443E-2</v>
      </c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 t="s">
        <v>170</v>
      </c>
      <c r="BP138" s="84">
        <f>BV57</f>
        <v>49746</v>
      </c>
      <c r="BQ138" s="84">
        <f t="shared" si="52"/>
        <v>26446</v>
      </c>
      <c r="BR138" s="84">
        <f t="shared" si="53"/>
        <v>3.204681683756512E-2</v>
      </c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 t="s">
        <v>170</v>
      </c>
      <c r="CF138" s="84">
        <f>CL57</f>
        <v>30886</v>
      </c>
      <c r="CG138" s="84">
        <f t="shared" si="54"/>
        <v>7250</v>
      </c>
      <c r="CH138" s="84">
        <f t="shared" si="55"/>
        <v>8.7510870962504914E-3</v>
      </c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T138" s="84"/>
      <c r="CU138" s="84" t="s">
        <v>170</v>
      </c>
      <c r="CV138" s="84">
        <f>DB57</f>
        <v>35559</v>
      </c>
      <c r="CW138" s="84">
        <f t="shared" si="56"/>
        <v>11987</v>
      </c>
      <c r="CX138" s="84">
        <f t="shared" si="57"/>
        <v>1.449914624337003E-2</v>
      </c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 t="s">
        <v>170</v>
      </c>
      <c r="DL138" s="84">
        <f>DR57</f>
        <v>24325</v>
      </c>
      <c r="DM138" s="84">
        <f t="shared" si="58"/>
        <v>-334</v>
      </c>
      <c r="DN138" s="84">
        <f t="shared" si="59"/>
        <v>-4.1146619119462348E-4</v>
      </c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</row>
    <row r="139" spans="1:128" x14ac:dyDescent="0.2">
      <c r="A139" s="84"/>
      <c r="B139" s="84"/>
      <c r="C139" s="84" t="s">
        <v>171</v>
      </c>
      <c r="D139" s="84">
        <f>K57</f>
        <v>32295</v>
      </c>
      <c r="E139" s="84">
        <f t="shared" si="44"/>
        <v>13292.333333333332</v>
      </c>
      <c r="F139" s="84">
        <f t="shared" si="45"/>
        <v>1.6859414543649635E-2</v>
      </c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 t="s">
        <v>171</v>
      </c>
      <c r="T139" s="84">
        <f>AA57</f>
        <v>36179</v>
      </c>
      <c r="U139" s="84">
        <f t="shared" si="46"/>
        <v>16983</v>
      </c>
      <c r="V139" s="84">
        <f t="shared" si="47"/>
        <v>2.1573165588622358E-2</v>
      </c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 t="s">
        <v>171</v>
      </c>
      <c r="AJ139" s="84">
        <f>AQ57</f>
        <v>53103</v>
      </c>
      <c r="AK139" s="84">
        <f t="shared" si="48"/>
        <v>30637</v>
      </c>
      <c r="AL139" s="84">
        <f t="shared" si="49"/>
        <v>3.7592656443833111E-2</v>
      </c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 t="s">
        <v>171</v>
      </c>
      <c r="AZ139" s="84">
        <f>BG57</f>
        <v>39980</v>
      </c>
      <c r="BA139" s="84">
        <f t="shared" si="50"/>
        <v>18339</v>
      </c>
      <c r="BB139" s="84">
        <f t="shared" si="51"/>
        <v>2.2562496232202155E-2</v>
      </c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 t="s">
        <v>171</v>
      </c>
      <c r="BP139" s="84">
        <f>BW57</f>
        <v>51693</v>
      </c>
      <c r="BQ139" s="84">
        <f t="shared" si="52"/>
        <v>28393</v>
      </c>
      <c r="BR139" s="84">
        <f t="shared" si="53"/>
        <v>3.4406158605043723E-2</v>
      </c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 t="s">
        <v>171</v>
      </c>
      <c r="CF139" s="84">
        <f>CM57</f>
        <v>30460</v>
      </c>
      <c r="CG139" s="84">
        <f t="shared" si="54"/>
        <v>6824</v>
      </c>
      <c r="CH139" s="84">
        <f t="shared" si="55"/>
        <v>8.2368852889397725E-3</v>
      </c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T139" s="84"/>
      <c r="CU139" s="84" t="s">
        <v>171</v>
      </c>
      <c r="CV139" s="84">
        <f>DC57</f>
        <v>33879</v>
      </c>
      <c r="CW139" s="84">
        <f t="shared" si="56"/>
        <v>10307</v>
      </c>
      <c r="CX139" s="84">
        <f t="shared" si="57"/>
        <v>1.2467064347244089E-2</v>
      </c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 t="s">
        <v>171</v>
      </c>
      <c r="DL139" s="84">
        <f>DS57</f>
        <v>24864</v>
      </c>
      <c r="DM139" s="84">
        <f t="shared" si="58"/>
        <v>205</v>
      </c>
      <c r="DN139" s="84">
        <f t="shared" si="59"/>
        <v>2.5254661435598148E-4</v>
      </c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</row>
    <row r="140" spans="1:128" x14ac:dyDescent="0.2">
      <c r="A140" s="84"/>
      <c r="B140" s="84"/>
      <c r="C140" s="84" t="s">
        <v>172</v>
      </c>
      <c r="D140" s="84">
        <f>L57</f>
        <v>33119</v>
      </c>
      <c r="E140" s="84">
        <f t="shared" si="44"/>
        <v>14116.333333333332</v>
      </c>
      <c r="F140" s="84">
        <f t="shared" si="45"/>
        <v>1.7904540123605546E-2</v>
      </c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 t="s">
        <v>172</v>
      </c>
      <c r="T140" s="84">
        <f>AB57</f>
        <v>36954</v>
      </c>
      <c r="U140" s="84">
        <f t="shared" si="46"/>
        <v>17758</v>
      </c>
      <c r="V140" s="84">
        <f t="shared" si="47"/>
        <v>2.2557632604531343E-2</v>
      </c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 t="s">
        <v>172</v>
      </c>
      <c r="AJ140" s="84">
        <f>AR57</f>
        <v>60608</v>
      </c>
      <c r="AK140" s="84">
        <f t="shared" si="48"/>
        <v>38142</v>
      </c>
      <c r="AL140" s="84">
        <f t="shared" si="49"/>
        <v>4.6801550480813477E-2</v>
      </c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 t="s">
        <v>172</v>
      </c>
      <c r="AZ140" s="84">
        <f>BH57</f>
        <v>43283</v>
      </c>
      <c r="BA140" s="84">
        <f t="shared" si="50"/>
        <v>21642</v>
      </c>
      <c r="BB140" s="84">
        <f t="shared" si="51"/>
        <v>2.66261815506472E-2</v>
      </c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 t="s">
        <v>172</v>
      </c>
      <c r="BP140" s="84">
        <f>BX57</f>
        <v>57691</v>
      </c>
      <c r="BQ140" s="84">
        <f t="shared" si="52"/>
        <v>34391</v>
      </c>
      <c r="BR140" s="84">
        <f t="shared" si="53"/>
        <v>4.1674433859967552E-2</v>
      </c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 t="s">
        <v>172</v>
      </c>
      <c r="CF140" s="84">
        <f>CN57</f>
        <v>33967</v>
      </c>
      <c r="CG140" s="84">
        <f t="shared" si="54"/>
        <v>10331</v>
      </c>
      <c r="CH140" s="84">
        <f t="shared" si="55"/>
        <v>1.2469997350532941E-2</v>
      </c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T140" s="84"/>
      <c r="CU140" s="84" t="s">
        <v>172</v>
      </c>
      <c r="CV140" s="84">
        <f>DD57</f>
        <v>36072</v>
      </c>
      <c r="CW140" s="84">
        <f t="shared" si="56"/>
        <v>12500</v>
      </c>
      <c r="CX140" s="84">
        <f t="shared" si="57"/>
        <v>1.5119656965222772E-2</v>
      </c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 t="s">
        <v>172</v>
      </c>
      <c r="DL140" s="84">
        <f>DT57</f>
        <v>25117</v>
      </c>
      <c r="DM140" s="84">
        <f t="shared" si="58"/>
        <v>458</v>
      </c>
      <c r="DN140" s="84">
        <f t="shared" si="59"/>
        <v>5.6422609451238785E-4</v>
      </c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</row>
    <row r="141" spans="1:128" x14ac:dyDescent="0.2">
      <c r="A141" s="84"/>
      <c r="B141" s="84"/>
      <c r="C141" s="84" t="s">
        <v>173</v>
      </c>
      <c r="D141" s="84">
        <f>M57</f>
        <v>34409</v>
      </c>
      <c r="E141" s="84">
        <f t="shared" si="44"/>
        <v>15406.333333333332</v>
      </c>
      <c r="F141" s="84">
        <f t="shared" si="45"/>
        <v>1.9540719733002546E-2</v>
      </c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 t="s">
        <v>173</v>
      </c>
      <c r="T141" s="84">
        <f>AC57</f>
        <v>37225</v>
      </c>
      <c r="U141" s="84">
        <f t="shared" si="46"/>
        <v>18029</v>
      </c>
      <c r="V141" s="84">
        <f t="shared" si="47"/>
        <v>2.2901878490094358E-2</v>
      </c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 t="s">
        <v>173</v>
      </c>
      <c r="AJ141" s="84">
        <f>AS57</f>
        <v>63856</v>
      </c>
      <c r="AK141" s="84">
        <f t="shared" si="48"/>
        <v>41390</v>
      </c>
      <c r="AL141" s="84">
        <f t="shared" si="49"/>
        <v>5.0786958586358073E-2</v>
      </c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 t="s">
        <v>173</v>
      </c>
      <c r="AZ141" s="84">
        <f>BI57</f>
        <v>43756</v>
      </c>
      <c r="BA141" s="84">
        <f t="shared" si="50"/>
        <v>22115</v>
      </c>
      <c r="BB141" s="84">
        <f t="shared" si="51"/>
        <v>2.7208114083382442E-2</v>
      </c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 t="s">
        <v>173</v>
      </c>
      <c r="BP141" s="84">
        <f>BY57</f>
        <v>57918</v>
      </c>
      <c r="BQ141" s="84">
        <f t="shared" si="52"/>
        <v>34618</v>
      </c>
      <c r="BR141" s="84">
        <f t="shared" si="53"/>
        <v>4.1949508632036198E-2</v>
      </c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 t="s">
        <v>173</v>
      </c>
      <c r="CF141" s="84">
        <f>CO57</f>
        <v>31616</v>
      </c>
      <c r="CG141" s="84">
        <f t="shared" si="54"/>
        <v>7980</v>
      </c>
      <c r="CH141" s="84">
        <f t="shared" si="55"/>
        <v>9.6322310383557125E-3</v>
      </c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T141" s="84"/>
      <c r="CU141" s="84" t="s">
        <v>173</v>
      </c>
      <c r="CV141" s="84">
        <f>DE57</f>
        <v>37656</v>
      </c>
      <c r="CW141" s="84">
        <f t="shared" si="56"/>
        <v>14084</v>
      </c>
      <c r="CX141" s="84">
        <f t="shared" si="57"/>
        <v>1.7035619895855801E-2</v>
      </c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 t="s">
        <v>173</v>
      </c>
      <c r="DL141" s="84">
        <f>DU57</f>
        <v>24329</v>
      </c>
      <c r="DM141" s="84">
        <f t="shared" si="58"/>
        <v>-330</v>
      </c>
      <c r="DN141" s="84">
        <f t="shared" si="59"/>
        <v>-4.0653845237792143E-4</v>
      </c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</row>
    <row r="142" spans="1:128" x14ac:dyDescent="0.2">
      <c r="A142" s="84"/>
      <c r="B142" s="84"/>
      <c r="C142" s="84" t="s">
        <v>174</v>
      </c>
      <c r="D142" s="84">
        <f>N57</f>
        <v>35347</v>
      </c>
      <c r="E142" s="84">
        <f t="shared" si="44"/>
        <v>16344.333333333332</v>
      </c>
      <c r="F142" s="84">
        <f t="shared" si="45"/>
        <v>2.0730437929602843E-2</v>
      </c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 t="s">
        <v>174</v>
      </c>
      <c r="T142" s="84">
        <f>AD57</f>
        <v>33485</v>
      </c>
      <c r="U142" s="84">
        <f t="shared" si="46"/>
        <v>14289</v>
      </c>
      <c r="V142" s="84">
        <f t="shared" si="47"/>
        <v>1.8151031213320665E-2</v>
      </c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 t="s">
        <v>174</v>
      </c>
      <c r="AJ142" s="84">
        <f>AT57</f>
        <v>76151</v>
      </c>
      <c r="AK142" s="84">
        <f t="shared" si="48"/>
        <v>53685</v>
      </c>
      <c r="AL142" s="84">
        <f t="shared" si="49"/>
        <v>6.5873347951404523E-2</v>
      </c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 t="s">
        <v>174</v>
      </c>
      <c r="AZ142" s="84">
        <f>BJ57</f>
        <v>46903</v>
      </c>
      <c r="BA142" s="84">
        <f t="shared" si="50"/>
        <v>25262</v>
      </c>
      <c r="BB142" s="84">
        <f t="shared" si="51"/>
        <v>3.1079872393145254E-2</v>
      </c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 t="s">
        <v>174</v>
      </c>
      <c r="BP142" s="84">
        <f>BZ57</f>
        <v>61338</v>
      </c>
      <c r="BQ142" s="84">
        <f t="shared" si="52"/>
        <v>38038</v>
      </c>
      <c r="BR142" s="84">
        <f t="shared" si="53"/>
        <v>4.6093806960118805E-2</v>
      </c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 t="s">
        <v>174</v>
      </c>
      <c r="CF142" s="84">
        <f>CP57</f>
        <v>37663</v>
      </c>
      <c r="CG142" s="84">
        <f t="shared" si="54"/>
        <v>14027</v>
      </c>
      <c r="CH142" s="84">
        <f t="shared" si="55"/>
        <v>1.6931241199876639E-2</v>
      </c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T142" s="84"/>
      <c r="CU142" s="84" t="s">
        <v>174</v>
      </c>
      <c r="CV142" s="84">
        <f>DF57</f>
        <v>46514</v>
      </c>
      <c r="CW142" s="84">
        <f t="shared" si="56"/>
        <v>22942</v>
      </c>
      <c r="CX142" s="84">
        <f t="shared" si="57"/>
        <v>2.7750013607691266E-2</v>
      </c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 t="s">
        <v>174</v>
      </c>
      <c r="DL142" s="84">
        <f>DV57</f>
        <v>25355</v>
      </c>
      <c r="DM142" s="84">
        <f t="shared" si="58"/>
        <v>696</v>
      </c>
      <c r="DN142" s="84">
        <f t="shared" si="59"/>
        <v>8.5742655410616156E-4</v>
      </c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</row>
    <row r="143" spans="1:128" x14ac:dyDescent="0.2">
      <c r="A143" s="84"/>
      <c r="B143" s="84"/>
      <c r="C143" s="84" t="s">
        <v>175</v>
      </c>
      <c r="D143" s="84">
        <f>E58</f>
        <v>19072</v>
      </c>
      <c r="E143" s="84">
        <f t="shared" si="44"/>
        <v>69.333333333332121</v>
      </c>
      <c r="F143" s="84">
        <f t="shared" si="45"/>
        <v>8.7939369187227298E-5</v>
      </c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 t="s">
        <v>175</v>
      </c>
      <c r="T143" s="84">
        <f>U58</f>
        <v>19277</v>
      </c>
      <c r="U143" s="84">
        <f t="shared" si="46"/>
        <v>81</v>
      </c>
      <c r="V143" s="84">
        <f t="shared" si="47"/>
        <v>1.0289268166274573E-4</v>
      </c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 t="s">
        <v>175</v>
      </c>
      <c r="AJ143" s="84">
        <f>AK58</f>
        <v>23169</v>
      </c>
      <c r="AK143" s="84">
        <f t="shared" si="48"/>
        <v>703</v>
      </c>
      <c r="AL143" s="84">
        <f t="shared" si="49"/>
        <v>8.6260526422347731E-4</v>
      </c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 t="s">
        <v>175</v>
      </c>
      <c r="AZ143" s="84">
        <f>BA58</f>
        <v>22860</v>
      </c>
      <c r="BA143" s="84">
        <f t="shared" si="50"/>
        <v>1219</v>
      </c>
      <c r="BB143" s="84">
        <f t="shared" si="51"/>
        <v>1.4997373306643996E-3</v>
      </c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 t="s">
        <v>175</v>
      </c>
      <c r="BP143" s="84">
        <f>BQ58</f>
        <v>478282</v>
      </c>
      <c r="BQ143" s="84">
        <f t="shared" si="52"/>
        <v>454982</v>
      </c>
      <c r="BR143" s="84">
        <f t="shared" si="53"/>
        <v>0.55133951517768476</v>
      </c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 t="s">
        <v>175</v>
      </c>
      <c r="CF143" s="84">
        <f>CG58</f>
        <v>23897</v>
      </c>
      <c r="CG143" s="84">
        <f t="shared" si="54"/>
        <v>261</v>
      </c>
      <c r="CH143" s="84">
        <f t="shared" si="55"/>
        <v>3.1503913546501771E-4</v>
      </c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T143" s="84"/>
      <c r="CU143" s="84" t="s">
        <v>175</v>
      </c>
      <c r="CV143" s="84">
        <f>CW58</f>
        <v>74</v>
      </c>
      <c r="CW143" s="84">
        <f t="shared" si="56"/>
        <v>-23498</v>
      </c>
      <c r="CX143" s="84">
        <f t="shared" si="57"/>
        <v>-2.8422535949504377E-2</v>
      </c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 t="s">
        <v>175</v>
      </c>
      <c r="DL143" s="84">
        <f>DM58</f>
        <v>24194</v>
      </c>
      <c r="DM143" s="84">
        <f t="shared" si="58"/>
        <v>-465</v>
      </c>
      <c r="DN143" s="84">
        <f t="shared" si="59"/>
        <v>-5.7284963744161658E-4</v>
      </c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</row>
    <row r="144" spans="1:128" x14ac:dyDescent="0.2">
      <c r="A144" s="84"/>
      <c r="B144" s="84"/>
      <c r="C144" s="84" t="s">
        <v>176</v>
      </c>
      <c r="D144" s="84">
        <f>F58</f>
        <v>795097</v>
      </c>
      <c r="E144" s="84">
        <f t="shared" si="44"/>
        <v>776094.33333333337</v>
      </c>
      <c r="F144" s="84">
        <f t="shared" si="45"/>
        <v>0.98436412648725347</v>
      </c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 t="s">
        <v>176</v>
      </c>
      <c r="T144" s="84">
        <f>V58</f>
        <v>790328</v>
      </c>
      <c r="U144" s="84">
        <f t="shared" si="46"/>
        <v>771132</v>
      </c>
      <c r="V144" s="84">
        <f t="shared" si="47"/>
        <v>0.97955357278958577</v>
      </c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 t="s">
        <v>176</v>
      </c>
      <c r="AJ144" s="84">
        <f>AL58</f>
        <v>817757</v>
      </c>
      <c r="AK144" s="84">
        <f t="shared" si="48"/>
        <v>795291</v>
      </c>
      <c r="AL144" s="84">
        <f t="shared" si="49"/>
        <v>0.97584950667077319</v>
      </c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 t="s">
        <v>176</v>
      </c>
      <c r="AZ144" s="84">
        <f>BB58</f>
        <v>810454</v>
      </c>
      <c r="BA144" s="84">
        <f t="shared" si="50"/>
        <v>788813</v>
      </c>
      <c r="BB144" s="84">
        <f t="shared" si="51"/>
        <v>0.97047768910039134</v>
      </c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 t="s">
        <v>176</v>
      </c>
      <c r="BP144" s="84">
        <f>BR58</f>
        <v>824079</v>
      </c>
      <c r="BQ144" s="84">
        <f t="shared" si="52"/>
        <v>800779</v>
      </c>
      <c r="BR144" s="84">
        <f t="shared" si="53"/>
        <v>0.970370488556627</v>
      </c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 t="s">
        <v>176</v>
      </c>
      <c r="CF144" s="84">
        <f>CH58</f>
        <v>833435</v>
      </c>
      <c r="CG144" s="84">
        <f t="shared" si="54"/>
        <v>809799</v>
      </c>
      <c r="CH144" s="84">
        <f t="shared" si="55"/>
        <v>0.97746504544228296</v>
      </c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T144" s="84"/>
      <c r="CU144" s="84" t="s">
        <v>176</v>
      </c>
      <c r="CV144" s="84">
        <f>CX58</f>
        <v>823558</v>
      </c>
      <c r="CW144" s="84">
        <f t="shared" si="56"/>
        <v>799986</v>
      </c>
      <c r="CX144" s="84">
        <f t="shared" si="57"/>
        <v>0.96764111175845635</v>
      </c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 t="s">
        <v>176</v>
      </c>
      <c r="DL144" s="84">
        <f>DN58</f>
        <v>810755</v>
      </c>
      <c r="DM144" s="84">
        <f t="shared" si="58"/>
        <v>786096</v>
      </c>
      <c r="DN144" s="84">
        <f t="shared" si="59"/>
        <v>0.96841894321355915</v>
      </c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</row>
    <row r="145" spans="1:128" x14ac:dyDescent="0.2">
      <c r="A145" s="84"/>
      <c r="B145" s="84"/>
      <c r="C145" s="84" t="s">
        <v>177</v>
      </c>
      <c r="D145" s="84">
        <f>G58</f>
        <v>30495</v>
      </c>
      <c r="E145" s="84">
        <f t="shared" si="44"/>
        <v>11492.333333333332</v>
      </c>
      <c r="F145" s="84">
        <f t="shared" si="45"/>
        <v>1.4576373228211963E-2</v>
      </c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 t="s">
        <v>177</v>
      </c>
      <c r="T145" s="84">
        <f>W58</f>
        <v>33680</v>
      </c>
      <c r="U145" s="84">
        <f t="shared" si="46"/>
        <v>14484</v>
      </c>
      <c r="V145" s="84">
        <f t="shared" si="47"/>
        <v>1.8398735817323569E-2</v>
      </c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 t="s">
        <v>177</v>
      </c>
      <c r="AJ145" s="84">
        <f>AM58</f>
        <v>42981</v>
      </c>
      <c r="AK145" s="84">
        <f t="shared" si="48"/>
        <v>20515</v>
      </c>
      <c r="AL145" s="84">
        <f t="shared" si="49"/>
        <v>2.517261308043334E-2</v>
      </c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 t="s">
        <v>177</v>
      </c>
      <c r="AZ145" s="84">
        <f>BC58</f>
        <v>44244</v>
      </c>
      <c r="BA145" s="84">
        <f t="shared" si="50"/>
        <v>22603</v>
      </c>
      <c r="BB145" s="84">
        <f t="shared" si="51"/>
        <v>2.7808501136183286E-2</v>
      </c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 t="s">
        <v>177</v>
      </c>
      <c r="BP145" s="84">
        <f>BS58</f>
        <v>34721</v>
      </c>
      <c r="BQ145" s="84">
        <f t="shared" si="52"/>
        <v>11421</v>
      </c>
      <c r="BR145" s="84">
        <f t="shared" si="53"/>
        <v>1.3839775206149558E-2</v>
      </c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 t="s">
        <v>177</v>
      </c>
      <c r="CF145" s="84">
        <f>CI58</f>
        <v>30144</v>
      </c>
      <c r="CG145" s="84">
        <f t="shared" si="54"/>
        <v>6508</v>
      </c>
      <c r="CH145" s="84">
        <f t="shared" si="55"/>
        <v>7.8554585961928547E-3</v>
      </c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T145" s="84"/>
      <c r="CU145" s="84" t="s">
        <v>177</v>
      </c>
      <c r="CV145" s="84">
        <f>CY58</f>
        <v>26479</v>
      </c>
      <c r="CW145" s="84">
        <f t="shared" si="56"/>
        <v>2907</v>
      </c>
      <c r="CX145" s="84">
        <f t="shared" si="57"/>
        <v>3.5162274238322079E-3</v>
      </c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 t="s">
        <v>177</v>
      </c>
      <c r="DL145" s="84">
        <f>DO58</f>
        <v>25420</v>
      </c>
      <c r="DM145" s="84">
        <f t="shared" si="58"/>
        <v>761</v>
      </c>
      <c r="DN145" s="84">
        <f t="shared" si="59"/>
        <v>9.3750230987757032E-4</v>
      </c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</row>
    <row r="146" spans="1:128" x14ac:dyDescent="0.2">
      <c r="A146" s="84"/>
      <c r="B146" s="84"/>
      <c r="C146" s="84" t="s">
        <v>178</v>
      </c>
      <c r="D146" s="84">
        <f>H58</f>
        <v>32275</v>
      </c>
      <c r="E146" s="84">
        <f t="shared" si="44"/>
        <v>13272.333333333332</v>
      </c>
      <c r="F146" s="84">
        <f t="shared" si="45"/>
        <v>1.6834047417922549E-2</v>
      </c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 t="s">
        <v>178</v>
      </c>
      <c r="T146" s="84">
        <f>X58</f>
        <v>31757</v>
      </c>
      <c r="U146" s="84">
        <f t="shared" si="46"/>
        <v>12561</v>
      </c>
      <c r="V146" s="84">
        <f t="shared" si="47"/>
        <v>1.5955987337848754E-2</v>
      </c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 t="s">
        <v>178</v>
      </c>
      <c r="AJ146" s="84">
        <f>AN58</f>
        <v>68074</v>
      </c>
      <c r="AK146" s="84">
        <f t="shared" si="48"/>
        <v>45608</v>
      </c>
      <c r="AL146" s="84">
        <f t="shared" si="49"/>
        <v>5.5962590171698939E-2</v>
      </c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 t="s">
        <v>178</v>
      </c>
      <c r="AZ146" s="84">
        <f>BD58</f>
        <v>46795</v>
      </c>
      <c r="BA146" s="84">
        <f t="shared" si="50"/>
        <v>25154</v>
      </c>
      <c r="BB146" s="84">
        <f t="shared" si="51"/>
        <v>3.0946999848672937E-2</v>
      </c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 t="s">
        <v>178</v>
      </c>
      <c r="BP146" s="84">
        <f>BT58</f>
        <v>45351</v>
      </c>
      <c r="BQ146" s="84">
        <f t="shared" si="52"/>
        <v>22051</v>
      </c>
      <c r="BR146" s="84">
        <f t="shared" si="53"/>
        <v>2.6721029951037905E-2</v>
      </c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 t="s">
        <v>178</v>
      </c>
      <c r="CF146" s="84">
        <f>CJ58</f>
        <v>31263</v>
      </c>
      <c r="CG146" s="84">
        <f t="shared" si="54"/>
        <v>7627</v>
      </c>
      <c r="CH146" s="84">
        <f t="shared" si="55"/>
        <v>9.2061436252555175E-3</v>
      </c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T146" s="84"/>
      <c r="CU146" s="84" t="s">
        <v>178</v>
      </c>
      <c r="CV146" s="84">
        <f>CZ58</f>
        <v>27031</v>
      </c>
      <c r="CW146" s="84">
        <f t="shared" si="56"/>
        <v>3459</v>
      </c>
      <c r="CX146" s="84">
        <f t="shared" si="57"/>
        <v>4.1839114754164452E-3</v>
      </c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 t="s">
        <v>178</v>
      </c>
      <c r="DL146" s="84">
        <f>DP58</f>
        <v>25817</v>
      </c>
      <c r="DM146" s="84">
        <f t="shared" si="58"/>
        <v>1158</v>
      </c>
      <c r="DN146" s="84">
        <f t="shared" si="59"/>
        <v>1.4265803874352514E-3</v>
      </c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</row>
    <row r="147" spans="1:128" x14ac:dyDescent="0.2">
      <c r="A147" s="84"/>
      <c r="B147" s="84"/>
      <c r="C147" s="84" t="s">
        <v>179</v>
      </c>
      <c r="D147" s="84">
        <f>I58</f>
        <v>30861</v>
      </c>
      <c r="E147" s="84">
        <f t="shared" si="44"/>
        <v>11858.333333333332</v>
      </c>
      <c r="F147" s="84">
        <f t="shared" si="45"/>
        <v>1.5040591629017623E-2</v>
      </c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 t="s">
        <v>179</v>
      </c>
      <c r="T147" s="84">
        <f>Y58</f>
        <v>31938</v>
      </c>
      <c r="U147" s="84">
        <f t="shared" si="46"/>
        <v>12742</v>
      </c>
      <c r="V147" s="84">
        <f t="shared" si="47"/>
        <v>1.6185908021564274E-2</v>
      </c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 t="s">
        <v>179</v>
      </c>
      <c r="AJ147" s="84">
        <f>AO58</f>
        <v>46832</v>
      </c>
      <c r="AK147" s="84">
        <f t="shared" si="48"/>
        <v>24366</v>
      </c>
      <c r="AL147" s="84">
        <f t="shared" si="49"/>
        <v>2.9897922998676031E-2</v>
      </c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 t="s">
        <v>179</v>
      </c>
      <c r="AZ147" s="84">
        <f>BE58</f>
        <v>40907</v>
      </c>
      <c r="BA147" s="84">
        <f t="shared" si="50"/>
        <v>19266</v>
      </c>
      <c r="BB147" s="84">
        <f t="shared" si="51"/>
        <v>2.3702985572256214E-2</v>
      </c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 t="s">
        <v>179</v>
      </c>
      <c r="BP147" s="84">
        <f>BU58</f>
        <v>42723</v>
      </c>
      <c r="BQ147" s="84">
        <f t="shared" si="52"/>
        <v>19423</v>
      </c>
      <c r="BR147" s="84">
        <f t="shared" si="53"/>
        <v>2.353646386735337E-2</v>
      </c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 t="s">
        <v>179</v>
      </c>
      <c r="CF147" s="84">
        <f>CK58</f>
        <v>33371</v>
      </c>
      <c r="CG147" s="84">
        <f t="shared" si="54"/>
        <v>9735</v>
      </c>
      <c r="CH147" s="84">
        <f t="shared" si="55"/>
        <v>1.1750597638896349E-2</v>
      </c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T147" s="84"/>
      <c r="CU147" s="84" t="s">
        <v>179</v>
      </c>
      <c r="CV147" s="84">
        <f>DA58</f>
        <v>26679</v>
      </c>
      <c r="CW147" s="84">
        <f t="shared" si="56"/>
        <v>3107</v>
      </c>
      <c r="CX147" s="84">
        <f t="shared" si="57"/>
        <v>3.7581419352757722E-3</v>
      </c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 t="s">
        <v>179</v>
      </c>
      <c r="DL147" s="84">
        <f>DQ58</f>
        <v>25547</v>
      </c>
      <c r="DM147" s="84">
        <f t="shared" si="58"/>
        <v>888</v>
      </c>
      <c r="DN147" s="84">
        <f t="shared" si="59"/>
        <v>1.0939580173078612E-3</v>
      </c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</row>
    <row r="148" spans="1:128" x14ac:dyDescent="0.2">
      <c r="A148" s="84"/>
      <c r="B148" s="84"/>
      <c r="C148" s="84" t="s">
        <v>180</v>
      </c>
      <c r="D148" s="84">
        <f>J58</f>
        <v>32152</v>
      </c>
      <c r="E148" s="84">
        <f t="shared" si="44"/>
        <v>13149.333333333332</v>
      </c>
      <c r="F148" s="84">
        <f t="shared" si="45"/>
        <v>1.6678039594700975E-2</v>
      </c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 t="s">
        <v>180</v>
      </c>
      <c r="T148" s="84">
        <f>Z58</f>
        <v>33661</v>
      </c>
      <c r="U148" s="84">
        <f t="shared" si="46"/>
        <v>14465</v>
      </c>
      <c r="V148" s="84">
        <f t="shared" si="47"/>
        <v>1.8374600496933544E-2</v>
      </c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 t="s">
        <v>180</v>
      </c>
      <c r="AJ148" s="84">
        <f>AP58</f>
        <v>56279</v>
      </c>
      <c r="AK148" s="84">
        <f t="shared" si="48"/>
        <v>33813</v>
      </c>
      <c r="AL148" s="84">
        <f t="shared" si="49"/>
        <v>4.1489718064279431E-2</v>
      </c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 t="s">
        <v>180</v>
      </c>
      <c r="AZ148" s="84">
        <f>BF58</f>
        <v>46033</v>
      </c>
      <c r="BA148" s="84">
        <f t="shared" si="50"/>
        <v>24392</v>
      </c>
      <c r="BB148" s="84">
        <f t="shared" si="51"/>
        <v>3.0009510229340473E-2</v>
      </c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 t="s">
        <v>180</v>
      </c>
      <c r="BP148" s="84">
        <f>BV58</f>
        <v>42993</v>
      </c>
      <c r="BQ148" s="84">
        <f t="shared" si="52"/>
        <v>19693</v>
      </c>
      <c r="BR148" s="84">
        <f t="shared" si="53"/>
        <v>2.3863645314307264E-2</v>
      </c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 t="s">
        <v>180</v>
      </c>
      <c r="CF148" s="84">
        <f>CL58</f>
        <v>35479</v>
      </c>
      <c r="CG148" s="84">
        <f t="shared" si="54"/>
        <v>11843</v>
      </c>
      <c r="CH148" s="84">
        <f t="shared" si="55"/>
        <v>1.4295051652537182E-2</v>
      </c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T148" s="84"/>
      <c r="CU148" s="84" t="s">
        <v>180</v>
      </c>
      <c r="CV148" s="84">
        <f>DB58</f>
        <v>28300</v>
      </c>
      <c r="CW148" s="84">
        <f t="shared" si="56"/>
        <v>4728</v>
      </c>
      <c r="CX148" s="84">
        <f t="shared" si="57"/>
        <v>5.718859050525861E-3</v>
      </c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 t="s">
        <v>180</v>
      </c>
      <c r="DL148" s="84">
        <f>DR58</f>
        <v>25981</v>
      </c>
      <c r="DM148" s="84">
        <f t="shared" si="58"/>
        <v>1322</v>
      </c>
      <c r="DN148" s="84">
        <f t="shared" si="59"/>
        <v>1.6286176789200367E-3</v>
      </c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</row>
    <row r="149" spans="1:128" x14ac:dyDescent="0.2">
      <c r="A149" s="84"/>
      <c r="B149" s="84"/>
      <c r="C149" s="84" t="s">
        <v>181</v>
      </c>
      <c r="D149" s="84">
        <f>K58</f>
        <v>31033</v>
      </c>
      <c r="E149" s="84">
        <f t="shared" si="44"/>
        <v>12030.333333333332</v>
      </c>
      <c r="F149" s="84">
        <f t="shared" si="45"/>
        <v>1.5258748910270556E-2</v>
      </c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 t="s">
        <v>181</v>
      </c>
      <c r="T149" s="84">
        <f>AA58</f>
        <v>33959</v>
      </c>
      <c r="U149" s="84">
        <f t="shared" si="46"/>
        <v>14763</v>
      </c>
      <c r="V149" s="84">
        <f t="shared" si="47"/>
        <v>1.8753143943050807E-2</v>
      </c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 t="s">
        <v>181</v>
      </c>
      <c r="AJ149" s="84">
        <f>AQ58</f>
        <v>45387</v>
      </c>
      <c r="AK149" s="84">
        <f t="shared" si="48"/>
        <v>22921</v>
      </c>
      <c r="AL149" s="84">
        <f t="shared" si="49"/>
        <v>2.8124858124134174E-2</v>
      </c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 t="s">
        <v>181</v>
      </c>
      <c r="AZ149" s="84">
        <f>BG58</f>
        <v>43341</v>
      </c>
      <c r="BA149" s="84">
        <f t="shared" si="50"/>
        <v>21700</v>
      </c>
      <c r="BB149" s="84">
        <f t="shared" si="51"/>
        <v>2.6697539028234185E-2</v>
      </c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 t="s">
        <v>181</v>
      </c>
      <c r="BP149" s="84">
        <f>BW58</f>
        <v>36356</v>
      </c>
      <c r="BQ149" s="84">
        <f t="shared" si="52"/>
        <v>13056</v>
      </c>
      <c r="BR149" s="84">
        <f t="shared" si="53"/>
        <v>1.5821040634925895E-2</v>
      </c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 t="s">
        <v>181</v>
      </c>
      <c r="CF149" s="84">
        <f>CM58</f>
        <v>33237</v>
      </c>
      <c r="CG149" s="84">
        <f t="shared" si="54"/>
        <v>9601</v>
      </c>
      <c r="CH149" s="84">
        <f t="shared" si="55"/>
        <v>1.158885340842772E-2</v>
      </c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T149" s="84"/>
      <c r="CU149" s="84" t="s">
        <v>181</v>
      </c>
      <c r="CV149" s="84">
        <f>DC58</f>
        <v>27183</v>
      </c>
      <c r="CW149" s="84">
        <f t="shared" si="56"/>
        <v>3611</v>
      </c>
      <c r="CX149" s="84">
        <f t="shared" si="57"/>
        <v>4.3677665041135542E-3</v>
      </c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 t="s">
        <v>181</v>
      </c>
      <c r="DL149" s="84">
        <f>DS58</f>
        <v>25870</v>
      </c>
      <c r="DM149" s="84">
        <f t="shared" si="58"/>
        <v>1211</v>
      </c>
      <c r="DN149" s="84">
        <f t="shared" si="59"/>
        <v>1.4918729267565541E-3</v>
      </c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</row>
    <row r="150" spans="1:128" x14ac:dyDescent="0.2">
      <c r="A150" s="84"/>
      <c r="B150" s="84"/>
      <c r="C150" s="84" t="s">
        <v>182</v>
      </c>
      <c r="D150" s="84">
        <f>L58</f>
        <v>32497</v>
      </c>
      <c r="E150" s="84">
        <f t="shared" si="44"/>
        <v>13494.333333333332</v>
      </c>
      <c r="F150" s="84">
        <f t="shared" si="45"/>
        <v>1.7115622513493196E-2</v>
      </c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 t="s">
        <v>182</v>
      </c>
      <c r="T150" s="84">
        <f>AB58</f>
        <v>32984</v>
      </c>
      <c r="U150" s="84">
        <f t="shared" si="46"/>
        <v>13788</v>
      </c>
      <c r="V150" s="84">
        <f t="shared" si="47"/>
        <v>1.7514620923036274E-2</v>
      </c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 t="s">
        <v>182</v>
      </c>
      <c r="AJ150" s="84">
        <f>AR58</f>
        <v>53353</v>
      </c>
      <c r="AK150" s="84">
        <f t="shared" si="48"/>
        <v>30887</v>
      </c>
      <c r="AL150" s="84">
        <f t="shared" si="49"/>
        <v>3.7899415072646575E-2</v>
      </c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 t="s">
        <v>182</v>
      </c>
      <c r="AZ150" s="84">
        <f>BH58</f>
        <v>40111</v>
      </c>
      <c r="BA150" s="84">
        <f t="shared" si="50"/>
        <v>18470</v>
      </c>
      <c r="BB150" s="84">
        <f t="shared" si="51"/>
        <v>2.2723665707441724E-2</v>
      </c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 t="s">
        <v>182</v>
      </c>
      <c r="BP150" s="84">
        <f>BX58</f>
        <v>47514</v>
      </c>
      <c r="BQ150" s="84">
        <f t="shared" si="52"/>
        <v>24214</v>
      </c>
      <c r="BR150" s="84">
        <f t="shared" si="53"/>
        <v>2.9342116876079623E-2</v>
      </c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 t="s">
        <v>182</v>
      </c>
      <c r="CF150" s="84">
        <f>CN58</f>
        <v>33191</v>
      </c>
      <c r="CG150" s="84">
        <f t="shared" si="54"/>
        <v>9555</v>
      </c>
      <c r="CH150" s="84">
        <f t="shared" si="55"/>
        <v>1.153332926961013E-2</v>
      </c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T150" s="84"/>
      <c r="CU150" s="84" t="s">
        <v>182</v>
      </c>
      <c r="CV150" s="84">
        <f>DD58</f>
        <v>28540</v>
      </c>
      <c r="CW150" s="84">
        <f t="shared" si="56"/>
        <v>4968</v>
      </c>
      <c r="CX150" s="84">
        <f t="shared" si="57"/>
        <v>6.0091564642581387E-3</v>
      </c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 t="s">
        <v>182</v>
      </c>
      <c r="DL150" s="84">
        <f>DT58</f>
        <v>25888</v>
      </c>
      <c r="DM150" s="84">
        <f t="shared" si="58"/>
        <v>1229</v>
      </c>
      <c r="DN150" s="84">
        <f t="shared" si="59"/>
        <v>1.5140477514317134E-3</v>
      </c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</row>
    <row r="151" spans="1:128" x14ac:dyDescent="0.2">
      <c r="A151" s="84"/>
      <c r="B151" s="84"/>
      <c r="C151" s="84" t="s">
        <v>183</v>
      </c>
      <c r="D151" s="84">
        <f>M58</f>
        <v>34986</v>
      </c>
      <c r="E151" s="84">
        <f t="shared" si="44"/>
        <v>15983.333333333332</v>
      </c>
      <c r="F151" s="84">
        <f t="shared" si="45"/>
        <v>2.0272561310228955E-2</v>
      </c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 t="s">
        <v>183</v>
      </c>
      <c r="T151" s="84">
        <f>AC58</f>
        <v>32746</v>
      </c>
      <c r="U151" s="84">
        <f t="shared" si="46"/>
        <v>13550</v>
      </c>
      <c r="V151" s="84">
        <f t="shared" si="47"/>
        <v>1.7212294278150676E-2</v>
      </c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 t="s">
        <v>183</v>
      </c>
      <c r="AJ151" s="84">
        <f>AS58</f>
        <v>56467</v>
      </c>
      <c r="AK151" s="84">
        <f t="shared" si="48"/>
        <v>34001</v>
      </c>
      <c r="AL151" s="84">
        <f t="shared" si="49"/>
        <v>4.1720400553147158E-2</v>
      </c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 t="s">
        <v>183</v>
      </c>
      <c r="AZ151" s="84">
        <f>BI58</f>
        <v>42550</v>
      </c>
      <c r="BA151" s="84">
        <f t="shared" si="50"/>
        <v>20909</v>
      </c>
      <c r="BB151" s="84">
        <f t="shared" si="51"/>
        <v>2.5724370670108229E-2</v>
      </c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 t="s">
        <v>183</v>
      </c>
      <c r="BP151" s="84">
        <f>BY58</f>
        <v>52569</v>
      </c>
      <c r="BQ151" s="84">
        <f t="shared" si="52"/>
        <v>29269</v>
      </c>
      <c r="BR151" s="84">
        <f t="shared" si="53"/>
        <v>3.5467680632938571E-2</v>
      </c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 t="s">
        <v>183</v>
      </c>
      <c r="CF151" s="84">
        <f>CO58</f>
        <v>34925</v>
      </c>
      <c r="CG151" s="84">
        <f t="shared" si="54"/>
        <v>11289</v>
      </c>
      <c r="CH151" s="84">
        <f t="shared" si="55"/>
        <v>1.362634789373404E-2</v>
      </c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T151" s="84"/>
      <c r="CU151" s="84" t="s">
        <v>183</v>
      </c>
      <c r="CV151" s="84">
        <f>DE58</f>
        <v>30277</v>
      </c>
      <c r="CW151" s="84">
        <f t="shared" si="56"/>
        <v>6705</v>
      </c>
      <c r="CX151" s="84">
        <f t="shared" si="57"/>
        <v>8.1101839961454959E-3</v>
      </c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 t="s">
        <v>183</v>
      </c>
      <c r="DL151" s="84">
        <f>DU58</f>
        <v>26448</v>
      </c>
      <c r="DM151" s="84">
        <f t="shared" si="58"/>
        <v>1789</v>
      </c>
      <c r="DN151" s="84">
        <f t="shared" si="59"/>
        <v>2.2039311857700041E-3</v>
      </c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</row>
    <row r="152" spans="1:128" x14ac:dyDescent="0.2">
      <c r="A152" s="84"/>
      <c r="B152" s="84"/>
      <c r="C152" s="84" t="s">
        <v>184</v>
      </c>
      <c r="D152" s="84">
        <f>N58</f>
        <v>33553</v>
      </c>
      <c r="E152" s="84">
        <f t="shared" si="44"/>
        <v>14550.333333333332</v>
      </c>
      <c r="F152" s="84">
        <f t="shared" si="45"/>
        <v>1.8455006751883295E-2</v>
      </c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 t="s">
        <v>184</v>
      </c>
      <c r="T152" s="84">
        <f>AD58</f>
        <v>33231</v>
      </c>
      <c r="U152" s="84">
        <f t="shared" si="46"/>
        <v>14035</v>
      </c>
      <c r="V152" s="84">
        <f t="shared" si="47"/>
        <v>1.7828380088106621E-2</v>
      </c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 t="s">
        <v>184</v>
      </c>
      <c r="AJ152" s="84">
        <f>AT58</f>
        <v>53456</v>
      </c>
      <c r="AK152" s="84">
        <f t="shared" si="48"/>
        <v>30990</v>
      </c>
      <c r="AL152" s="84">
        <f t="shared" si="49"/>
        <v>3.8025799627717731E-2</v>
      </c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 t="s">
        <v>184</v>
      </c>
      <c r="AZ152" s="84">
        <f>BJ58</f>
        <v>50535</v>
      </c>
      <c r="BA152" s="84">
        <f t="shared" si="50"/>
        <v>28894</v>
      </c>
      <c r="BB152" s="84">
        <f t="shared" si="51"/>
        <v>3.5548326851695788E-2</v>
      </c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 t="s">
        <v>184</v>
      </c>
      <c r="BP152" s="84">
        <f>BZ58</f>
        <v>43128</v>
      </c>
      <c r="BQ152" s="84">
        <f t="shared" si="52"/>
        <v>19828</v>
      </c>
      <c r="BR152" s="84">
        <f t="shared" si="53"/>
        <v>2.4027236037784207E-2</v>
      </c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 t="s">
        <v>184</v>
      </c>
      <c r="CF152" s="84">
        <f>CP58</f>
        <v>36714</v>
      </c>
      <c r="CG152" s="84">
        <f t="shared" si="54"/>
        <v>13078</v>
      </c>
      <c r="CH152" s="84">
        <f t="shared" si="55"/>
        <v>1.5785754075139852E-2</v>
      </c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T152" s="84"/>
      <c r="CU152" s="84" t="s">
        <v>184</v>
      </c>
      <c r="CV152" s="84">
        <f>DF58</f>
        <v>31593</v>
      </c>
      <c r="CW152" s="84">
        <f t="shared" si="56"/>
        <v>8021</v>
      </c>
      <c r="CX152" s="84">
        <f t="shared" si="57"/>
        <v>9.7019814814441486E-3</v>
      </c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 t="s">
        <v>184</v>
      </c>
      <c r="DL152" s="84">
        <f>DV58</f>
        <v>26613</v>
      </c>
      <c r="DM152" s="84">
        <f t="shared" si="58"/>
        <v>1954</v>
      </c>
      <c r="DN152" s="84">
        <f t="shared" si="59"/>
        <v>2.4072004119589652E-3</v>
      </c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</row>
    <row r="153" spans="1:128" x14ac:dyDescent="0.2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</row>
    <row r="154" spans="1:128" x14ac:dyDescent="0.2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</row>
    <row r="155" spans="1:128" x14ac:dyDescent="0.2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</row>
    <row r="156" spans="1:128" x14ac:dyDescent="0.2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</row>
    <row r="157" spans="1:128" x14ac:dyDescent="0.2">
      <c r="A157" s="84" t="s">
        <v>189</v>
      </c>
      <c r="B157" s="84" t="s">
        <v>188</v>
      </c>
      <c r="C157" s="84" t="s">
        <v>124</v>
      </c>
      <c r="D157" s="84" t="s">
        <v>191</v>
      </c>
      <c r="E157" s="84" t="s">
        <v>192</v>
      </c>
      <c r="F157" s="84" t="s">
        <v>193</v>
      </c>
      <c r="G157" s="84" t="s">
        <v>194</v>
      </c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</row>
    <row r="158" spans="1:128" x14ac:dyDescent="0.2">
      <c r="A158" s="84">
        <v>1</v>
      </c>
      <c r="B158" s="84" t="s">
        <v>190</v>
      </c>
      <c r="C158" s="84" t="s">
        <v>125</v>
      </c>
      <c r="D158" s="84">
        <f>F93/$F93</f>
        <v>1</v>
      </c>
      <c r="E158" s="84">
        <f t="shared" ref="E158:E189" si="60">ROUND(AL93/$F93,3)</f>
        <v>-1.363</v>
      </c>
      <c r="F158" s="84">
        <f t="shared" ref="F158:F189" si="61">ROUND(BR93/$F93,3)</f>
        <v>0.42299999999999999</v>
      </c>
      <c r="G158" s="84">
        <f>ROUND(CX93/$F93,3)</f>
        <v>-0.65900000000000003</v>
      </c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</row>
    <row r="159" spans="1:128" x14ac:dyDescent="0.2">
      <c r="A159" s="84">
        <v>1</v>
      </c>
      <c r="B159" s="84" t="s">
        <v>64</v>
      </c>
      <c r="C159" s="84" t="s">
        <v>126</v>
      </c>
      <c r="D159" s="84">
        <f t="shared" ref="D159:D217" si="62">F94/$F94</f>
        <v>1</v>
      </c>
      <c r="E159" s="84">
        <f t="shared" si="60"/>
        <v>0.998</v>
      </c>
      <c r="F159" s="84">
        <f t="shared" si="61"/>
        <v>0.99099999999999999</v>
      </c>
      <c r="G159" s="84">
        <f t="shared" ref="G159:G217" si="63">ROUND(CX94/$F94,3)</f>
        <v>0.99</v>
      </c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</row>
    <row r="160" spans="1:128" x14ac:dyDescent="0.2">
      <c r="A160" s="84">
        <v>1</v>
      </c>
      <c r="B160" s="84">
        <v>0</v>
      </c>
      <c r="C160" s="84" t="s">
        <v>127</v>
      </c>
      <c r="D160" s="84">
        <f t="shared" si="62"/>
        <v>1</v>
      </c>
      <c r="E160" s="84">
        <f t="shared" si="60"/>
        <v>3.9540000000000002</v>
      </c>
      <c r="F160" s="84">
        <f t="shared" si="61"/>
        <v>18.538</v>
      </c>
      <c r="G160" s="84">
        <f t="shared" si="63"/>
        <v>37.835000000000001</v>
      </c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</row>
    <row r="161" spans="1:96" x14ac:dyDescent="0.2">
      <c r="A161" s="84">
        <v>1</v>
      </c>
      <c r="B161" s="84">
        <v>0</v>
      </c>
      <c r="C161" s="84" t="s">
        <v>128</v>
      </c>
      <c r="D161" s="84">
        <f t="shared" si="62"/>
        <v>1</v>
      </c>
      <c r="E161" s="84">
        <f t="shared" si="60"/>
        <v>4.2699999999999996</v>
      </c>
      <c r="F161" s="84">
        <f t="shared" si="61"/>
        <v>18.516999999999999</v>
      </c>
      <c r="G161" s="84">
        <f t="shared" si="63"/>
        <v>37.250999999999998</v>
      </c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</row>
    <row r="162" spans="1:96" x14ac:dyDescent="0.2">
      <c r="A162" s="84">
        <v>1</v>
      </c>
      <c r="B162" s="84">
        <v>0</v>
      </c>
      <c r="C162" s="84" t="s">
        <v>129</v>
      </c>
      <c r="D162" s="84">
        <f t="shared" si="62"/>
        <v>1</v>
      </c>
      <c r="E162" s="84">
        <f t="shared" si="60"/>
        <v>4.2969999999999997</v>
      </c>
      <c r="F162" s="84">
        <f t="shared" si="61"/>
        <v>23.808</v>
      </c>
      <c r="G162" s="84">
        <f t="shared" si="63"/>
        <v>39.134999999999998</v>
      </c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</row>
    <row r="163" spans="1:96" x14ac:dyDescent="0.2">
      <c r="A163" s="84">
        <v>1</v>
      </c>
      <c r="B163" s="84">
        <v>0</v>
      </c>
      <c r="C163" s="84" t="s">
        <v>130</v>
      </c>
      <c r="D163" s="84">
        <f t="shared" si="62"/>
        <v>1</v>
      </c>
      <c r="E163" s="84">
        <f t="shared" si="60"/>
        <v>3.9449999999999998</v>
      </c>
      <c r="F163" s="84">
        <f t="shared" si="61"/>
        <v>19.303999999999998</v>
      </c>
      <c r="G163" s="84">
        <f t="shared" si="63"/>
        <v>37.298000000000002</v>
      </c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</row>
    <row r="164" spans="1:96" x14ac:dyDescent="0.2">
      <c r="A164" s="84">
        <v>1</v>
      </c>
      <c r="B164" s="84">
        <v>0</v>
      </c>
      <c r="C164" s="84" t="s">
        <v>131</v>
      </c>
      <c r="D164" s="84">
        <f t="shared" si="62"/>
        <v>1</v>
      </c>
      <c r="E164" s="84">
        <f t="shared" si="60"/>
        <v>3.6680000000000001</v>
      </c>
      <c r="F164" s="84">
        <f t="shared" si="61"/>
        <v>20.704000000000001</v>
      </c>
      <c r="G164" s="84">
        <f t="shared" si="63"/>
        <v>31.675999999999998</v>
      </c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</row>
    <row r="165" spans="1:96" x14ac:dyDescent="0.2">
      <c r="A165" s="84">
        <v>1</v>
      </c>
      <c r="B165" s="84">
        <v>0</v>
      </c>
      <c r="C165" s="84" t="s">
        <v>132</v>
      </c>
      <c r="D165" s="84">
        <f t="shared" si="62"/>
        <v>1</v>
      </c>
      <c r="E165" s="84">
        <f t="shared" si="60"/>
        <v>3.9449999999999998</v>
      </c>
      <c r="F165" s="84">
        <f t="shared" si="61"/>
        <v>24.376000000000001</v>
      </c>
      <c r="G165" s="84">
        <f t="shared" si="63"/>
        <v>36.424999999999997</v>
      </c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</row>
    <row r="166" spans="1:96" x14ac:dyDescent="0.2">
      <c r="A166" s="84">
        <v>1</v>
      </c>
      <c r="B166" s="84">
        <v>0</v>
      </c>
      <c r="C166" s="84" t="s">
        <v>133</v>
      </c>
      <c r="D166" s="84">
        <f t="shared" si="62"/>
        <v>1</v>
      </c>
      <c r="E166" s="84">
        <f t="shared" si="60"/>
        <v>4.01</v>
      </c>
      <c r="F166" s="84">
        <f t="shared" si="61"/>
        <v>27.128</v>
      </c>
      <c r="G166" s="84">
        <f t="shared" si="63"/>
        <v>37.43</v>
      </c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</row>
    <row r="167" spans="1:96" x14ac:dyDescent="0.2">
      <c r="A167" s="84">
        <v>1</v>
      </c>
      <c r="B167" s="84">
        <v>0</v>
      </c>
      <c r="C167" s="84" t="s">
        <v>134</v>
      </c>
      <c r="D167" s="84">
        <f t="shared" si="62"/>
        <v>1</v>
      </c>
      <c r="E167" s="84">
        <f t="shared" si="60"/>
        <v>4.5289999999999999</v>
      </c>
      <c r="F167" s="84">
        <f t="shared" si="61"/>
        <v>24.055</v>
      </c>
      <c r="G167" s="84">
        <f t="shared" si="63"/>
        <v>41.628999999999998</v>
      </c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</row>
    <row r="168" spans="1:96" x14ac:dyDescent="0.2">
      <c r="A168" s="84">
        <v>1</v>
      </c>
      <c r="B168" s="84" t="s">
        <v>190</v>
      </c>
      <c r="C168" s="84" t="s">
        <v>135</v>
      </c>
      <c r="D168" s="84">
        <f t="shared" si="62"/>
        <v>1</v>
      </c>
      <c r="E168" s="84">
        <f t="shared" si="60"/>
        <v>-0.54800000000000004</v>
      </c>
      <c r="F168" s="84">
        <f t="shared" si="61"/>
        <v>1.403</v>
      </c>
      <c r="G168" s="84">
        <f t="shared" si="63"/>
        <v>1.931</v>
      </c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</row>
    <row r="169" spans="1:96" x14ac:dyDescent="0.2">
      <c r="A169" s="84">
        <v>1</v>
      </c>
      <c r="B169" s="84" t="s">
        <v>64</v>
      </c>
      <c r="C169" s="84" t="s">
        <v>136</v>
      </c>
      <c r="D169" s="84">
        <f t="shared" si="62"/>
        <v>1</v>
      </c>
      <c r="E169" s="84">
        <f t="shared" si="60"/>
        <v>0.998</v>
      </c>
      <c r="F169" s="84">
        <f t="shared" si="61"/>
        <v>1.002</v>
      </c>
      <c r="G169" s="84">
        <f t="shared" si="63"/>
        <v>0.999</v>
      </c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</row>
    <row r="170" spans="1:96" x14ac:dyDescent="0.2">
      <c r="A170" s="84">
        <v>1</v>
      </c>
      <c r="B170" s="84" t="s">
        <v>78</v>
      </c>
      <c r="C170" s="84" t="s">
        <v>137</v>
      </c>
      <c r="D170" s="84">
        <f t="shared" si="62"/>
        <v>1</v>
      </c>
      <c r="E170" s="84">
        <f t="shared" si="60"/>
        <v>3.1059999999999999</v>
      </c>
      <c r="F170" s="84">
        <f t="shared" si="61"/>
        <v>11.494999999999999</v>
      </c>
      <c r="G170" s="84">
        <f t="shared" si="63"/>
        <v>24.097999999999999</v>
      </c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</row>
    <row r="171" spans="1:96" x14ac:dyDescent="0.2">
      <c r="A171" s="84">
        <v>1</v>
      </c>
      <c r="B171" s="84" t="s">
        <v>78</v>
      </c>
      <c r="C171" s="84" t="s">
        <v>138</v>
      </c>
      <c r="D171" s="84">
        <f t="shared" si="62"/>
        <v>1</v>
      </c>
      <c r="E171" s="84">
        <f t="shared" si="60"/>
        <v>2.863</v>
      </c>
      <c r="F171" s="84">
        <f t="shared" si="61"/>
        <v>12.782</v>
      </c>
      <c r="G171" s="84">
        <f t="shared" si="63"/>
        <v>24.457000000000001</v>
      </c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</row>
    <row r="172" spans="1:96" x14ac:dyDescent="0.2">
      <c r="A172" s="84">
        <v>1</v>
      </c>
      <c r="B172" s="84" t="s">
        <v>78</v>
      </c>
      <c r="C172" s="84" t="s">
        <v>139</v>
      </c>
      <c r="D172" s="84">
        <f t="shared" si="62"/>
        <v>1</v>
      </c>
      <c r="E172" s="84">
        <f t="shared" si="60"/>
        <v>2.891</v>
      </c>
      <c r="F172" s="84">
        <f t="shared" si="61"/>
        <v>9.6769999999999996</v>
      </c>
      <c r="G172" s="84">
        <f t="shared" si="63"/>
        <v>22.658000000000001</v>
      </c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</row>
    <row r="173" spans="1:96" x14ac:dyDescent="0.2">
      <c r="A173" s="84">
        <v>1</v>
      </c>
      <c r="B173" s="84" t="s">
        <v>78</v>
      </c>
      <c r="C173" s="84" t="s">
        <v>140</v>
      </c>
      <c r="D173" s="84">
        <f t="shared" si="62"/>
        <v>1</v>
      </c>
      <c r="E173" s="84">
        <f t="shared" si="60"/>
        <v>2.798</v>
      </c>
      <c r="F173" s="84">
        <f t="shared" si="61"/>
        <v>13.218999999999999</v>
      </c>
      <c r="G173" s="84">
        <f t="shared" si="63"/>
        <v>20.919</v>
      </c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</row>
    <row r="174" spans="1:96" x14ac:dyDescent="0.2">
      <c r="A174" s="84">
        <v>1</v>
      </c>
      <c r="B174" s="84" t="s">
        <v>78</v>
      </c>
      <c r="C174" s="84" t="s">
        <v>141</v>
      </c>
      <c r="D174" s="84">
        <f t="shared" si="62"/>
        <v>1</v>
      </c>
      <c r="E174" s="84">
        <f t="shared" si="60"/>
        <v>2.9649999999999999</v>
      </c>
      <c r="F174" s="84">
        <f t="shared" si="61"/>
        <v>14.532999999999999</v>
      </c>
      <c r="G174" s="84">
        <f t="shared" si="63"/>
        <v>27.503</v>
      </c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</row>
    <row r="175" spans="1:96" x14ac:dyDescent="0.2">
      <c r="A175" s="84">
        <v>1</v>
      </c>
      <c r="B175" s="84" t="s">
        <v>78</v>
      </c>
      <c r="C175" s="84" t="s">
        <v>142</v>
      </c>
      <c r="D175" s="84">
        <f t="shared" si="62"/>
        <v>1</v>
      </c>
      <c r="E175" s="84">
        <f t="shared" si="60"/>
        <v>3.0680000000000001</v>
      </c>
      <c r="F175" s="84">
        <f t="shared" si="61"/>
        <v>14.589</v>
      </c>
      <c r="G175" s="84">
        <f t="shared" si="63"/>
        <v>24.998000000000001</v>
      </c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</row>
    <row r="176" spans="1:96" x14ac:dyDescent="0.2">
      <c r="A176" s="84">
        <v>1</v>
      </c>
      <c r="B176" s="84" t="s">
        <v>78</v>
      </c>
      <c r="C176" s="84" t="s">
        <v>143</v>
      </c>
      <c r="D176" s="84">
        <f t="shared" si="62"/>
        <v>1</v>
      </c>
      <c r="E176" s="84">
        <f t="shared" si="60"/>
        <v>4.6689999999999996</v>
      </c>
      <c r="F176" s="84">
        <f t="shared" si="61"/>
        <v>15.076000000000001</v>
      </c>
      <c r="G176" s="84">
        <f t="shared" si="63"/>
        <v>29.661999999999999</v>
      </c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</row>
    <row r="177" spans="1:96" x14ac:dyDescent="0.2">
      <c r="A177" s="84">
        <v>1</v>
      </c>
      <c r="B177" s="84" t="s">
        <v>78</v>
      </c>
      <c r="C177" s="84" t="s">
        <v>144</v>
      </c>
      <c r="D177" s="84">
        <f t="shared" si="62"/>
        <v>1</v>
      </c>
      <c r="E177" s="84">
        <f t="shared" si="60"/>
        <v>3.61</v>
      </c>
      <c r="F177" s="84">
        <f t="shared" si="61"/>
        <v>13.803000000000001</v>
      </c>
      <c r="G177" s="84">
        <f t="shared" si="63"/>
        <v>23.55</v>
      </c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</row>
    <row r="178" spans="1:96" x14ac:dyDescent="0.2">
      <c r="A178" s="84">
        <v>1</v>
      </c>
      <c r="B178" s="84" t="s">
        <v>190</v>
      </c>
      <c r="C178" s="84" t="s">
        <v>145</v>
      </c>
      <c r="D178" s="84">
        <f t="shared" si="62"/>
        <v>1</v>
      </c>
      <c r="E178" s="84">
        <f t="shared" si="60"/>
        <v>1.7330000000000001</v>
      </c>
      <c r="F178" s="84">
        <f t="shared" si="61"/>
        <v>2.927</v>
      </c>
      <c r="G178" s="84">
        <f t="shared" si="63"/>
        <v>6.4950000000000001</v>
      </c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</row>
    <row r="179" spans="1:96" x14ac:dyDescent="0.2">
      <c r="A179" s="84">
        <v>1</v>
      </c>
      <c r="B179" s="84" t="s">
        <v>64</v>
      </c>
      <c r="C179" s="84" t="s">
        <v>146</v>
      </c>
      <c r="D179" s="84">
        <f t="shared" si="62"/>
        <v>1</v>
      </c>
      <c r="E179" s="84">
        <f t="shared" si="60"/>
        <v>0.997</v>
      </c>
      <c r="F179" s="84">
        <f t="shared" si="61"/>
        <v>1</v>
      </c>
      <c r="G179" s="84">
        <f t="shared" si="63"/>
        <v>1</v>
      </c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</row>
    <row r="180" spans="1:96" x14ac:dyDescent="0.2">
      <c r="A180" s="84">
        <v>1</v>
      </c>
      <c r="B180" s="84" t="s">
        <v>79</v>
      </c>
      <c r="C180" s="84" t="s">
        <v>147</v>
      </c>
      <c r="D180" s="84">
        <f t="shared" si="62"/>
        <v>1</v>
      </c>
      <c r="E180" s="84">
        <f t="shared" si="60"/>
        <v>2.4929999999999999</v>
      </c>
      <c r="F180" s="84">
        <f t="shared" si="61"/>
        <v>8.06</v>
      </c>
      <c r="G180" s="84">
        <f t="shared" si="63"/>
        <v>15.422000000000001</v>
      </c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</row>
    <row r="181" spans="1:96" x14ac:dyDescent="0.2">
      <c r="A181" s="84">
        <v>1</v>
      </c>
      <c r="B181" s="84" t="s">
        <v>79</v>
      </c>
      <c r="C181" s="84" t="s">
        <v>148</v>
      </c>
      <c r="D181" s="84">
        <f t="shared" si="62"/>
        <v>1</v>
      </c>
      <c r="E181" s="84">
        <f t="shared" si="60"/>
        <v>2.3340000000000001</v>
      </c>
      <c r="F181" s="84">
        <f t="shared" si="61"/>
        <v>8.0210000000000008</v>
      </c>
      <c r="G181" s="84">
        <f t="shared" si="63"/>
        <v>14.596</v>
      </c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</row>
    <row r="182" spans="1:96" x14ac:dyDescent="0.2">
      <c r="A182" s="84">
        <v>1</v>
      </c>
      <c r="B182" s="84" t="s">
        <v>79</v>
      </c>
      <c r="C182" s="84" t="s">
        <v>149</v>
      </c>
      <c r="D182" s="84">
        <f t="shared" si="62"/>
        <v>1</v>
      </c>
      <c r="E182" s="84">
        <f t="shared" si="60"/>
        <v>2.83</v>
      </c>
      <c r="F182" s="84">
        <f t="shared" si="61"/>
        <v>9.891</v>
      </c>
      <c r="G182" s="84">
        <f t="shared" si="63"/>
        <v>14.948</v>
      </c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</row>
    <row r="183" spans="1:96" x14ac:dyDescent="0.2">
      <c r="A183" s="84">
        <v>1</v>
      </c>
      <c r="B183" s="84" t="s">
        <v>79</v>
      </c>
      <c r="C183" s="84" t="s">
        <v>150</v>
      </c>
      <c r="D183" s="84">
        <f t="shared" si="62"/>
        <v>1</v>
      </c>
      <c r="E183" s="84">
        <f t="shared" si="60"/>
        <v>2.7919999999999998</v>
      </c>
      <c r="F183" s="84">
        <f t="shared" si="61"/>
        <v>8.4830000000000005</v>
      </c>
      <c r="G183" s="84">
        <f t="shared" si="63"/>
        <v>17.175999999999998</v>
      </c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</row>
    <row r="184" spans="1:96" x14ac:dyDescent="0.2">
      <c r="A184" s="84">
        <v>1</v>
      </c>
      <c r="B184" s="84" t="s">
        <v>79</v>
      </c>
      <c r="C184" s="84" t="s">
        <v>151</v>
      </c>
      <c r="D184" s="84">
        <f t="shared" si="62"/>
        <v>1</v>
      </c>
      <c r="E184" s="84">
        <f t="shared" si="60"/>
        <v>2.6110000000000002</v>
      </c>
      <c r="F184" s="84">
        <f t="shared" si="61"/>
        <v>7.242</v>
      </c>
      <c r="G184" s="84">
        <f t="shared" si="63"/>
        <v>12.285</v>
      </c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</row>
    <row r="185" spans="1:96" x14ac:dyDescent="0.2">
      <c r="A185" s="84">
        <v>1</v>
      </c>
      <c r="B185" s="84" t="s">
        <v>79</v>
      </c>
      <c r="C185" s="84" t="s">
        <v>152</v>
      </c>
      <c r="D185" s="84">
        <f t="shared" si="62"/>
        <v>1</v>
      </c>
      <c r="E185" s="84">
        <f t="shared" si="60"/>
        <v>3.2</v>
      </c>
      <c r="F185" s="84">
        <f t="shared" si="61"/>
        <v>8.8699999999999992</v>
      </c>
      <c r="G185" s="84">
        <f t="shared" si="63"/>
        <v>20.076000000000001</v>
      </c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</row>
    <row r="186" spans="1:96" x14ac:dyDescent="0.2">
      <c r="A186" s="84">
        <v>1</v>
      </c>
      <c r="B186" s="84" t="s">
        <v>79</v>
      </c>
      <c r="C186" s="84" t="s">
        <v>153</v>
      </c>
      <c r="D186" s="84">
        <f t="shared" si="62"/>
        <v>1</v>
      </c>
      <c r="E186" s="84">
        <f t="shared" si="60"/>
        <v>4.8689999999999998</v>
      </c>
      <c r="F186" s="84">
        <f t="shared" si="61"/>
        <v>9.8019999999999996</v>
      </c>
      <c r="G186" s="84">
        <f t="shared" si="63"/>
        <v>14.47</v>
      </c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</row>
    <row r="187" spans="1:96" x14ac:dyDescent="0.2">
      <c r="A187" s="84">
        <v>1</v>
      </c>
      <c r="B187" s="84" t="s">
        <v>79</v>
      </c>
      <c r="C187" s="84" t="s">
        <v>154</v>
      </c>
      <c r="D187" s="84">
        <f t="shared" si="62"/>
        <v>1</v>
      </c>
      <c r="E187" s="84">
        <f t="shared" si="60"/>
        <v>3.9980000000000002</v>
      </c>
      <c r="F187" s="84">
        <f t="shared" si="61"/>
        <v>9.1890000000000001</v>
      </c>
      <c r="G187" s="84">
        <f t="shared" si="63"/>
        <v>16.196000000000002</v>
      </c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</row>
    <row r="188" spans="1:96" x14ac:dyDescent="0.2">
      <c r="A188" s="84">
        <v>1</v>
      </c>
      <c r="B188" s="84" t="s">
        <v>190</v>
      </c>
      <c r="C188" s="84" t="s">
        <v>155</v>
      </c>
      <c r="D188" s="84">
        <f t="shared" si="62"/>
        <v>1</v>
      </c>
      <c r="E188" s="84">
        <f t="shared" si="60"/>
        <v>2.89</v>
      </c>
      <c r="F188" s="84">
        <f t="shared" si="61"/>
        <v>0.83099999999999996</v>
      </c>
      <c r="G188" s="84">
        <f t="shared" si="63"/>
        <v>-5.2670000000000003</v>
      </c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</row>
    <row r="189" spans="1:96" x14ac:dyDescent="0.2">
      <c r="A189" s="84">
        <v>1</v>
      </c>
      <c r="B189" s="84" t="s">
        <v>64</v>
      </c>
      <c r="C189" s="84" t="s">
        <v>156</v>
      </c>
      <c r="D189" s="84">
        <f t="shared" si="62"/>
        <v>1</v>
      </c>
      <c r="E189" s="84">
        <f t="shared" si="60"/>
        <v>0.997</v>
      </c>
      <c r="F189" s="84">
        <f t="shared" si="61"/>
        <v>1.0049999999999999</v>
      </c>
      <c r="G189" s="84">
        <f t="shared" si="63"/>
        <v>1.006</v>
      </c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</row>
    <row r="190" spans="1:96" x14ac:dyDescent="0.2">
      <c r="A190" s="84">
        <v>1</v>
      </c>
      <c r="B190" s="84" t="s">
        <v>80</v>
      </c>
      <c r="C190" s="84" t="s">
        <v>157</v>
      </c>
      <c r="D190" s="84">
        <f t="shared" si="62"/>
        <v>1</v>
      </c>
      <c r="E190" s="84">
        <f t="shared" ref="E190:E217" si="64">ROUND(AL125/$F125,3)</f>
        <v>2.2949999999999999</v>
      </c>
      <c r="F190" s="84">
        <f t="shared" ref="F190:F217" si="65">ROUND(BR125/$F125,3)</f>
        <v>3.242</v>
      </c>
      <c r="G190" s="84">
        <f t="shared" si="63"/>
        <v>4.7910000000000004</v>
      </c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</row>
    <row r="191" spans="1:96" x14ac:dyDescent="0.2">
      <c r="A191" s="84">
        <v>1</v>
      </c>
      <c r="B191" s="84" t="s">
        <v>80</v>
      </c>
      <c r="C191" s="84" t="s">
        <v>158</v>
      </c>
      <c r="D191" s="84">
        <f t="shared" si="62"/>
        <v>1</v>
      </c>
      <c r="E191" s="84">
        <f t="shared" si="64"/>
        <v>2.512</v>
      </c>
      <c r="F191" s="84">
        <f t="shared" si="65"/>
        <v>5.2380000000000004</v>
      </c>
      <c r="G191" s="84">
        <f t="shared" si="63"/>
        <v>4.782</v>
      </c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</row>
    <row r="192" spans="1:96" x14ac:dyDescent="0.2">
      <c r="A192" s="84">
        <v>1</v>
      </c>
      <c r="B192" s="84" t="s">
        <v>80</v>
      </c>
      <c r="C192" s="84" t="s">
        <v>159</v>
      </c>
      <c r="D192" s="84">
        <f t="shared" si="62"/>
        <v>1</v>
      </c>
      <c r="E192" s="84">
        <f t="shared" si="64"/>
        <v>2.4950000000000001</v>
      </c>
      <c r="F192" s="84">
        <f t="shared" si="65"/>
        <v>6.25</v>
      </c>
      <c r="G192" s="84">
        <f t="shared" si="63"/>
        <v>5.4420000000000002</v>
      </c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</row>
    <row r="193" spans="1:96" x14ac:dyDescent="0.2">
      <c r="A193" s="84">
        <v>1</v>
      </c>
      <c r="B193" s="84" t="s">
        <v>80</v>
      </c>
      <c r="C193" s="84" t="s">
        <v>160</v>
      </c>
      <c r="D193" s="84">
        <f t="shared" si="62"/>
        <v>1</v>
      </c>
      <c r="E193" s="84">
        <f t="shared" si="64"/>
        <v>2.7879999999999998</v>
      </c>
      <c r="F193" s="84">
        <f t="shared" si="65"/>
        <v>5.08</v>
      </c>
      <c r="G193" s="84">
        <f t="shared" si="63"/>
        <v>4.6139999999999999</v>
      </c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</row>
    <row r="194" spans="1:96" x14ac:dyDescent="0.2">
      <c r="A194" s="84">
        <v>1</v>
      </c>
      <c r="B194" s="84" t="s">
        <v>80</v>
      </c>
      <c r="C194" s="84" t="s">
        <v>161</v>
      </c>
      <c r="D194" s="84">
        <f t="shared" si="62"/>
        <v>1</v>
      </c>
      <c r="E194" s="84">
        <f t="shared" si="64"/>
        <v>2.0579999999999998</v>
      </c>
      <c r="F194" s="84">
        <f t="shared" si="65"/>
        <v>4.2430000000000003</v>
      </c>
      <c r="G194" s="84">
        <f t="shared" si="63"/>
        <v>3.843</v>
      </c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</row>
    <row r="195" spans="1:96" x14ac:dyDescent="0.2">
      <c r="A195" s="84">
        <v>1</v>
      </c>
      <c r="B195" s="84" t="s">
        <v>80</v>
      </c>
      <c r="C195" s="84" t="s">
        <v>162</v>
      </c>
      <c r="D195" s="84">
        <f t="shared" si="62"/>
        <v>1</v>
      </c>
      <c r="E195" s="84">
        <f t="shared" si="64"/>
        <v>2.4390000000000001</v>
      </c>
      <c r="F195" s="84">
        <f t="shared" si="65"/>
        <v>4.4729999999999999</v>
      </c>
      <c r="G195" s="84">
        <f t="shared" si="63"/>
        <v>5.1710000000000003</v>
      </c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</row>
    <row r="196" spans="1:96" x14ac:dyDescent="0.2">
      <c r="A196" s="84">
        <v>1</v>
      </c>
      <c r="B196" s="84" t="s">
        <v>80</v>
      </c>
      <c r="C196" s="84" t="s">
        <v>163</v>
      </c>
      <c r="D196" s="84">
        <f t="shared" si="62"/>
        <v>1</v>
      </c>
      <c r="E196" s="84">
        <f t="shared" si="64"/>
        <v>2.5790000000000002</v>
      </c>
      <c r="F196" s="84">
        <f t="shared" si="65"/>
        <v>4.0190000000000001</v>
      </c>
      <c r="G196" s="84">
        <f t="shared" si="63"/>
        <v>4.5049999999999999</v>
      </c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</row>
    <row r="197" spans="1:96" x14ac:dyDescent="0.2">
      <c r="A197" s="84">
        <v>1</v>
      </c>
      <c r="B197" s="84" t="s">
        <v>80</v>
      </c>
      <c r="C197" s="84" t="s">
        <v>164</v>
      </c>
      <c r="D197" s="84">
        <f t="shared" si="62"/>
        <v>1</v>
      </c>
      <c r="E197" s="84">
        <f t="shared" si="64"/>
        <v>3.4990000000000001</v>
      </c>
      <c r="F197" s="84">
        <f t="shared" si="65"/>
        <v>4.3869999999999996</v>
      </c>
      <c r="G197" s="84">
        <f t="shared" si="63"/>
        <v>5.8650000000000002</v>
      </c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</row>
    <row r="198" spans="1:96" x14ac:dyDescent="0.2">
      <c r="A198" s="84">
        <v>1</v>
      </c>
      <c r="B198" s="84" t="s">
        <v>190</v>
      </c>
      <c r="C198" s="84" t="s">
        <v>165</v>
      </c>
      <c r="D198" s="84">
        <f t="shared" si="62"/>
        <v>1</v>
      </c>
      <c r="E198" s="84">
        <f t="shared" si="64"/>
        <v>-0.90800000000000003</v>
      </c>
      <c r="F198" s="84">
        <f t="shared" si="65"/>
        <v>-1.6160000000000001</v>
      </c>
      <c r="G198" s="84">
        <f t="shared" si="63"/>
        <v>-2.8</v>
      </c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</row>
    <row r="199" spans="1:96" x14ac:dyDescent="0.2">
      <c r="A199" s="84">
        <v>1</v>
      </c>
      <c r="B199" s="84" t="s">
        <v>64</v>
      </c>
      <c r="C199" s="84" t="s">
        <v>166</v>
      </c>
      <c r="D199" s="84">
        <f t="shared" si="62"/>
        <v>1</v>
      </c>
      <c r="E199" s="84">
        <f t="shared" si="64"/>
        <v>0.997</v>
      </c>
      <c r="F199" s="84">
        <f t="shared" si="65"/>
        <v>0.99099999999999999</v>
      </c>
      <c r="G199" s="84">
        <f t="shared" si="63"/>
        <v>0.995</v>
      </c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</row>
    <row r="200" spans="1:96" x14ac:dyDescent="0.2">
      <c r="A200" s="84">
        <v>1</v>
      </c>
      <c r="B200" s="84" t="s">
        <v>81</v>
      </c>
      <c r="C200" s="84" t="s">
        <v>167</v>
      </c>
      <c r="D200" s="84">
        <f t="shared" si="62"/>
        <v>1</v>
      </c>
      <c r="E200" s="84">
        <f t="shared" si="64"/>
        <v>2.2770000000000001</v>
      </c>
      <c r="F200" s="84">
        <f t="shared" si="65"/>
        <v>2.0169999999999999</v>
      </c>
      <c r="G200" s="84">
        <f t="shared" si="63"/>
        <v>0.79400000000000004</v>
      </c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</row>
    <row r="201" spans="1:96" x14ac:dyDescent="0.2">
      <c r="A201" s="84">
        <v>1</v>
      </c>
      <c r="B201" s="84" t="s">
        <v>81</v>
      </c>
      <c r="C201" s="84" t="s">
        <v>168</v>
      </c>
      <c r="D201" s="84">
        <f t="shared" si="62"/>
        <v>1</v>
      </c>
      <c r="E201" s="84">
        <f t="shared" si="64"/>
        <v>1.8260000000000001</v>
      </c>
      <c r="F201" s="84">
        <f t="shared" si="65"/>
        <v>1.968</v>
      </c>
      <c r="G201" s="84">
        <f t="shared" si="63"/>
        <v>0.95099999999999996</v>
      </c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</row>
    <row r="202" spans="1:96" x14ac:dyDescent="0.2">
      <c r="A202" s="84">
        <v>1</v>
      </c>
      <c r="B202" s="84" t="s">
        <v>81</v>
      </c>
      <c r="C202" s="84" t="s">
        <v>169</v>
      </c>
      <c r="D202" s="84">
        <f t="shared" si="62"/>
        <v>1</v>
      </c>
      <c r="E202" s="84">
        <f t="shared" si="64"/>
        <v>2.3570000000000002</v>
      </c>
      <c r="F202" s="84">
        <f t="shared" si="65"/>
        <v>1.6240000000000001</v>
      </c>
      <c r="G202" s="84">
        <f t="shared" si="63"/>
        <v>0.88100000000000001</v>
      </c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</row>
    <row r="203" spans="1:96" x14ac:dyDescent="0.2">
      <c r="A203" s="84">
        <v>1</v>
      </c>
      <c r="B203" s="84" t="s">
        <v>81</v>
      </c>
      <c r="C203" s="84" t="s">
        <v>170</v>
      </c>
      <c r="D203" s="84">
        <f t="shared" si="62"/>
        <v>1</v>
      </c>
      <c r="E203" s="84">
        <f t="shared" si="64"/>
        <v>2.5470000000000002</v>
      </c>
      <c r="F203" s="84">
        <f t="shared" si="65"/>
        <v>1.9319999999999999</v>
      </c>
      <c r="G203" s="84">
        <f t="shared" si="63"/>
        <v>0.874</v>
      </c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</row>
    <row r="204" spans="1:96" x14ac:dyDescent="0.2">
      <c r="A204" s="84">
        <v>1</v>
      </c>
      <c r="B204" s="84" t="s">
        <v>81</v>
      </c>
      <c r="C204" s="84" t="s">
        <v>171</v>
      </c>
      <c r="D204" s="84">
        <f t="shared" si="62"/>
        <v>1</v>
      </c>
      <c r="E204" s="84">
        <f t="shared" si="64"/>
        <v>2.23</v>
      </c>
      <c r="F204" s="84">
        <f t="shared" si="65"/>
        <v>2.0409999999999999</v>
      </c>
      <c r="G204" s="84">
        <f t="shared" si="63"/>
        <v>0.73899999999999999</v>
      </c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</row>
    <row r="205" spans="1:96" x14ac:dyDescent="0.2">
      <c r="A205" s="84">
        <v>1</v>
      </c>
      <c r="B205" s="84" t="s">
        <v>81</v>
      </c>
      <c r="C205" s="84" t="s">
        <v>172</v>
      </c>
      <c r="D205" s="84">
        <f t="shared" si="62"/>
        <v>1</v>
      </c>
      <c r="E205" s="84">
        <f t="shared" si="64"/>
        <v>2.6139999999999999</v>
      </c>
      <c r="F205" s="84">
        <f t="shared" si="65"/>
        <v>2.3279999999999998</v>
      </c>
      <c r="G205" s="84">
        <f t="shared" si="63"/>
        <v>0.84399999999999997</v>
      </c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</row>
    <row r="206" spans="1:96" x14ac:dyDescent="0.2">
      <c r="A206" s="84">
        <v>1</v>
      </c>
      <c r="B206" s="84" t="s">
        <v>81</v>
      </c>
      <c r="C206" s="84" t="s">
        <v>173</v>
      </c>
      <c r="D206" s="84">
        <f t="shared" si="62"/>
        <v>1</v>
      </c>
      <c r="E206" s="84">
        <f t="shared" si="64"/>
        <v>2.5990000000000002</v>
      </c>
      <c r="F206" s="84">
        <f t="shared" si="65"/>
        <v>2.1469999999999998</v>
      </c>
      <c r="G206" s="84">
        <f t="shared" si="63"/>
        <v>0.872</v>
      </c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</row>
    <row r="207" spans="1:96" x14ac:dyDescent="0.2">
      <c r="A207" s="84">
        <v>1</v>
      </c>
      <c r="B207" s="84" t="s">
        <v>81</v>
      </c>
      <c r="C207" s="84" t="s">
        <v>174</v>
      </c>
      <c r="D207" s="84">
        <f t="shared" si="62"/>
        <v>1</v>
      </c>
      <c r="E207" s="84">
        <f t="shared" si="64"/>
        <v>3.1779999999999999</v>
      </c>
      <c r="F207" s="84">
        <f t="shared" si="65"/>
        <v>2.2229999999999999</v>
      </c>
      <c r="G207" s="84">
        <f t="shared" si="63"/>
        <v>1.339</v>
      </c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</row>
    <row r="208" spans="1:96" x14ac:dyDescent="0.2">
      <c r="A208" s="84">
        <v>1</v>
      </c>
      <c r="B208" s="84" t="s">
        <v>190</v>
      </c>
      <c r="C208" s="84" t="s">
        <v>175</v>
      </c>
      <c r="D208" s="84">
        <f t="shared" si="62"/>
        <v>1</v>
      </c>
      <c r="E208" s="84">
        <f t="shared" si="64"/>
        <v>9.8089999999999993</v>
      </c>
      <c r="F208" s="84">
        <f t="shared" si="65"/>
        <v>6269.5410000000002</v>
      </c>
      <c r="G208" s="84">
        <f t="shared" si="63"/>
        <v>-323.20600000000002</v>
      </c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</row>
    <row r="209" spans="1:96" x14ac:dyDescent="0.2">
      <c r="A209" s="84">
        <v>1</v>
      </c>
      <c r="B209" s="84" t="s">
        <v>64</v>
      </c>
      <c r="C209" s="84" t="s">
        <v>176</v>
      </c>
      <c r="D209" s="84">
        <f t="shared" si="62"/>
        <v>1</v>
      </c>
      <c r="E209" s="84">
        <f t="shared" si="64"/>
        <v>0.99099999999999999</v>
      </c>
      <c r="F209" s="84">
        <f t="shared" si="65"/>
        <v>0.98599999999999999</v>
      </c>
      <c r="G209" s="84">
        <f t="shared" si="63"/>
        <v>0.98299999999999998</v>
      </c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</row>
    <row r="210" spans="1:96" x14ac:dyDescent="0.2">
      <c r="A210" s="84">
        <v>1</v>
      </c>
      <c r="B210" s="84" t="s">
        <v>82</v>
      </c>
      <c r="C210" s="84" t="s">
        <v>177</v>
      </c>
      <c r="D210" s="84">
        <f t="shared" si="62"/>
        <v>1</v>
      </c>
      <c r="E210" s="84">
        <f t="shared" si="64"/>
        <v>1.7270000000000001</v>
      </c>
      <c r="F210" s="84">
        <f t="shared" si="65"/>
        <v>0.94899999999999995</v>
      </c>
      <c r="G210" s="84">
        <f t="shared" si="63"/>
        <v>0.24099999999999999</v>
      </c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</row>
    <row r="211" spans="1:96" x14ac:dyDescent="0.2">
      <c r="A211" s="84">
        <v>1</v>
      </c>
      <c r="B211" s="84" t="s">
        <v>82</v>
      </c>
      <c r="C211" s="84" t="s">
        <v>178</v>
      </c>
      <c r="D211" s="84">
        <f t="shared" si="62"/>
        <v>1</v>
      </c>
      <c r="E211" s="84">
        <f t="shared" si="64"/>
        <v>3.3239999999999998</v>
      </c>
      <c r="F211" s="84">
        <f t="shared" si="65"/>
        <v>1.587</v>
      </c>
      <c r="G211" s="84">
        <f t="shared" si="63"/>
        <v>0.249</v>
      </c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</row>
    <row r="212" spans="1:96" x14ac:dyDescent="0.2">
      <c r="A212" s="84">
        <v>1</v>
      </c>
      <c r="B212" s="84" t="s">
        <v>82</v>
      </c>
      <c r="C212" s="84" t="s">
        <v>179</v>
      </c>
      <c r="D212" s="84">
        <f t="shared" si="62"/>
        <v>1</v>
      </c>
      <c r="E212" s="84">
        <f t="shared" si="64"/>
        <v>1.988</v>
      </c>
      <c r="F212" s="84">
        <f t="shared" si="65"/>
        <v>1.5649999999999999</v>
      </c>
      <c r="G212" s="84">
        <f t="shared" si="63"/>
        <v>0.25</v>
      </c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</row>
    <row r="213" spans="1:96" x14ac:dyDescent="0.2">
      <c r="A213" s="84">
        <v>1</v>
      </c>
      <c r="B213" s="84" t="s">
        <v>82</v>
      </c>
      <c r="C213" s="84" t="s">
        <v>180</v>
      </c>
      <c r="D213" s="84">
        <f t="shared" si="62"/>
        <v>1</v>
      </c>
      <c r="E213" s="84">
        <f t="shared" si="64"/>
        <v>2.488</v>
      </c>
      <c r="F213" s="84">
        <f t="shared" si="65"/>
        <v>1.431</v>
      </c>
      <c r="G213" s="84">
        <f t="shared" si="63"/>
        <v>0.34300000000000003</v>
      </c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</row>
    <row r="214" spans="1:96" x14ac:dyDescent="0.2">
      <c r="A214" s="84">
        <v>1</v>
      </c>
      <c r="B214" s="84" t="s">
        <v>82</v>
      </c>
      <c r="C214" s="84" t="s">
        <v>181</v>
      </c>
      <c r="D214" s="84">
        <f t="shared" si="62"/>
        <v>1</v>
      </c>
      <c r="E214" s="84">
        <f t="shared" si="64"/>
        <v>1.843</v>
      </c>
      <c r="F214" s="84">
        <f t="shared" si="65"/>
        <v>1.0369999999999999</v>
      </c>
      <c r="G214" s="84">
        <f t="shared" si="63"/>
        <v>0.28599999999999998</v>
      </c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</row>
    <row r="215" spans="1:96" x14ac:dyDescent="0.2">
      <c r="A215" s="84">
        <v>1</v>
      </c>
      <c r="B215" s="84" t="s">
        <v>82</v>
      </c>
      <c r="C215" s="84" t="s">
        <v>182</v>
      </c>
      <c r="D215" s="84">
        <f t="shared" si="62"/>
        <v>1</v>
      </c>
      <c r="E215" s="84">
        <f t="shared" si="64"/>
        <v>2.214</v>
      </c>
      <c r="F215" s="84">
        <f t="shared" si="65"/>
        <v>1.714</v>
      </c>
      <c r="G215" s="84">
        <f t="shared" si="63"/>
        <v>0.35099999999999998</v>
      </c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</row>
    <row r="216" spans="1:96" x14ac:dyDescent="0.2">
      <c r="A216" s="84">
        <v>1</v>
      </c>
      <c r="B216" s="84" t="s">
        <v>82</v>
      </c>
      <c r="C216" s="84" t="s">
        <v>183</v>
      </c>
      <c r="D216" s="84">
        <f t="shared" si="62"/>
        <v>1</v>
      </c>
      <c r="E216" s="84">
        <f t="shared" si="64"/>
        <v>2.0579999999999998</v>
      </c>
      <c r="F216" s="84">
        <f t="shared" si="65"/>
        <v>1.75</v>
      </c>
      <c r="G216" s="84">
        <f t="shared" si="63"/>
        <v>0.4</v>
      </c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</row>
    <row r="217" spans="1:96" x14ac:dyDescent="0.2">
      <c r="A217" s="84">
        <v>1</v>
      </c>
      <c r="B217" s="84" t="s">
        <v>82</v>
      </c>
      <c r="C217" s="84" t="s">
        <v>184</v>
      </c>
      <c r="D217" s="84">
        <f t="shared" si="62"/>
        <v>1</v>
      </c>
      <c r="E217" s="84">
        <f t="shared" si="64"/>
        <v>2.06</v>
      </c>
      <c r="F217" s="84">
        <f t="shared" si="65"/>
        <v>1.302</v>
      </c>
      <c r="G217" s="84">
        <f t="shared" si="63"/>
        <v>0.52600000000000002</v>
      </c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</row>
    <row r="218" spans="1:96" x14ac:dyDescent="0.2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</row>
    <row r="219" spans="1:96" x14ac:dyDescent="0.2">
      <c r="A219" s="84" t="s">
        <v>189</v>
      </c>
      <c r="B219" s="84" t="s">
        <v>188</v>
      </c>
      <c r="C219" s="84" t="s">
        <v>124</v>
      </c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</row>
    <row r="220" spans="1:96" x14ac:dyDescent="0.2">
      <c r="A220" s="84">
        <v>2</v>
      </c>
      <c r="B220" s="84" t="s">
        <v>190</v>
      </c>
      <c r="C220" s="84" t="s">
        <v>125</v>
      </c>
      <c r="D220" s="84">
        <f>V93/$V93</f>
        <v>1</v>
      </c>
      <c r="E220" s="84">
        <f>ROUND(BB93/$V93,3)</f>
        <v>-4.9889999999999999</v>
      </c>
      <c r="F220" s="84">
        <f>ROUND(CH93/$V93,3)</f>
        <v>-1.98</v>
      </c>
      <c r="G220" s="84">
        <f>ROUND(DN94/$V93,3)</f>
        <v>6396.3760000000002</v>
      </c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</row>
    <row r="221" spans="1:96" x14ac:dyDescent="0.2">
      <c r="A221" s="84">
        <v>2</v>
      </c>
      <c r="B221" s="84" t="s">
        <v>64</v>
      </c>
      <c r="C221" s="84" t="s">
        <v>126</v>
      </c>
      <c r="D221" s="84">
        <f t="shared" ref="D221:D279" si="66">V94/$V94</f>
        <v>1</v>
      </c>
      <c r="E221" s="84">
        <f t="shared" ref="E221:E279" si="67">ROUND(BB94/$V94,3)</f>
        <v>0.999</v>
      </c>
      <c r="F221" s="84">
        <f t="shared" ref="F221:F279" si="68">ROUND(CH94/$V94,3)</f>
        <v>0.999</v>
      </c>
      <c r="G221" s="84">
        <f t="shared" ref="G221:G279" si="69">ROUND(DN95/$V94,3)</f>
        <v>0</v>
      </c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</row>
    <row r="222" spans="1:96" x14ac:dyDescent="0.2">
      <c r="A222" s="84">
        <v>2</v>
      </c>
      <c r="B222" s="84" t="s">
        <v>83</v>
      </c>
      <c r="C222" s="84" t="s">
        <v>127</v>
      </c>
      <c r="D222" s="84">
        <f t="shared" si="66"/>
        <v>1</v>
      </c>
      <c r="E222" s="84">
        <f t="shared" si="67"/>
        <v>1.887</v>
      </c>
      <c r="F222" s="84">
        <f t="shared" si="68"/>
        <v>0.90600000000000003</v>
      </c>
      <c r="G222" s="84">
        <f t="shared" si="69"/>
        <v>2E-3</v>
      </c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</row>
    <row r="223" spans="1:96" x14ac:dyDescent="0.2">
      <c r="A223" s="84">
        <v>2</v>
      </c>
      <c r="B223" s="84" t="s">
        <v>83</v>
      </c>
      <c r="C223" s="84" t="s">
        <v>128</v>
      </c>
      <c r="D223" s="84">
        <f t="shared" si="66"/>
        <v>1</v>
      </c>
      <c r="E223" s="84">
        <f t="shared" si="67"/>
        <v>1.9350000000000001</v>
      </c>
      <c r="F223" s="84">
        <f t="shared" si="68"/>
        <v>0.66200000000000003</v>
      </c>
      <c r="G223" s="84">
        <f t="shared" si="69"/>
        <v>6.3E-2</v>
      </c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</row>
    <row r="224" spans="1:96" x14ac:dyDescent="0.2">
      <c r="A224" s="84">
        <v>2</v>
      </c>
      <c r="B224" s="84" t="s">
        <v>83</v>
      </c>
      <c r="C224" s="84" t="s">
        <v>129</v>
      </c>
      <c r="D224" s="84">
        <f t="shared" si="66"/>
        <v>1</v>
      </c>
      <c r="E224" s="84">
        <f t="shared" si="67"/>
        <v>1.913</v>
      </c>
      <c r="F224" s="84">
        <f t="shared" si="68"/>
        <v>0.89500000000000002</v>
      </c>
      <c r="G224" s="84">
        <f t="shared" si="69"/>
        <v>7.0000000000000001E-3</v>
      </c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</row>
    <row r="225" spans="1:96" x14ac:dyDescent="0.2">
      <c r="A225" s="84">
        <v>2</v>
      </c>
      <c r="B225" s="84" t="s">
        <v>83</v>
      </c>
      <c r="C225" s="84" t="s">
        <v>130</v>
      </c>
      <c r="D225" s="84">
        <f t="shared" si="66"/>
        <v>1</v>
      </c>
      <c r="E225" s="84">
        <f t="shared" si="67"/>
        <v>1.853</v>
      </c>
      <c r="F225" s="84">
        <f t="shared" si="68"/>
        <v>0.64500000000000002</v>
      </c>
      <c r="G225" s="84">
        <f t="shared" si="69"/>
        <v>8.5000000000000006E-2</v>
      </c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</row>
    <row r="226" spans="1:96" x14ac:dyDescent="0.2">
      <c r="A226" s="84">
        <v>2</v>
      </c>
      <c r="B226" s="84" t="s">
        <v>83</v>
      </c>
      <c r="C226" s="84" t="s">
        <v>131</v>
      </c>
      <c r="D226" s="84">
        <f t="shared" si="66"/>
        <v>1</v>
      </c>
      <c r="E226" s="84">
        <f t="shared" si="67"/>
        <v>2.08</v>
      </c>
      <c r="F226" s="84">
        <f t="shared" si="68"/>
        <v>0.83099999999999996</v>
      </c>
      <c r="G226" s="84">
        <f t="shared" si="69"/>
        <v>0.127</v>
      </c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</row>
    <row r="227" spans="1:96" x14ac:dyDescent="0.2">
      <c r="A227" s="84">
        <v>2</v>
      </c>
      <c r="B227" s="84" t="s">
        <v>83</v>
      </c>
      <c r="C227" s="84" t="s">
        <v>132</v>
      </c>
      <c r="D227" s="84">
        <f t="shared" si="66"/>
        <v>1</v>
      </c>
      <c r="E227" s="84">
        <f t="shared" si="67"/>
        <v>2.15</v>
      </c>
      <c r="F227" s="84">
        <f t="shared" si="68"/>
        <v>1.0229999999999999</v>
      </c>
      <c r="G227" s="84">
        <f t="shared" si="69"/>
        <v>0.21199999999999999</v>
      </c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</row>
    <row r="228" spans="1:96" x14ac:dyDescent="0.2">
      <c r="A228" s="84">
        <v>2</v>
      </c>
      <c r="B228" s="84" t="s">
        <v>83</v>
      </c>
      <c r="C228" s="84" t="s">
        <v>133</v>
      </c>
      <c r="D228" s="84">
        <f t="shared" si="66"/>
        <v>1</v>
      </c>
      <c r="E228" s="84">
        <f t="shared" si="67"/>
        <v>2.8980000000000001</v>
      </c>
      <c r="F228" s="84">
        <f t="shared" si="68"/>
        <v>1.593</v>
      </c>
      <c r="G228" s="84">
        <f t="shared" si="69"/>
        <v>0.34599999999999997</v>
      </c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</row>
    <row r="229" spans="1:96" x14ac:dyDescent="0.2">
      <c r="A229" s="84">
        <v>2</v>
      </c>
      <c r="B229" s="84" t="s">
        <v>83</v>
      </c>
      <c r="C229" s="84" t="s">
        <v>134</v>
      </c>
      <c r="D229" s="84">
        <f t="shared" si="66"/>
        <v>1</v>
      </c>
      <c r="E229" s="84">
        <f t="shared" si="67"/>
        <v>2.6909999999999998</v>
      </c>
      <c r="F229" s="84">
        <f t="shared" si="68"/>
        <v>1.99</v>
      </c>
      <c r="G229" s="84">
        <f t="shared" si="69"/>
        <v>1.2E-2</v>
      </c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</row>
    <row r="230" spans="1:96" x14ac:dyDescent="0.2">
      <c r="A230" s="84">
        <v>2</v>
      </c>
      <c r="B230" s="84" t="s">
        <v>190</v>
      </c>
      <c r="C230" s="84" t="s">
        <v>135</v>
      </c>
      <c r="D230" s="84">
        <f t="shared" si="66"/>
        <v>1</v>
      </c>
      <c r="E230" s="84">
        <f t="shared" si="67"/>
        <v>-11.824</v>
      </c>
      <c r="F230" s="84">
        <f t="shared" si="68"/>
        <v>7.0869999999999997</v>
      </c>
      <c r="G230" s="84">
        <f t="shared" si="69"/>
        <v>31620.607</v>
      </c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</row>
    <row r="231" spans="1:96" x14ac:dyDescent="0.2">
      <c r="A231" s="84">
        <v>2</v>
      </c>
      <c r="B231" s="84" t="s">
        <v>64</v>
      </c>
      <c r="C231" s="84" t="s">
        <v>136</v>
      </c>
      <c r="D231" s="84">
        <f t="shared" si="66"/>
        <v>1</v>
      </c>
      <c r="E231" s="84">
        <f t="shared" si="67"/>
        <v>1.0009999999999999</v>
      </c>
      <c r="F231" s="84">
        <f t="shared" si="68"/>
        <v>0.996</v>
      </c>
      <c r="G231" s="84">
        <f t="shared" si="69"/>
        <v>1E-3</v>
      </c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</row>
    <row r="232" spans="1:96" x14ac:dyDescent="0.2">
      <c r="A232" s="84">
        <v>2</v>
      </c>
      <c r="B232" s="84" t="s">
        <v>84</v>
      </c>
      <c r="C232" s="84" t="s">
        <v>137</v>
      </c>
      <c r="D232" s="84">
        <f t="shared" si="66"/>
        <v>1</v>
      </c>
      <c r="E232" s="84">
        <f t="shared" si="67"/>
        <v>1.6870000000000001</v>
      </c>
      <c r="F232" s="84">
        <f t="shared" si="68"/>
        <v>0.75800000000000001</v>
      </c>
      <c r="G232" s="84">
        <f t="shared" si="69"/>
        <v>-2.1999999999999999E-2</v>
      </c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</row>
    <row r="233" spans="1:96" x14ac:dyDescent="0.2">
      <c r="A233" s="84">
        <v>2</v>
      </c>
      <c r="B233" s="84" t="s">
        <v>84</v>
      </c>
      <c r="C233" s="84" t="s">
        <v>138</v>
      </c>
      <c r="D233" s="84">
        <f t="shared" si="66"/>
        <v>1</v>
      </c>
      <c r="E233" s="84">
        <f t="shared" si="67"/>
        <v>1.073</v>
      </c>
      <c r="F233" s="84">
        <f t="shared" si="68"/>
        <v>0.83699999999999997</v>
      </c>
      <c r="G233" s="84">
        <f t="shared" si="69"/>
        <v>-1.0999999999999999E-2</v>
      </c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</row>
    <row r="234" spans="1:96" x14ac:dyDescent="0.2">
      <c r="A234" s="84">
        <v>2</v>
      </c>
      <c r="B234" s="84" t="s">
        <v>84</v>
      </c>
      <c r="C234" s="84" t="s">
        <v>139</v>
      </c>
      <c r="D234" s="84">
        <f t="shared" si="66"/>
        <v>1</v>
      </c>
      <c r="E234" s="84">
        <f t="shared" si="67"/>
        <v>1.722</v>
      </c>
      <c r="F234" s="84">
        <f t="shared" si="68"/>
        <v>0.76800000000000002</v>
      </c>
      <c r="G234" s="84">
        <f t="shared" si="69"/>
        <v>-4.5999999999999999E-2</v>
      </c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</row>
    <row r="235" spans="1:96" x14ac:dyDescent="0.2">
      <c r="A235" s="84">
        <v>2</v>
      </c>
      <c r="B235" s="84" t="s">
        <v>84</v>
      </c>
      <c r="C235" s="84" t="s">
        <v>140</v>
      </c>
      <c r="D235" s="84">
        <f t="shared" si="66"/>
        <v>1</v>
      </c>
      <c r="E235" s="84">
        <f t="shared" si="67"/>
        <v>1.25</v>
      </c>
      <c r="F235" s="84">
        <f t="shared" si="68"/>
        <v>0.74199999999999999</v>
      </c>
      <c r="G235" s="84">
        <f t="shared" si="69"/>
        <v>-1.0999999999999999E-2</v>
      </c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</row>
    <row r="236" spans="1:96" x14ac:dyDescent="0.2">
      <c r="A236" s="84">
        <v>2</v>
      </c>
      <c r="B236" s="84" t="s">
        <v>84</v>
      </c>
      <c r="C236" s="84" t="s">
        <v>141</v>
      </c>
      <c r="D236" s="84">
        <f t="shared" si="66"/>
        <v>1</v>
      </c>
      <c r="E236" s="84">
        <f t="shared" si="67"/>
        <v>1.24</v>
      </c>
      <c r="F236" s="84">
        <f t="shared" si="68"/>
        <v>0.77900000000000003</v>
      </c>
      <c r="G236" s="84">
        <f t="shared" si="69"/>
        <v>-4.3999999999999997E-2</v>
      </c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</row>
    <row r="237" spans="1:96" x14ac:dyDescent="0.2">
      <c r="A237" s="84">
        <v>2</v>
      </c>
      <c r="B237" s="84" t="s">
        <v>84</v>
      </c>
      <c r="C237" s="84" t="s">
        <v>142</v>
      </c>
      <c r="D237" s="84">
        <f t="shared" si="66"/>
        <v>1</v>
      </c>
      <c r="E237" s="84">
        <f t="shared" si="67"/>
        <v>1.927</v>
      </c>
      <c r="F237" s="84">
        <f t="shared" si="68"/>
        <v>0.88500000000000001</v>
      </c>
      <c r="G237" s="84">
        <f t="shared" si="69"/>
        <v>2.7E-2</v>
      </c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</row>
    <row r="238" spans="1:96" x14ac:dyDescent="0.2">
      <c r="A238" s="84">
        <v>2</v>
      </c>
      <c r="B238" s="84" t="s">
        <v>84</v>
      </c>
      <c r="C238" s="84" t="s">
        <v>143</v>
      </c>
      <c r="D238" s="84">
        <f t="shared" si="66"/>
        <v>1</v>
      </c>
      <c r="E238" s="84">
        <f t="shared" si="67"/>
        <v>2.5070000000000001</v>
      </c>
      <c r="F238" s="84">
        <f t="shared" si="68"/>
        <v>1.1180000000000001</v>
      </c>
      <c r="G238" s="84">
        <f t="shared" si="69"/>
        <v>0.01</v>
      </c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</row>
    <row r="239" spans="1:96" x14ac:dyDescent="0.2">
      <c r="A239" s="84">
        <v>2</v>
      </c>
      <c r="B239" s="84" t="s">
        <v>84</v>
      </c>
      <c r="C239" s="84" t="s">
        <v>144</v>
      </c>
      <c r="D239" s="84">
        <f t="shared" si="66"/>
        <v>1</v>
      </c>
      <c r="E239" s="84">
        <f t="shared" si="67"/>
        <v>2.621</v>
      </c>
      <c r="F239" s="84">
        <f t="shared" si="68"/>
        <v>0.80800000000000005</v>
      </c>
      <c r="G239" s="84">
        <f t="shared" si="69"/>
        <v>-3.5000000000000003E-2</v>
      </c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</row>
    <row r="240" spans="1:96" x14ac:dyDescent="0.2">
      <c r="A240" s="84">
        <v>2</v>
      </c>
      <c r="B240" s="84" t="s">
        <v>190</v>
      </c>
      <c r="C240" s="84" t="s">
        <v>145</v>
      </c>
      <c r="D240" s="84">
        <f t="shared" si="66"/>
        <v>1</v>
      </c>
      <c r="E240" s="84">
        <f t="shared" si="67"/>
        <v>54.667999999999999</v>
      </c>
      <c r="F240" s="84">
        <f t="shared" si="68"/>
        <v>10.4</v>
      </c>
      <c r="G240" s="84">
        <f t="shared" si="69"/>
        <v>-42555.254000000001</v>
      </c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</row>
    <row r="241" spans="1:96" x14ac:dyDescent="0.2">
      <c r="A241" s="84">
        <v>2</v>
      </c>
      <c r="B241" s="84" t="s">
        <v>64</v>
      </c>
      <c r="C241" s="84" t="s">
        <v>146</v>
      </c>
      <c r="D241" s="84">
        <f t="shared" si="66"/>
        <v>1</v>
      </c>
      <c r="E241" s="84">
        <f t="shared" si="67"/>
        <v>0.997</v>
      </c>
      <c r="F241" s="84">
        <f t="shared" si="68"/>
        <v>0.98899999999999999</v>
      </c>
      <c r="G241" s="84">
        <f t="shared" si="69"/>
        <v>-1E-3</v>
      </c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</row>
    <row r="242" spans="1:96" x14ac:dyDescent="0.2">
      <c r="A242" s="84">
        <v>2</v>
      </c>
      <c r="B242" s="84" t="s">
        <v>85</v>
      </c>
      <c r="C242" s="84" t="s">
        <v>147</v>
      </c>
      <c r="D242" s="84">
        <f t="shared" si="66"/>
        <v>1</v>
      </c>
      <c r="E242" s="84">
        <f t="shared" si="67"/>
        <v>1.393</v>
      </c>
      <c r="F242" s="84">
        <f t="shared" si="68"/>
        <v>0.67500000000000004</v>
      </c>
      <c r="G242" s="84">
        <f t="shared" si="69"/>
        <v>-2.4E-2</v>
      </c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</row>
    <row r="243" spans="1:96" x14ac:dyDescent="0.2">
      <c r="A243" s="84">
        <v>2</v>
      </c>
      <c r="B243" s="84" t="s">
        <v>85</v>
      </c>
      <c r="C243" s="84" t="s">
        <v>148</v>
      </c>
      <c r="D243" s="84">
        <f t="shared" si="66"/>
        <v>1</v>
      </c>
      <c r="E243" s="84">
        <f t="shared" si="67"/>
        <v>1.988</v>
      </c>
      <c r="F243" s="84">
        <f t="shared" si="68"/>
        <v>0.66500000000000004</v>
      </c>
      <c r="G243" s="84">
        <f t="shared" si="69"/>
        <v>-2.4E-2</v>
      </c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</row>
    <row r="244" spans="1:96" x14ac:dyDescent="0.2">
      <c r="A244" s="84">
        <v>2</v>
      </c>
      <c r="B244" s="84" t="s">
        <v>85</v>
      </c>
      <c r="C244" s="84" t="s">
        <v>149</v>
      </c>
      <c r="D244" s="84">
        <f t="shared" si="66"/>
        <v>1</v>
      </c>
      <c r="E244" s="84">
        <f t="shared" si="67"/>
        <v>1.5429999999999999</v>
      </c>
      <c r="F244" s="84">
        <f t="shared" si="68"/>
        <v>0.46700000000000003</v>
      </c>
      <c r="G244" s="84">
        <f t="shared" si="69"/>
        <v>-2.1999999999999999E-2</v>
      </c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</row>
    <row r="245" spans="1:96" x14ac:dyDescent="0.2">
      <c r="A245" s="84">
        <v>2</v>
      </c>
      <c r="B245" s="84" t="s">
        <v>85</v>
      </c>
      <c r="C245" s="84" t="s">
        <v>150</v>
      </c>
      <c r="D245" s="84">
        <f t="shared" si="66"/>
        <v>1</v>
      </c>
      <c r="E245" s="84">
        <f t="shared" si="67"/>
        <v>1.508</v>
      </c>
      <c r="F245" s="84">
        <f t="shared" si="68"/>
        <v>0.46500000000000002</v>
      </c>
      <c r="G245" s="84">
        <f t="shared" si="69"/>
        <v>-1.4E-2</v>
      </c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</row>
    <row r="246" spans="1:96" x14ac:dyDescent="0.2">
      <c r="A246" s="84">
        <v>2</v>
      </c>
      <c r="B246" s="84" t="s">
        <v>85</v>
      </c>
      <c r="C246" s="84" t="s">
        <v>151</v>
      </c>
      <c r="D246" s="84">
        <f t="shared" si="66"/>
        <v>1</v>
      </c>
      <c r="E246" s="84">
        <f t="shared" si="67"/>
        <v>1.6240000000000001</v>
      </c>
      <c r="F246" s="84">
        <f t="shared" si="68"/>
        <v>0.622</v>
      </c>
      <c r="G246" s="84">
        <f t="shared" si="69"/>
        <v>-1.4E-2</v>
      </c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</row>
    <row r="247" spans="1:96" x14ac:dyDescent="0.2">
      <c r="A247" s="84">
        <v>2</v>
      </c>
      <c r="B247" s="84" t="s">
        <v>85</v>
      </c>
      <c r="C247" s="84" t="s">
        <v>152</v>
      </c>
      <c r="D247" s="84">
        <f t="shared" si="66"/>
        <v>1</v>
      </c>
      <c r="E247" s="84">
        <f t="shared" si="67"/>
        <v>1.603</v>
      </c>
      <c r="F247" s="84">
        <f t="shared" si="68"/>
        <v>0.54600000000000004</v>
      </c>
      <c r="G247" s="84">
        <f t="shared" si="69"/>
        <v>-2E-3</v>
      </c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</row>
    <row r="248" spans="1:96" x14ac:dyDescent="0.2">
      <c r="A248" s="84">
        <v>2</v>
      </c>
      <c r="B248" s="84" t="s">
        <v>85</v>
      </c>
      <c r="C248" s="84" t="s">
        <v>153</v>
      </c>
      <c r="D248" s="84">
        <f t="shared" si="66"/>
        <v>1</v>
      </c>
      <c r="E248" s="84">
        <f t="shared" si="67"/>
        <v>1.8260000000000001</v>
      </c>
      <c r="F248" s="84">
        <f t="shared" si="68"/>
        <v>0.89900000000000002</v>
      </c>
      <c r="G248" s="84">
        <f t="shared" si="69"/>
        <v>-1.6E-2</v>
      </c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</row>
    <row r="249" spans="1:96" x14ac:dyDescent="0.2">
      <c r="A249" s="84">
        <v>2</v>
      </c>
      <c r="B249" s="84" t="s">
        <v>85</v>
      </c>
      <c r="C249" s="84" t="s">
        <v>154</v>
      </c>
      <c r="D249" s="84">
        <f t="shared" si="66"/>
        <v>1</v>
      </c>
      <c r="E249" s="84">
        <f t="shared" si="67"/>
        <v>1.92</v>
      </c>
      <c r="F249" s="84">
        <f t="shared" si="68"/>
        <v>1.407</v>
      </c>
      <c r="G249" s="84">
        <f t="shared" si="69"/>
        <v>-1.2E-2</v>
      </c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</row>
    <row r="250" spans="1:96" x14ac:dyDescent="0.2">
      <c r="A250" s="84">
        <v>2</v>
      </c>
      <c r="B250" s="84" t="s">
        <v>190</v>
      </c>
      <c r="C250" s="84" t="s">
        <v>155</v>
      </c>
      <c r="D250" s="84">
        <f t="shared" si="66"/>
        <v>1</v>
      </c>
      <c r="E250" s="84">
        <f t="shared" si="67"/>
        <v>0.36299999999999999</v>
      </c>
      <c r="F250" s="84">
        <f t="shared" si="68"/>
        <v>0.90700000000000003</v>
      </c>
      <c r="G250" s="84">
        <f t="shared" si="69"/>
        <v>-4343.8720000000003</v>
      </c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</row>
    <row r="251" spans="1:96" x14ac:dyDescent="0.2">
      <c r="A251" s="84">
        <v>2</v>
      </c>
      <c r="B251" s="84" t="s">
        <v>64</v>
      </c>
      <c r="C251" s="84" t="s">
        <v>156</v>
      </c>
      <c r="D251" s="84">
        <f t="shared" si="66"/>
        <v>1</v>
      </c>
      <c r="E251" s="84">
        <f t="shared" si="67"/>
        <v>0.999</v>
      </c>
      <c r="F251" s="84">
        <f t="shared" si="68"/>
        <v>0.996</v>
      </c>
      <c r="G251" s="84">
        <f t="shared" si="69"/>
        <v>0</v>
      </c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</row>
    <row r="252" spans="1:96" x14ac:dyDescent="0.2">
      <c r="A252" s="84">
        <v>2</v>
      </c>
      <c r="B252" s="84">
        <v>1</v>
      </c>
      <c r="C252" s="84" t="s">
        <v>157</v>
      </c>
      <c r="D252" s="84">
        <f t="shared" si="66"/>
        <v>1</v>
      </c>
      <c r="E252" s="84">
        <f t="shared" si="67"/>
        <v>1.202</v>
      </c>
      <c r="F252" s="84">
        <f t="shared" si="68"/>
        <v>0.53</v>
      </c>
      <c r="G252" s="84">
        <f t="shared" si="69"/>
        <v>-1.7000000000000001E-2</v>
      </c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</row>
    <row r="253" spans="1:96" x14ac:dyDescent="0.2">
      <c r="A253" s="84">
        <v>2</v>
      </c>
      <c r="B253" s="84">
        <v>1</v>
      </c>
      <c r="C253" s="84" t="s">
        <v>158</v>
      </c>
      <c r="D253" s="84">
        <f t="shared" si="66"/>
        <v>1</v>
      </c>
      <c r="E253" s="84">
        <f t="shared" si="67"/>
        <v>1.167</v>
      </c>
      <c r="F253" s="84">
        <f t="shared" si="68"/>
        <v>0.49</v>
      </c>
      <c r="G253" s="84">
        <f t="shared" si="69"/>
        <v>-0.02</v>
      </c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</row>
    <row r="254" spans="1:96" x14ac:dyDescent="0.2">
      <c r="A254" s="84">
        <v>2</v>
      </c>
      <c r="B254" s="84">
        <v>1</v>
      </c>
      <c r="C254" s="84" t="s">
        <v>159</v>
      </c>
      <c r="D254" s="84">
        <f t="shared" si="66"/>
        <v>1</v>
      </c>
      <c r="E254" s="84">
        <f t="shared" si="67"/>
        <v>1.236</v>
      </c>
      <c r="F254" s="84">
        <f t="shared" si="68"/>
        <v>0.63300000000000001</v>
      </c>
      <c r="G254" s="84">
        <f t="shared" si="69"/>
        <v>-4.0000000000000001E-3</v>
      </c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</row>
    <row r="255" spans="1:96" x14ac:dyDescent="0.2">
      <c r="A255" s="84">
        <v>2</v>
      </c>
      <c r="B255" s="84">
        <v>1</v>
      </c>
      <c r="C255" s="84" t="s">
        <v>160</v>
      </c>
      <c r="D255" s="84">
        <f t="shared" si="66"/>
        <v>1</v>
      </c>
      <c r="E255" s="84">
        <f t="shared" si="67"/>
        <v>1.02</v>
      </c>
      <c r="F255" s="84">
        <f t="shared" si="68"/>
        <v>0.439</v>
      </c>
      <c r="G255" s="84">
        <f t="shared" si="69"/>
        <v>-3.6999999999999998E-2</v>
      </c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</row>
    <row r="256" spans="1:96" x14ac:dyDescent="0.2">
      <c r="A256" s="84">
        <v>2</v>
      </c>
      <c r="B256" s="84">
        <v>1</v>
      </c>
      <c r="C256" s="84" t="s">
        <v>161</v>
      </c>
      <c r="D256" s="84">
        <f t="shared" si="66"/>
        <v>1</v>
      </c>
      <c r="E256" s="84">
        <f t="shared" si="67"/>
        <v>1.0289999999999999</v>
      </c>
      <c r="F256" s="84">
        <f t="shared" si="68"/>
        <v>0.38300000000000001</v>
      </c>
      <c r="G256" s="84">
        <f t="shared" si="69"/>
        <v>-0.02</v>
      </c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</row>
    <row r="257" spans="1:96" x14ac:dyDescent="0.2">
      <c r="A257" s="84">
        <v>2</v>
      </c>
      <c r="B257" s="84">
        <v>1</v>
      </c>
      <c r="C257" s="84" t="s">
        <v>162</v>
      </c>
      <c r="D257" s="84">
        <f t="shared" si="66"/>
        <v>1</v>
      </c>
      <c r="E257" s="84">
        <f t="shared" si="67"/>
        <v>1.204</v>
      </c>
      <c r="F257" s="84">
        <f t="shared" si="68"/>
        <v>0.41499999999999998</v>
      </c>
      <c r="G257" s="84">
        <f t="shared" si="69"/>
        <v>-1.7000000000000001E-2</v>
      </c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</row>
    <row r="258" spans="1:96" x14ac:dyDescent="0.2">
      <c r="A258" s="84">
        <v>2</v>
      </c>
      <c r="B258" s="84">
        <v>1</v>
      </c>
      <c r="C258" s="84" t="s">
        <v>163</v>
      </c>
      <c r="D258" s="84">
        <f t="shared" si="66"/>
        <v>1</v>
      </c>
      <c r="E258" s="84">
        <f t="shared" si="67"/>
        <v>1.1319999999999999</v>
      </c>
      <c r="F258" s="84">
        <f t="shared" si="68"/>
        <v>0.48099999999999998</v>
      </c>
      <c r="G258" s="84">
        <f t="shared" si="69"/>
        <v>1.4E-2</v>
      </c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</row>
    <row r="259" spans="1:96" x14ac:dyDescent="0.2">
      <c r="A259" s="84">
        <v>2</v>
      </c>
      <c r="B259" s="84">
        <v>1</v>
      </c>
      <c r="C259" s="84" t="s">
        <v>164</v>
      </c>
      <c r="D259" s="84">
        <f t="shared" si="66"/>
        <v>1</v>
      </c>
      <c r="E259" s="84">
        <f t="shared" si="67"/>
        <v>1.575</v>
      </c>
      <c r="F259" s="84">
        <f t="shared" si="68"/>
        <v>0.98699999999999999</v>
      </c>
      <c r="G259" s="84">
        <f t="shared" si="69"/>
        <v>-1.4999999999999999E-2</v>
      </c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</row>
    <row r="260" spans="1:96" x14ac:dyDescent="0.2">
      <c r="A260" s="84">
        <v>2</v>
      </c>
      <c r="B260" s="84" t="s">
        <v>190</v>
      </c>
      <c r="C260" s="84" t="s">
        <v>165</v>
      </c>
      <c r="D260" s="84">
        <f t="shared" si="66"/>
        <v>1</v>
      </c>
      <c r="E260" s="84">
        <f t="shared" si="67"/>
        <v>-24.794</v>
      </c>
      <c r="F260" s="84">
        <f t="shared" si="68"/>
        <v>-5.5110000000000001</v>
      </c>
      <c r="G260" s="84">
        <f t="shared" si="69"/>
        <v>-25564.477999999999</v>
      </c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</row>
    <row r="261" spans="1:96" x14ac:dyDescent="0.2">
      <c r="A261" s="84">
        <v>2</v>
      </c>
      <c r="B261" s="84" t="s">
        <v>64</v>
      </c>
      <c r="C261" s="84" t="s">
        <v>166</v>
      </c>
      <c r="D261" s="84">
        <f t="shared" si="66"/>
        <v>1</v>
      </c>
      <c r="E261" s="84">
        <f t="shared" si="67"/>
        <v>1</v>
      </c>
      <c r="F261" s="84">
        <f t="shared" si="68"/>
        <v>0.997</v>
      </c>
      <c r="G261" s="84">
        <f t="shared" si="69"/>
        <v>-1E-3</v>
      </c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</row>
    <row r="262" spans="1:96" x14ac:dyDescent="0.2">
      <c r="A262" s="84">
        <v>2</v>
      </c>
      <c r="B262" s="84">
        <v>2</v>
      </c>
      <c r="C262" s="84" t="s">
        <v>167</v>
      </c>
      <c r="D262" s="84">
        <f t="shared" si="66"/>
        <v>1</v>
      </c>
      <c r="E262" s="84">
        <f t="shared" si="67"/>
        <v>0.84599999999999997</v>
      </c>
      <c r="F262" s="84">
        <f t="shared" si="68"/>
        <v>0.44400000000000001</v>
      </c>
      <c r="G262" s="84">
        <f t="shared" si="69"/>
        <v>-2.1999999999999999E-2</v>
      </c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</row>
    <row r="263" spans="1:96" x14ac:dyDescent="0.2">
      <c r="A263" s="84">
        <v>2</v>
      </c>
      <c r="B263" s="84">
        <v>2</v>
      </c>
      <c r="C263" s="84" t="s">
        <v>168</v>
      </c>
      <c r="D263" s="84">
        <f t="shared" si="66"/>
        <v>1</v>
      </c>
      <c r="E263" s="84">
        <f t="shared" si="67"/>
        <v>1.012</v>
      </c>
      <c r="F263" s="84">
        <f t="shared" si="68"/>
        <v>0.47499999999999998</v>
      </c>
      <c r="G263" s="84">
        <f t="shared" si="69"/>
        <v>8.9999999999999993E-3</v>
      </c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</row>
    <row r="264" spans="1:96" x14ac:dyDescent="0.2">
      <c r="A264" s="84">
        <v>2</v>
      </c>
      <c r="B264" s="84">
        <v>2</v>
      </c>
      <c r="C264" s="84" t="s">
        <v>169</v>
      </c>
      <c r="D264" s="84">
        <f t="shared" si="66"/>
        <v>1</v>
      </c>
      <c r="E264" s="84">
        <f t="shared" si="67"/>
        <v>1.163</v>
      </c>
      <c r="F264" s="84">
        <f t="shared" si="68"/>
        <v>0.55000000000000004</v>
      </c>
      <c r="G264" s="84">
        <f t="shared" si="69"/>
        <v>-0.02</v>
      </c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</row>
    <row r="265" spans="1:96" x14ac:dyDescent="0.2">
      <c r="A265" s="84">
        <v>2</v>
      </c>
      <c r="B265" s="84">
        <v>2</v>
      </c>
      <c r="C265" s="84" t="s">
        <v>170</v>
      </c>
      <c r="D265" s="84">
        <f t="shared" si="66"/>
        <v>1</v>
      </c>
      <c r="E265" s="84">
        <f t="shared" si="67"/>
        <v>1.0569999999999999</v>
      </c>
      <c r="F265" s="84">
        <f t="shared" si="68"/>
        <v>0.434</v>
      </c>
      <c r="G265" s="84">
        <f t="shared" si="69"/>
        <v>1.2999999999999999E-2</v>
      </c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</row>
    <row r="266" spans="1:96" x14ac:dyDescent="0.2">
      <c r="A266" s="84">
        <v>2</v>
      </c>
      <c r="B266" s="84">
        <v>2</v>
      </c>
      <c r="C266" s="84" t="s">
        <v>171</v>
      </c>
      <c r="D266" s="84">
        <f t="shared" si="66"/>
        <v>1</v>
      </c>
      <c r="E266" s="84">
        <f t="shared" si="67"/>
        <v>1.046</v>
      </c>
      <c r="F266" s="84">
        <f t="shared" si="68"/>
        <v>0.38200000000000001</v>
      </c>
      <c r="G266" s="84">
        <f t="shared" si="69"/>
        <v>2.5999999999999999E-2</v>
      </c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</row>
    <row r="267" spans="1:96" x14ac:dyDescent="0.2">
      <c r="A267" s="84">
        <v>2</v>
      </c>
      <c r="B267" s="84">
        <v>2</v>
      </c>
      <c r="C267" s="84" t="s">
        <v>172</v>
      </c>
      <c r="D267" s="84">
        <f t="shared" si="66"/>
        <v>1</v>
      </c>
      <c r="E267" s="84">
        <f t="shared" si="67"/>
        <v>1.18</v>
      </c>
      <c r="F267" s="84">
        <f t="shared" si="68"/>
        <v>0.55300000000000005</v>
      </c>
      <c r="G267" s="84">
        <f t="shared" si="69"/>
        <v>-1.7999999999999999E-2</v>
      </c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</row>
    <row r="268" spans="1:96" x14ac:dyDescent="0.2">
      <c r="A268" s="84">
        <v>2</v>
      </c>
      <c r="B268" s="84">
        <v>2</v>
      </c>
      <c r="C268" s="84" t="s">
        <v>173</v>
      </c>
      <c r="D268" s="84">
        <f t="shared" si="66"/>
        <v>1</v>
      </c>
      <c r="E268" s="84">
        <f t="shared" si="67"/>
        <v>1.1879999999999999</v>
      </c>
      <c r="F268" s="84">
        <f t="shared" si="68"/>
        <v>0.42099999999999999</v>
      </c>
      <c r="G268" s="84">
        <f t="shared" si="69"/>
        <v>3.6999999999999998E-2</v>
      </c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</row>
    <row r="269" spans="1:96" x14ac:dyDescent="0.2">
      <c r="A269" s="84">
        <v>2</v>
      </c>
      <c r="B269" s="84">
        <v>2</v>
      </c>
      <c r="C269" s="84" t="s">
        <v>174</v>
      </c>
      <c r="D269" s="84">
        <f t="shared" si="66"/>
        <v>1</v>
      </c>
      <c r="E269" s="84">
        <f t="shared" si="67"/>
        <v>1.712</v>
      </c>
      <c r="F269" s="84">
        <f t="shared" si="68"/>
        <v>0.93300000000000005</v>
      </c>
      <c r="G269" s="84">
        <f t="shared" si="69"/>
        <v>-3.2000000000000001E-2</v>
      </c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</row>
    <row r="270" spans="1:96" x14ac:dyDescent="0.2">
      <c r="A270" s="84">
        <v>2</v>
      </c>
      <c r="B270" s="84" t="s">
        <v>190</v>
      </c>
      <c r="C270" s="84" t="s">
        <v>175</v>
      </c>
      <c r="D270" s="84">
        <f t="shared" si="66"/>
        <v>1</v>
      </c>
      <c r="E270" s="84">
        <f t="shared" si="67"/>
        <v>14.576000000000001</v>
      </c>
      <c r="F270" s="84">
        <f t="shared" si="68"/>
        <v>3.0619999999999998</v>
      </c>
      <c r="G270" s="84">
        <f t="shared" si="69"/>
        <v>9411.9320000000007</v>
      </c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</row>
    <row r="271" spans="1:96" x14ac:dyDescent="0.2">
      <c r="A271" s="84">
        <v>2</v>
      </c>
      <c r="B271" s="84" t="s">
        <v>64</v>
      </c>
      <c r="C271" s="84" t="s">
        <v>176</v>
      </c>
      <c r="D271" s="84">
        <f t="shared" si="66"/>
        <v>1</v>
      </c>
      <c r="E271" s="84">
        <f t="shared" si="67"/>
        <v>0.99099999999999999</v>
      </c>
      <c r="F271" s="84">
        <f t="shared" si="68"/>
        <v>0.998</v>
      </c>
      <c r="G271" s="84">
        <f t="shared" si="69"/>
        <v>1E-3</v>
      </c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</row>
    <row r="272" spans="1:96" x14ac:dyDescent="0.2">
      <c r="A272" s="84">
        <v>2</v>
      </c>
      <c r="B272" s="84">
        <v>5</v>
      </c>
      <c r="C272" s="84" t="s">
        <v>177</v>
      </c>
      <c r="D272" s="84">
        <f t="shared" si="66"/>
        <v>1</v>
      </c>
      <c r="E272" s="84">
        <f t="shared" si="67"/>
        <v>1.5109999999999999</v>
      </c>
      <c r="F272" s="84">
        <f t="shared" si="68"/>
        <v>0.42699999999999999</v>
      </c>
      <c r="G272" s="84">
        <f t="shared" si="69"/>
        <v>7.8E-2</v>
      </c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</row>
    <row r="273" spans="1:96" x14ac:dyDescent="0.2">
      <c r="A273" s="84">
        <v>2</v>
      </c>
      <c r="B273" s="84">
        <v>5</v>
      </c>
      <c r="C273" s="84" t="s">
        <v>178</v>
      </c>
      <c r="D273" s="84">
        <f t="shared" si="66"/>
        <v>1</v>
      </c>
      <c r="E273" s="84">
        <f t="shared" si="67"/>
        <v>1.94</v>
      </c>
      <c r="F273" s="84">
        <f t="shared" si="68"/>
        <v>0.57699999999999996</v>
      </c>
      <c r="G273" s="84">
        <f t="shared" si="69"/>
        <v>6.9000000000000006E-2</v>
      </c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</row>
    <row r="274" spans="1:96" x14ac:dyDescent="0.2">
      <c r="A274" s="84">
        <v>2</v>
      </c>
      <c r="B274" s="84">
        <v>5</v>
      </c>
      <c r="C274" s="84" t="s">
        <v>179</v>
      </c>
      <c r="D274" s="84">
        <f t="shared" si="66"/>
        <v>1</v>
      </c>
      <c r="E274" s="84">
        <f t="shared" si="67"/>
        <v>1.464</v>
      </c>
      <c r="F274" s="84">
        <f t="shared" si="68"/>
        <v>0.72599999999999998</v>
      </c>
      <c r="G274" s="84">
        <f t="shared" si="69"/>
        <v>0.10100000000000001</v>
      </c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</row>
    <row r="275" spans="1:96" x14ac:dyDescent="0.2">
      <c r="A275" s="84">
        <v>2</v>
      </c>
      <c r="B275" s="84">
        <v>5</v>
      </c>
      <c r="C275" s="84" t="s">
        <v>180</v>
      </c>
      <c r="D275" s="84">
        <f t="shared" si="66"/>
        <v>1</v>
      </c>
      <c r="E275" s="84">
        <f t="shared" si="67"/>
        <v>1.633</v>
      </c>
      <c r="F275" s="84">
        <f t="shared" si="68"/>
        <v>0.77800000000000002</v>
      </c>
      <c r="G275" s="84">
        <f t="shared" si="69"/>
        <v>8.1000000000000003E-2</v>
      </c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</row>
    <row r="276" spans="1:96" x14ac:dyDescent="0.2">
      <c r="A276" s="84">
        <v>2</v>
      </c>
      <c r="B276" s="84">
        <v>5</v>
      </c>
      <c r="C276" s="84" t="s">
        <v>181</v>
      </c>
      <c r="D276" s="84">
        <f t="shared" si="66"/>
        <v>1</v>
      </c>
      <c r="E276" s="84">
        <f t="shared" si="67"/>
        <v>1.4239999999999999</v>
      </c>
      <c r="F276" s="84">
        <f t="shared" si="68"/>
        <v>0.61799999999999999</v>
      </c>
      <c r="G276" s="84">
        <f t="shared" si="69"/>
        <v>8.1000000000000003E-2</v>
      </c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</row>
    <row r="277" spans="1:96" x14ac:dyDescent="0.2">
      <c r="A277" s="84">
        <v>2</v>
      </c>
      <c r="B277" s="84">
        <v>5</v>
      </c>
      <c r="C277" s="84" t="s">
        <v>182</v>
      </c>
      <c r="D277" s="84">
        <f t="shared" si="66"/>
        <v>1</v>
      </c>
      <c r="E277" s="84">
        <f t="shared" si="67"/>
        <v>1.2969999999999999</v>
      </c>
      <c r="F277" s="84">
        <f t="shared" si="68"/>
        <v>0.65800000000000003</v>
      </c>
      <c r="G277" s="84">
        <f t="shared" si="69"/>
        <v>0.126</v>
      </c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</row>
    <row r="278" spans="1:96" x14ac:dyDescent="0.2">
      <c r="A278" s="84">
        <v>2</v>
      </c>
      <c r="B278" s="84">
        <v>5</v>
      </c>
      <c r="C278" s="84" t="s">
        <v>183</v>
      </c>
      <c r="D278" s="84">
        <f t="shared" si="66"/>
        <v>1</v>
      </c>
      <c r="E278" s="84">
        <f t="shared" si="67"/>
        <v>1.4950000000000001</v>
      </c>
      <c r="F278" s="84">
        <f t="shared" si="68"/>
        <v>0.79200000000000004</v>
      </c>
      <c r="G278" s="84">
        <f t="shared" si="69"/>
        <v>0.14000000000000001</v>
      </c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</row>
    <row r="279" spans="1:96" x14ac:dyDescent="0.2">
      <c r="A279" s="84">
        <v>2</v>
      </c>
      <c r="B279" s="84">
        <v>5</v>
      </c>
      <c r="C279" s="84" t="s">
        <v>184</v>
      </c>
      <c r="D279" s="84">
        <f t="shared" si="66"/>
        <v>1</v>
      </c>
      <c r="E279" s="84">
        <f t="shared" si="67"/>
        <v>1.994</v>
      </c>
      <c r="F279" s="84">
        <f t="shared" si="68"/>
        <v>0.88500000000000001</v>
      </c>
      <c r="G279" s="84">
        <f t="shared" si="69"/>
        <v>0</v>
      </c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</row>
    <row r="281" spans="1:96" x14ac:dyDescent="0.2">
      <c r="A281" s="84" t="s">
        <v>188</v>
      </c>
      <c r="B281" s="84"/>
      <c r="C281" s="84"/>
      <c r="D281" s="84"/>
      <c r="E281" s="84"/>
    </row>
    <row r="282" spans="1:96" x14ac:dyDescent="0.2">
      <c r="A282" s="84"/>
      <c r="B282" s="84">
        <v>0</v>
      </c>
      <c r="C282" s="84">
        <v>2</v>
      </c>
      <c r="D282" s="84">
        <v>5</v>
      </c>
      <c r="E282" s="84">
        <v>7</v>
      </c>
    </row>
    <row r="283" spans="1:96" x14ac:dyDescent="0.2">
      <c r="A283" s="84">
        <v>0</v>
      </c>
      <c r="B283" s="84">
        <f>AVERAGE(D160:D167)</f>
        <v>1</v>
      </c>
      <c r="C283" s="84">
        <f t="shared" ref="C283:E283" si="70">AVERAGE(E160:E167)</f>
        <v>4.0772499999999994</v>
      </c>
      <c r="D283" s="84">
        <f t="shared" si="70"/>
        <v>22.053750000000001</v>
      </c>
      <c r="E283" s="84">
        <f t="shared" si="70"/>
        <v>37.334875000000004</v>
      </c>
    </row>
    <row r="284" spans="1:96" x14ac:dyDescent="0.2">
      <c r="A284" s="84" t="s">
        <v>78</v>
      </c>
      <c r="B284" s="84">
        <f>AVERAGE(D170:D177)</f>
        <v>1</v>
      </c>
      <c r="C284" s="84">
        <f t="shared" ref="C284:E284" si="71">AVERAGE(E170:E177)</f>
        <v>3.2462499999999999</v>
      </c>
      <c r="D284" s="84">
        <f t="shared" si="71"/>
        <v>13.146750000000001</v>
      </c>
      <c r="E284" s="84">
        <f t="shared" si="71"/>
        <v>24.730625</v>
      </c>
    </row>
    <row r="285" spans="1:96" x14ac:dyDescent="0.2">
      <c r="A285" s="84" t="s">
        <v>79</v>
      </c>
      <c r="B285" s="84">
        <f>AVERAGE(D180:D187)</f>
        <v>1</v>
      </c>
      <c r="C285" s="84">
        <f t="shared" ref="C285:E285" si="72">AVERAGE(E180:E187)</f>
        <v>3.1408750000000003</v>
      </c>
      <c r="D285" s="84">
        <f t="shared" si="72"/>
        <v>8.6947499999999991</v>
      </c>
      <c r="E285" s="84">
        <f t="shared" si="72"/>
        <v>15.646124999999998</v>
      </c>
    </row>
    <row r="286" spans="1:96" x14ac:dyDescent="0.2">
      <c r="A286" s="84" t="s">
        <v>80</v>
      </c>
      <c r="B286" s="84">
        <f>AVERAGE(D190:D197)</f>
        <v>1</v>
      </c>
      <c r="C286" s="84">
        <f>AVERAGE(E190:E197)</f>
        <v>2.5831249999999999</v>
      </c>
      <c r="D286" s="84">
        <f t="shared" ref="D286:E286" si="73">AVERAGE(F190:F197)</f>
        <v>4.6165000000000003</v>
      </c>
      <c r="E286" s="84">
        <f t="shared" si="73"/>
        <v>4.8766250000000007</v>
      </c>
    </row>
    <row r="287" spans="1:96" x14ac:dyDescent="0.2">
      <c r="A287" s="84" t="s">
        <v>81</v>
      </c>
      <c r="B287" s="84">
        <f>AVERAGE(D200:D207)</f>
        <v>1</v>
      </c>
      <c r="C287" s="84">
        <f t="shared" ref="C287:E287" si="74">AVERAGE(E200:E207)</f>
        <v>2.4535</v>
      </c>
      <c r="D287" s="84">
        <f t="shared" si="74"/>
        <v>2.0350000000000001</v>
      </c>
      <c r="E287" s="84">
        <f t="shared" si="74"/>
        <v>0.91175000000000006</v>
      </c>
    </row>
    <row r="288" spans="1:96" x14ac:dyDescent="0.2">
      <c r="A288" s="84" t="s">
        <v>82</v>
      </c>
      <c r="B288" s="84">
        <f>AVERAGE(D210:D217)</f>
        <v>1</v>
      </c>
      <c r="C288" s="84">
        <f t="shared" ref="C288:E288" si="75">AVERAGE(E210:E217)</f>
        <v>2.2127499999999998</v>
      </c>
      <c r="D288" s="84">
        <f t="shared" si="75"/>
        <v>1.4168749999999999</v>
      </c>
      <c r="E288" s="84">
        <f t="shared" si="75"/>
        <v>0.33074999999999999</v>
      </c>
    </row>
    <row r="289" spans="1:5" x14ac:dyDescent="0.2">
      <c r="A289" s="84" t="s">
        <v>83</v>
      </c>
      <c r="B289" s="84">
        <f>AVERAGE(D222:D229)</f>
        <v>1</v>
      </c>
      <c r="C289" s="84">
        <f t="shared" ref="C289:E289" si="76">AVERAGE(E222:E229)</f>
        <v>2.175875</v>
      </c>
      <c r="D289" s="84">
        <f t="shared" si="76"/>
        <v>1.068125</v>
      </c>
      <c r="E289" s="84">
        <f t="shared" si="76"/>
        <v>0.10675</v>
      </c>
    </row>
    <row r="290" spans="1:5" x14ac:dyDescent="0.2">
      <c r="A290" s="84" t="s">
        <v>84</v>
      </c>
      <c r="B290" s="84">
        <f>AVERAGE(D232:D239)</f>
        <v>1</v>
      </c>
      <c r="C290" s="84">
        <f t="shared" ref="C290:E290" si="77">AVERAGE(E232:E239)</f>
        <v>1.7533749999999999</v>
      </c>
      <c r="D290" s="84">
        <f t="shared" si="77"/>
        <v>0.83687500000000004</v>
      </c>
      <c r="E290" s="84">
        <f t="shared" si="77"/>
        <v>-1.6500000000000001E-2</v>
      </c>
    </row>
    <row r="291" spans="1:5" x14ac:dyDescent="0.2">
      <c r="A291" s="84" t="s">
        <v>85</v>
      </c>
      <c r="B291" s="84">
        <f>AVERAGE(D242:D249)</f>
        <v>1</v>
      </c>
      <c r="C291" s="84">
        <f t="shared" ref="C291:E291" si="78">AVERAGE(E242:E249)</f>
        <v>1.6756250000000001</v>
      </c>
      <c r="D291" s="84">
        <f t="shared" si="78"/>
        <v>0.71825000000000006</v>
      </c>
      <c r="E291" s="84">
        <f t="shared" si="78"/>
        <v>-1.6E-2</v>
      </c>
    </row>
    <row r="292" spans="1:5" x14ac:dyDescent="0.2">
      <c r="A292" s="84">
        <v>1</v>
      </c>
      <c r="B292" s="84">
        <f>AVERAGE(D252:D259)</f>
        <v>1</v>
      </c>
      <c r="C292" s="84">
        <f t="shared" ref="C292:E292" si="79">AVERAGE(E252:E259)</f>
        <v>1.1956249999999999</v>
      </c>
      <c r="D292" s="84">
        <f t="shared" si="79"/>
        <v>0.54474999999999996</v>
      </c>
      <c r="E292" s="84">
        <f t="shared" si="79"/>
        <v>-1.4500000000000002E-2</v>
      </c>
    </row>
    <row r="293" spans="1:5" x14ac:dyDescent="0.2">
      <c r="A293" s="84">
        <v>2</v>
      </c>
      <c r="B293" s="84">
        <f>AVERAGE(D262:D269)</f>
        <v>1</v>
      </c>
      <c r="C293" s="84">
        <f t="shared" ref="C293:E293" si="80">AVERAGE(E262:E269)</f>
        <v>1.1504999999999999</v>
      </c>
      <c r="D293" s="84">
        <f t="shared" si="80"/>
        <v>0.52400000000000002</v>
      </c>
      <c r="E293" s="84">
        <f t="shared" si="80"/>
        <v>-8.7500000000000078E-4</v>
      </c>
    </row>
    <row r="294" spans="1:5" x14ac:dyDescent="0.2">
      <c r="A294" s="84">
        <v>5</v>
      </c>
      <c r="B294" s="84">
        <f>AVERAGE(D272:D279)</f>
        <v>1</v>
      </c>
      <c r="C294" s="84">
        <f t="shared" ref="C294:E294" si="81">AVERAGE(E272:E279)</f>
        <v>1.5947499999999999</v>
      </c>
      <c r="D294" s="84">
        <f t="shared" si="81"/>
        <v>0.68262499999999993</v>
      </c>
      <c r="E294" s="84">
        <f t="shared" si="81"/>
        <v>8.4500000000000006E-2</v>
      </c>
    </row>
    <row r="295" spans="1:5" x14ac:dyDescent="0.2">
      <c r="A295" s="84"/>
      <c r="B295" s="84"/>
      <c r="C295" s="84"/>
      <c r="D295" s="84"/>
      <c r="E295" s="84"/>
    </row>
    <row r="296" spans="1:5" x14ac:dyDescent="0.2">
      <c r="A296" s="84" t="s">
        <v>56</v>
      </c>
      <c r="B296" s="84" t="s">
        <v>191</v>
      </c>
      <c r="C296" s="84" t="s">
        <v>192</v>
      </c>
      <c r="D296" s="84" t="s">
        <v>193</v>
      </c>
      <c r="E296" s="84" t="s">
        <v>194</v>
      </c>
    </row>
    <row r="297" spans="1:5" x14ac:dyDescent="0.2">
      <c r="A297" s="84">
        <v>0</v>
      </c>
      <c r="B297" s="84">
        <f>_xlfn.STDEV.P(D160:D167)</f>
        <v>0</v>
      </c>
      <c r="C297" s="84">
        <f t="shared" ref="C297:E297" si="82">_xlfn.STDEV.P(E160:E167)</f>
        <v>0.25290796250810282</v>
      </c>
      <c r="D297" s="84">
        <f t="shared" si="82"/>
        <v>3.0098858263229689</v>
      </c>
      <c r="E297" s="84">
        <f t="shared" si="82"/>
        <v>2.6172090782692541</v>
      </c>
    </row>
    <row r="298" spans="1:5" x14ac:dyDescent="0.2">
      <c r="A298" s="84" t="s">
        <v>78</v>
      </c>
      <c r="B298" s="84">
        <f>_xlfn.STDEV.P(D170:D177)</f>
        <v>0</v>
      </c>
      <c r="C298" s="84">
        <f t="shared" ref="C298:E298" si="83">_xlfn.STDEV.P(E170:E177)</f>
        <v>0.5874827125116111</v>
      </c>
      <c r="D298" s="84">
        <f t="shared" si="83"/>
        <v>1.6977981880953794</v>
      </c>
      <c r="E298" s="84">
        <f t="shared" si="83"/>
        <v>2.5682978768777875</v>
      </c>
    </row>
    <row r="299" spans="1:5" x14ac:dyDescent="0.2">
      <c r="A299" s="84" t="s">
        <v>79</v>
      </c>
      <c r="B299" s="84">
        <f>_xlfn.STDEV.P(D180:D187)</f>
        <v>0</v>
      </c>
      <c r="C299" s="84">
        <f t="shared" ref="C299:E299" si="84">_xlfn.STDEV.P(E180:E187)</f>
        <v>0.81351773759088875</v>
      </c>
      <c r="D299" s="84">
        <f t="shared" si="84"/>
        <v>0.86198749265868102</v>
      </c>
      <c r="E299" s="84">
        <f t="shared" si="84"/>
        <v>2.1385590030146666</v>
      </c>
    </row>
    <row r="300" spans="1:5" x14ac:dyDescent="0.2">
      <c r="A300" s="84" t="s">
        <v>80</v>
      </c>
      <c r="B300" s="84">
        <f>_xlfn.STDEV.P(D190:D197)</f>
        <v>0</v>
      </c>
      <c r="C300" s="84">
        <f t="shared" ref="C300:E300" si="85">_xlfn.STDEV.P(E190:E197)</f>
        <v>0.39893402885063595</v>
      </c>
      <c r="D300" s="84">
        <f t="shared" si="85"/>
        <v>0.8462001831718059</v>
      </c>
      <c r="E300" s="84">
        <f t="shared" si="85"/>
        <v>0.57824452818422079</v>
      </c>
    </row>
    <row r="301" spans="1:5" x14ac:dyDescent="0.2">
      <c r="A301" s="84" t="s">
        <v>81</v>
      </c>
      <c r="B301" s="84">
        <f>_xlfn.STDEV.P(D200:D207)</f>
        <v>0</v>
      </c>
      <c r="C301" s="84">
        <f t="shared" ref="C301:E301" si="86">_xlfn.STDEV.P(E200:E207)</f>
        <v>0.36481947590554969</v>
      </c>
      <c r="D301" s="84">
        <f t="shared" si="86"/>
        <v>0.19941038087321322</v>
      </c>
      <c r="E301" s="84">
        <f t="shared" si="86"/>
        <v>0.17187622726834545</v>
      </c>
    </row>
    <row r="302" spans="1:5" x14ac:dyDescent="0.2">
      <c r="A302" s="84" t="s">
        <v>82</v>
      </c>
      <c r="B302" s="84">
        <f>_xlfn.STDEV.P(D210:D217)</f>
        <v>0</v>
      </c>
      <c r="C302" s="84">
        <f t="shared" ref="C302:E302" si="87">_xlfn.STDEV.P(E210:E217)</f>
        <v>0.47184498248895335</v>
      </c>
      <c r="D302" s="84">
        <f t="shared" si="87"/>
        <v>0.27989883775214264</v>
      </c>
      <c r="E302" s="84">
        <f t="shared" si="87"/>
        <v>9.133694487993356E-2</v>
      </c>
    </row>
    <row r="303" spans="1:5" x14ac:dyDescent="0.2">
      <c r="A303" s="84" t="s">
        <v>83</v>
      </c>
      <c r="B303" s="84">
        <f>_xlfn.STDEV.P(D222:D229)</f>
        <v>0</v>
      </c>
      <c r="C303" s="84">
        <f t="shared" ref="C303:E303" si="88">_xlfn.STDEV.P(E222:E229)</f>
        <v>0.37274335590993507</v>
      </c>
      <c r="D303" s="84">
        <f t="shared" si="88"/>
        <v>0.44494955823666121</v>
      </c>
      <c r="E303" s="84">
        <f t="shared" si="88"/>
        <v>0.11236964670230123</v>
      </c>
    </row>
    <row r="304" spans="1:5" x14ac:dyDescent="0.2">
      <c r="A304" s="84" t="s">
        <v>84</v>
      </c>
      <c r="B304" s="84">
        <f>_xlfn.STDEV.P(D232:D239)</f>
        <v>0</v>
      </c>
      <c r="C304" s="84">
        <f t="shared" ref="C304:E304" si="89">_xlfn.STDEV.P(E232:E239)</f>
        <v>0.54038295159544047</v>
      </c>
      <c r="D304" s="84">
        <f t="shared" si="89"/>
        <v>0.11483513998336922</v>
      </c>
      <c r="E304" s="84">
        <f t="shared" si="89"/>
        <v>2.4119494190384672E-2</v>
      </c>
    </row>
    <row r="305" spans="1:5" x14ac:dyDescent="0.2">
      <c r="A305" s="84" t="s">
        <v>85</v>
      </c>
      <c r="B305" s="84">
        <f>_xlfn.STDEV.P(D242:D249)</f>
        <v>0</v>
      </c>
      <c r="C305" s="84">
        <f t="shared" ref="C305:E305" si="90">_xlfn.STDEV.P(E242:E249)</f>
        <v>0.19793113543603721</v>
      </c>
      <c r="D305" s="84">
        <f t="shared" si="90"/>
        <v>0.29110769055454366</v>
      </c>
      <c r="E305" s="84">
        <f t="shared" si="90"/>
        <v>6.9282032302755113E-3</v>
      </c>
    </row>
    <row r="306" spans="1:5" x14ac:dyDescent="0.2">
      <c r="A306" s="84">
        <v>1</v>
      </c>
      <c r="B306" s="84">
        <f>_xlfn.STDEV.P(D252:D259)</f>
        <v>0</v>
      </c>
      <c r="C306" s="84">
        <f t="shared" ref="C306:E306" si="91">_xlfn.STDEV.P(E252:E259)</f>
        <v>0.16168714969038211</v>
      </c>
      <c r="D306" s="84">
        <f t="shared" si="91"/>
        <v>0.18194556191344721</v>
      </c>
      <c r="E306" s="84">
        <f t="shared" si="91"/>
        <v>1.370218960604472E-2</v>
      </c>
    </row>
    <row r="307" spans="1:5" x14ac:dyDescent="0.2">
      <c r="A307" s="84">
        <v>2</v>
      </c>
      <c r="B307" s="84">
        <f>_xlfn.STDEV.P(D262:D269)</f>
        <v>0</v>
      </c>
      <c r="C307" s="84">
        <f t="shared" ref="C307:E307" si="92">_xlfn.STDEV.P(E262:E269)</f>
        <v>0.23698101189757889</v>
      </c>
      <c r="D307" s="84">
        <f t="shared" si="92"/>
        <v>0.16449620056402503</v>
      </c>
      <c r="E307" s="84">
        <f t="shared" si="92"/>
        <v>2.3772029257091199E-2</v>
      </c>
    </row>
    <row r="308" spans="1:5" x14ac:dyDescent="0.2">
      <c r="A308" s="84">
        <v>5</v>
      </c>
      <c r="B308" s="84">
        <f>_xlfn.STDEV.P(D272:D279)</f>
        <v>0</v>
      </c>
      <c r="C308" s="84">
        <f t="shared" ref="C308:E308" si="93">_xlfn.STDEV.P(E272:E279)</f>
        <v>0.23236057647544286</v>
      </c>
      <c r="D308" s="84">
        <f t="shared" si="93"/>
        <v>0.13471259916949169</v>
      </c>
      <c r="E308" s="84">
        <f t="shared" si="93"/>
        <v>3.9563240514396705E-2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552B-027A-433F-B771-19CA3D88C66C}">
  <dimension ref="A2:DX308"/>
  <sheetViews>
    <sheetView topLeftCell="A205" zoomScale="55" zoomScaleNormal="55" workbookViewId="0">
      <selection activeCell="F251" sqref="F251"/>
    </sheetView>
  </sheetViews>
  <sheetFormatPr baseColWidth="10" defaultRowHeight="12.75" x14ac:dyDescent="0.2"/>
  <sheetData>
    <row r="2" spans="2:128" x14ac:dyDescent="0.2">
      <c r="B2" t="s">
        <v>74</v>
      </c>
    </row>
    <row r="4" spans="2:128" x14ac:dyDescent="0.2">
      <c r="B4" t="s">
        <v>75</v>
      </c>
    </row>
    <row r="5" spans="2:128" x14ac:dyDescent="0.2">
      <c r="C5" t="s">
        <v>52</v>
      </c>
    </row>
    <row r="6" spans="2:128" x14ac:dyDescent="0.2">
      <c r="C6" t="s">
        <v>58</v>
      </c>
    </row>
    <row r="7" spans="2:128" x14ac:dyDescent="0.2">
      <c r="C7" t="s">
        <v>53</v>
      </c>
    </row>
    <row r="8" spans="2:128" x14ac:dyDescent="0.2">
      <c r="B8" t="s">
        <v>59</v>
      </c>
    </row>
    <row r="9" spans="2:128" x14ac:dyDescent="0.2">
      <c r="B9" t="s">
        <v>60</v>
      </c>
    </row>
    <row r="10" spans="2:128" x14ac:dyDescent="0.2">
      <c r="B10" t="s">
        <v>61</v>
      </c>
    </row>
    <row r="12" spans="2:128" x14ac:dyDescent="0.2">
      <c r="B12" t="s">
        <v>116</v>
      </c>
      <c r="C12" s="5" t="s">
        <v>96</v>
      </c>
      <c r="D12" s="6">
        <v>1</v>
      </c>
      <c r="E12" s="6">
        <v>2</v>
      </c>
      <c r="F12" s="6">
        <v>3</v>
      </c>
      <c r="G12" s="6">
        <v>4</v>
      </c>
      <c r="H12" s="6">
        <v>5</v>
      </c>
      <c r="I12" s="6">
        <v>6</v>
      </c>
      <c r="J12" s="6">
        <v>7</v>
      </c>
      <c r="K12" s="6">
        <v>8</v>
      </c>
      <c r="L12" s="6">
        <v>9</v>
      </c>
      <c r="M12" s="6">
        <v>10</v>
      </c>
      <c r="N12" s="6">
        <v>11</v>
      </c>
      <c r="O12" s="6">
        <v>12</v>
      </c>
      <c r="R12" s="5" t="s">
        <v>96</v>
      </c>
      <c r="S12" s="6">
        <v>1</v>
      </c>
      <c r="T12" s="6">
        <v>2</v>
      </c>
      <c r="U12" s="6">
        <v>3</v>
      </c>
      <c r="V12" s="6">
        <v>4</v>
      </c>
      <c r="W12" s="6">
        <v>5</v>
      </c>
      <c r="X12" s="6">
        <v>6</v>
      </c>
      <c r="Y12" s="6">
        <v>7</v>
      </c>
      <c r="Z12" s="6">
        <v>8</v>
      </c>
      <c r="AA12" s="6">
        <v>9</v>
      </c>
      <c r="AB12" s="6">
        <v>10</v>
      </c>
      <c r="AC12" s="6">
        <v>11</v>
      </c>
      <c r="AD12" s="6">
        <v>12</v>
      </c>
      <c r="AH12" t="s">
        <v>117</v>
      </c>
      <c r="AI12" s="5" t="s">
        <v>96</v>
      </c>
      <c r="AJ12" s="6">
        <v>1</v>
      </c>
      <c r="AK12" s="6">
        <v>2</v>
      </c>
      <c r="AL12" s="6">
        <v>3</v>
      </c>
      <c r="AM12" s="6">
        <v>4</v>
      </c>
      <c r="AN12" s="6">
        <v>5</v>
      </c>
      <c r="AO12" s="6">
        <v>6</v>
      </c>
      <c r="AP12" s="6">
        <v>7</v>
      </c>
      <c r="AQ12" s="6">
        <v>8</v>
      </c>
      <c r="AR12" s="6">
        <v>9</v>
      </c>
      <c r="AS12" s="6">
        <v>10</v>
      </c>
      <c r="AT12" s="6">
        <v>11</v>
      </c>
      <c r="AU12" s="6">
        <v>12</v>
      </c>
      <c r="AX12" s="5" t="s">
        <v>96</v>
      </c>
      <c r="AY12" s="6">
        <v>1</v>
      </c>
      <c r="AZ12" s="6">
        <v>2</v>
      </c>
      <c r="BA12" s="6">
        <v>3</v>
      </c>
      <c r="BB12" s="6">
        <v>4</v>
      </c>
      <c r="BC12" s="6">
        <v>5</v>
      </c>
      <c r="BD12" s="6">
        <v>6</v>
      </c>
      <c r="BE12" s="6">
        <v>7</v>
      </c>
      <c r="BF12" s="6">
        <v>8</v>
      </c>
      <c r="BG12" s="6">
        <v>9</v>
      </c>
      <c r="BH12" s="6">
        <v>10</v>
      </c>
      <c r="BI12" s="6">
        <v>11</v>
      </c>
      <c r="BJ12" s="6">
        <v>12</v>
      </c>
      <c r="BN12" s="84" t="s">
        <v>119</v>
      </c>
      <c r="BO12" s="70" t="s">
        <v>122</v>
      </c>
      <c r="BP12" s="71">
        <v>1</v>
      </c>
      <c r="BQ12" s="71">
        <v>2</v>
      </c>
      <c r="BR12" s="71">
        <v>3</v>
      </c>
      <c r="BS12" s="71">
        <v>4</v>
      </c>
      <c r="BT12" s="71">
        <v>5</v>
      </c>
      <c r="BU12" s="71">
        <v>6</v>
      </c>
      <c r="BV12" s="71">
        <v>7</v>
      </c>
      <c r="BW12" s="71">
        <v>8</v>
      </c>
      <c r="BX12" s="71">
        <v>9</v>
      </c>
      <c r="BY12" s="71">
        <v>10</v>
      </c>
      <c r="BZ12" s="71">
        <v>11</v>
      </c>
      <c r="CA12" s="71">
        <v>12</v>
      </c>
      <c r="CB12" s="84"/>
      <c r="CC12" s="84"/>
      <c r="CD12" s="70" t="s">
        <v>122</v>
      </c>
      <c r="CE12" s="71">
        <v>1</v>
      </c>
      <c r="CF12" s="71">
        <v>2</v>
      </c>
      <c r="CG12" s="71">
        <v>3</v>
      </c>
      <c r="CH12" s="71">
        <v>4</v>
      </c>
      <c r="CI12" s="71">
        <v>5</v>
      </c>
      <c r="CJ12" s="71">
        <v>6</v>
      </c>
      <c r="CK12" s="71">
        <v>7</v>
      </c>
      <c r="CL12" s="71">
        <v>8</v>
      </c>
      <c r="CM12" s="71">
        <v>9</v>
      </c>
      <c r="CN12" s="71">
        <v>10</v>
      </c>
      <c r="CO12" s="71">
        <v>11</v>
      </c>
      <c r="CP12" s="71">
        <v>12</v>
      </c>
      <c r="CQ12" s="84"/>
      <c r="CR12" s="84"/>
      <c r="CT12" s="84" t="s">
        <v>196</v>
      </c>
      <c r="CU12" s="70" t="s">
        <v>199</v>
      </c>
      <c r="CV12" s="71">
        <v>1</v>
      </c>
      <c r="CW12" s="71">
        <v>2</v>
      </c>
      <c r="CX12" s="71">
        <v>3</v>
      </c>
      <c r="CY12" s="71">
        <v>4</v>
      </c>
      <c r="CZ12" s="71">
        <v>5</v>
      </c>
      <c r="DA12" s="71">
        <v>6</v>
      </c>
      <c r="DB12" s="71">
        <v>7</v>
      </c>
      <c r="DC12" s="71">
        <v>8</v>
      </c>
      <c r="DD12" s="71">
        <v>9</v>
      </c>
      <c r="DE12" s="71">
        <v>10</v>
      </c>
      <c r="DF12" s="71">
        <v>11</v>
      </c>
      <c r="DG12" s="71">
        <v>12</v>
      </c>
      <c r="DH12" s="84"/>
      <c r="DI12" s="84"/>
      <c r="DJ12" s="70" t="s">
        <v>199</v>
      </c>
      <c r="DK12" s="71">
        <v>1</v>
      </c>
      <c r="DL12" s="71">
        <v>2</v>
      </c>
      <c r="DM12" s="71">
        <v>3</v>
      </c>
      <c r="DN12" s="71">
        <v>4</v>
      </c>
      <c r="DO12" s="71">
        <v>5</v>
      </c>
      <c r="DP12" s="71">
        <v>6</v>
      </c>
      <c r="DQ12" s="71">
        <v>7</v>
      </c>
      <c r="DR12" s="71">
        <v>8</v>
      </c>
      <c r="DS12" s="71">
        <v>9</v>
      </c>
      <c r="DT12" s="71">
        <v>10</v>
      </c>
      <c r="DU12" s="71">
        <v>11</v>
      </c>
      <c r="DV12" s="71">
        <v>12</v>
      </c>
      <c r="DW12" s="84"/>
      <c r="DX12" s="84"/>
    </row>
    <row r="13" spans="2:128" x14ac:dyDescent="0.2">
      <c r="C13" s="6" t="s">
        <v>29</v>
      </c>
      <c r="D13" s="7"/>
      <c r="E13" s="7"/>
      <c r="F13" s="7"/>
      <c r="G13" s="7"/>
      <c r="H13" s="14"/>
      <c r="I13" s="14"/>
      <c r="J13" s="14"/>
      <c r="K13" s="7"/>
      <c r="L13" s="7"/>
      <c r="M13" s="7"/>
      <c r="N13" s="7"/>
      <c r="O13" s="7"/>
      <c r="R13" s="6" t="s">
        <v>29</v>
      </c>
      <c r="S13" s="7"/>
      <c r="T13" s="7"/>
      <c r="U13" s="7"/>
      <c r="V13" s="7"/>
      <c r="W13" s="14"/>
      <c r="X13" s="14"/>
      <c r="Y13" s="14"/>
      <c r="Z13" s="7"/>
      <c r="AA13" s="7"/>
      <c r="AB13" s="7"/>
      <c r="AC13" s="7"/>
      <c r="AD13" s="7"/>
      <c r="AI13" s="6" t="s">
        <v>29</v>
      </c>
      <c r="AJ13" s="7"/>
      <c r="AK13" s="7"/>
      <c r="AL13" s="7"/>
      <c r="AM13" s="7"/>
      <c r="AN13" s="14"/>
      <c r="AO13" s="14"/>
      <c r="AP13" s="14"/>
      <c r="AQ13" s="7"/>
      <c r="AR13" s="7"/>
      <c r="AS13" s="7"/>
      <c r="AT13" s="7"/>
      <c r="AU13" s="7"/>
      <c r="AX13" s="6" t="s">
        <v>29</v>
      </c>
      <c r="AY13" s="7"/>
      <c r="AZ13" s="7"/>
      <c r="BA13" s="7"/>
      <c r="BB13" s="7"/>
      <c r="BC13" s="14"/>
      <c r="BD13" s="14"/>
      <c r="BE13" s="14"/>
      <c r="BF13" s="7"/>
      <c r="BG13" s="7"/>
      <c r="BH13" s="7"/>
      <c r="BI13" s="7"/>
      <c r="BJ13" s="7"/>
      <c r="BN13" s="84"/>
      <c r="BO13" s="71" t="s">
        <v>29</v>
      </c>
      <c r="BP13" s="74"/>
      <c r="BQ13" s="74"/>
      <c r="BR13" s="74"/>
      <c r="BS13" s="74"/>
      <c r="BT13" s="14"/>
      <c r="BU13" s="14"/>
      <c r="BV13" s="14"/>
      <c r="BW13" s="74"/>
      <c r="BX13" s="74"/>
      <c r="BY13" s="74"/>
      <c r="BZ13" s="74"/>
      <c r="CA13" s="74"/>
      <c r="CB13" s="84"/>
      <c r="CC13" s="84"/>
      <c r="CD13" s="71" t="s">
        <v>29</v>
      </c>
      <c r="CE13" s="74"/>
      <c r="CF13" s="74"/>
      <c r="CG13" s="74"/>
      <c r="CH13" s="74"/>
      <c r="CI13" s="14"/>
      <c r="CJ13" s="14"/>
      <c r="CK13" s="14"/>
      <c r="CL13" s="74"/>
      <c r="CM13" s="74"/>
      <c r="CN13" s="74"/>
      <c r="CO13" s="74"/>
      <c r="CP13" s="74"/>
      <c r="CQ13" s="84"/>
      <c r="CR13" s="84"/>
      <c r="CT13" s="84"/>
      <c r="CU13" s="71" t="s">
        <v>29</v>
      </c>
      <c r="CV13" s="74"/>
      <c r="CW13" s="74"/>
      <c r="CX13" s="74"/>
      <c r="CY13" s="74"/>
      <c r="CZ13" s="14"/>
      <c r="DA13" s="14"/>
      <c r="DB13" s="14"/>
      <c r="DC13" s="74"/>
      <c r="DD13" s="74"/>
      <c r="DE13" s="74"/>
      <c r="DF13" s="74"/>
      <c r="DG13" s="74"/>
      <c r="DH13" s="84"/>
      <c r="DI13" s="84"/>
      <c r="DJ13" s="71" t="s">
        <v>29</v>
      </c>
      <c r="DK13" s="74"/>
      <c r="DL13" s="74"/>
      <c r="DM13" s="74"/>
      <c r="DN13" s="74"/>
      <c r="DO13" s="14"/>
      <c r="DP13" s="14"/>
      <c r="DQ13" s="14"/>
      <c r="DR13" s="74"/>
      <c r="DS13" s="74"/>
      <c r="DT13" s="74"/>
      <c r="DU13" s="74"/>
      <c r="DV13" s="74"/>
      <c r="DW13" s="84"/>
      <c r="DX13" s="84"/>
    </row>
    <row r="14" spans="2:128" x14ac:dyDescent="0.2">
      <c r="C14" s="6" t="s">
        <v>33</v>
      </c>
      <c r="D14" s="7"/>
      <c r="E14" s="7" t="s">
        <v>77</v>
      </c>
      <c r="F14" s="7" t="s">
        <v>64</v>
      </c>
      <c r="G14" s="7">
        <v>0</v>
      </c>
      <c r="H14" s="7">
        <v>0</v>
      </c>
      <c r="I14" s="14">
        <v>0</v>
      </c>
      <c r="J14" s="14">
        <v>0</v>
      </c>
      <c r="K14" s="14">
        <v>0</v>
      </c>
      <c r="L14" s="7">
        <v>0</v>
      </c>
      <c r="M14" s="7">
        <v>0</v>
      </c>
      <c r="N14" s="7">
        <v>0</v>
      </c>
      <c r="O14" s="7"/>
      <c r="R14" s="6" t="s">
        <v>33</v>
      </c>
      <c r="S14" s="7"/>
      <c r="T14" s="7" t="s">
        <v>77</v>
      </c>
      <c r="U14" s="7" t="s">
        <v>64</v>
      </c>
      <c r="V14" s="7" t="s">
        <v>83</v>
      </c>
      <c r="W14" s="7" t="s">
        <v>83</v>
      </c>
      <c r="X14" s="7" t="s">
        <v>83</v>
      </c>
      <c r="Y14" s="7" t="s">
        <v>83</v>
      </c>
      <c r="Z14" s="7" t="s">
        <v>83</v>
      </c>
      <c r="AA14" s="7" t="s">
        <v>83</v>
      </c>
      <c r="AB14" s="7" t="s">
        <v>83</v>
      </c>
      <c r="AC14" s="7" t="s">
        <v>83</v>
      </c>
      <c r="AD14" s="7"/>
      <c r="AI14" s="6" t="s">
        <v>33</v>
      </c>
      <c r="AJ14" s="7"/>
      <c r="AK14" s="7" t="s">
        <v>77</v>
      </c>
      <c r="AL14" s="7" t="s">
        <v>64</v>
      </c>
      <c r="AM14" s="7">
        <v>0</v>
      </c>
      <c r="AN14" s="7">
        <v>0</v>
      </c>
      <c r="AO14" s="14">
        <v>0</v>
      </c>
      <c r="AP14" s="14">
        <v>0</v>
      </c>
      <c r="AQ14" s="14">
        <v>0</v>
      </c>
      <c r="AR14" s="7">
        <v>0</v>
      </c>
      <c r="AS14" s="7">
        <v>0</v>
      </c>
      <c r="AT14" s="7">
        <v>0</v>
      </c>
      <c r="AU14" s="7"/>
      <c r="AX14" s="6" t="s">
        <v>33</v>
      </c>
      <c r="AY14" s="7"/>
      <c r="AZ14" s="7" t="s">
        <v>77</v>
      </c>
      <c r="BA14" s="7" t="s">
        <v>64</v>
      </c>
      <c r="BB14" s="7" t="s">
        <v>83</v>
      </c>
      <c r="BC14" s="7" t="s">
        <v>83</v>
      </c>
      <c r="BD14" s="7" t="s">
        <v>83</v>
      </c>
      <c r="BE14" s="7" t="s">
        <v>83</v>
      </c>
      <c r="BF14" s="7" t="s">
        <v>83</v>
      </c>
      <c r="BG14" s="7" t="s">
        <v>83</v>
      </c>
      <c r="BH14" s="7" t="s">
        <v>83</v>
      </c>
      <c r="BI14" s="7" t="s">
        <v>83</v>
      </c>
      <c r="BJ14" s="7"/>
      <c r="BN14" s="84"/>
      <c r="BO14" s="71" t="s">
        <v>33</v>
      </c>
      <c r="BP14" s="74"/>
      <c r="BQ14" s="74" t="s">
        <v>77</v>
      </c>
      <c r="BR14" s="74" t="s">
        <v>64</v>
      </c>
      <c r="BS14" s="74">
        <v>0</v>
      </c>
      <c r="BT14" s="74">
        <v>0</v>
      </c>
      <c r="BU14" s="14">
        <v>0</v>
      </c>
      <c r="BV14" s="14">
        <v>0</v>
      </c>
      <c r="BW14" s="14">
        <v>0</v>
      </c>
      <c r="BX14" s="74">
        <v>0</v>
      </c>
      <c r="BY14" s="74">
        <v>0</v>
      </c>
      <c r="BZ14" s="74">
        <v>0</v>
      </c>
      <c r="CA14" s="74"/>
      <c r="CB14" s="84"/>
      <c r="CC14" s="84"/>
      <c r="CD14" s="71" t="s">
        <v>33</v>
      </c>
      <c r="CE14" s="74"/>
      <c r="CF14" s="74" t="s">
        <v>77</v>
      </c>
      <c r="CG14" s="74" t="s">
        <v>64</v>
      </c>
      <c r="CH14" s="74" t="s">
        <v>83</v>
      </c>
      <c r="CI14" s="74" t="s">
        <v>83</v>
      </c>
      <c r="CJ14" s="74" t="s">
        <v>83</v>
      </c>
      <c r="CK14" s="74" t="s">
        <v>83</v>
      </c>
      <c r="CL14" s="74" t="s">
        <v>83</v>
      </c>
      <c r="CM14" s="74" t="s">
        <v>83</v>
      </c>
      <c r="CN14" s="74" t="s">
        <v>83</v>
      </c>
      <c r="CO14" s="74" t="s">
        <v>83</v>
      </c>
      <c r="CP14" s="74"/>
      <c r="CQ14" s="84"/>
      <c r="CR14" s="84"/>
      <c r="CT14" s="84"/>
      <c r="CU14" s="71" t="s">
        <v>33</v>
      </c>
      <c r="CV14" s="74"/>
      <c r="CW14" s="74" t="s">
        <v>77</v>
      </c>
      <c r="CX14" s="74" t="s">
        <v>64</v>
      </c>
      <c r="CY14" s="74">
        <v>0</v>
      </c>
      <c r="CZ14" s="74">
        <v>0</v>
      </c>
      <c r="DA14" s="14">
        <v>0</v>
      </c>
      <c r="DB14" s="14">
        <v>0</v>
      </c>
      <c r="DC14" s="14">
        <v>0</v>
      </c>
      <c r="DD14" s="74">
        <v>0</v>
      </c>
      <c r="DE14" s="74">
        <v>0</v>
      </c>
      <c r="DF14" s="74">
        <v>0</v>
      </c>
      <c r="DG14" s="74"/>
      <c r="DH14" s="84"/>
      <c r="DI14" s="84"/>
      <c r="DJ14" s="71" t="s">
        <v>33</v>
      </c>
      <c r="DK14" s="74"/>
      <c r="DL14" s="74" t="s">
        <v>77</v>
      </c>
      <c r="DM14" s="74" t="s">
        <v>64</v>
      </c>
      <c r="DN14" s="74" t="s">
        <v>83</v>
      </c>
      <c r="DO14" s="74" t="s">
        <v>83</v>
      </c>
      <c r="DP14" s="74" t="s">
        <v>83</v>
      </c>
      <c r="DQ14" s="74" t="s">
        <v>83</v>
      </c>
      <c r="DR14" s="74" t="s">
        <v>83</v>
      </c>
      <c r="DS14" s="74" t="s">
        <v>83</v>
      </c>
      <c r="DT14" s="74" t="s">
        <v>83</v>
      </c>
      <c r="DU14" s="74" t="s">
        <v>83</v>
      </c>
      <c r="DV14" s="74"/>
      <c r="DW14" s="84"/>
      <c r="DX14" s="84"/>
    </row>
    <row r="15" spans="2:128" x14ac:dyDescent="0.2">
      <c r="C15" s="6" t="s">
        <v>36</v>
      </c>
      <c r="D15" s="7"/>
      <c r="E15" s="7" t="s">
        <v>77</v>
      </c>
      <c r="F15" s="7" t="s">
        <v>64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/>
      <c r="R15" s="6" t="s">
        <v>36</v>
      </c>
      <c r="S15" s="7"/>
      <c r="T15" s="7" t="s">
        <v>77</v>
      </c>
      <c r="U15" s="7" t="s">
        <v>64</v>
      </c>
      <c r="V15" s="7" t="s">
        <v>84</v>
      </c>
      <c r="W15" s="7" t="s">
        <v>84</v>
      </c>
      <c r="X15" s="7" t="s">
        <v>84</v>
      </c>
      <c r="Y15" s="7" t="s">
        <v>84</v>
      </c>
      <c r="Z15" s="7" t="s">
        <v>84</v>
      </c>
      <c r="AA15" s="7" t="s">
        <v>84</v>
      </c>
      <c r="AB15" s="7" t="s">
        <v>84</v>
      </c>
      <c r="AC15" s="7" t="s">
        <v>84</v>
      </c>
      <c r="AD15" s="7"/>
      <c r="AI15" s="6" t="s">
        <v>36</v>
      </c>
      <c r="AJ15" s="7"/>
      <c r="AK15" s="7" t="s">
        <v>77</v>
      </c>
      <c r="AL15" s="7" t="s">
        <v>64</v>
      </c>
      <c r="AM15" s="7" t="s">
        <v>78</v>
      </c>
      <c r="AN15" s="7" t="s">
        <v>78</v>
      </c>
      <c r="AO15" s="7" t="s">
        <v>78</v>
      </c>
      <c r="AP15" s="7" t="s">
        <v>78</v>
      </c>
      <c r="AQ15" s="7" t="s">
        <v>78</v>
      </c>
      <c r="AR15" s="7" t="s">
        <v>78</v>
      </c>
      <c r="AS15" s="7" t="s">
        <v>78</v>
      </c>
      <c r="AT15" s="7" t="s">
        <v>78</v>
      </c>
      <c r="AU15" s="7"/>
      <c r="AX15" s="6" t="s">
        <v>36</v>
      </c>
      <c r="AY15" s="7"/>
      <c r="AZ15" s="7" t="s">
        <v>77</v>
      </c>
      <c r="BA15" s="7" t="s">
        <v>64</v>
      </c>
      <c r="BB15" s="7" t="s">
        <v>84</v>
      </c>
      <c r="BC15" s="7" t="s">
        <v>84</v>
      </c>
      <c r="BD15" s="7" t="s">
        <v>84</v>
      </c>
      <c r="BE15" s="7" t="s">
        <v>84</v>
      </c>
      <c r="BF15" s="7" t="s">
        <v>84</v>
      </c>
      <c r="BG15" s="7" t="s">
        <v>84</v>
      </c>
      <c r="BH15" s="7" t="s">
        <v>84</v>
      </c>
      <c r="BI15" s="7" t="s">
        <v>84</v>
      </c>
      <c r="BJ15" s="7"/>
      <c r="BN15" s="84"/>
      <c r="BO15" s="71" t="s">
        <v>36</v>
      </c>
      <c r="BP15" s="74"/>
      <c r="BQ15" s="74" t="s">
        <v>77</v>
      </c>
      <c r="BR15" s="74" t="s">
        <v>64</v>
      </c>
      <c r="BS15" s="74" t="s">
        <v>78</v>
      </c>
      <c r="BT15" s="74" t="s">
        <v>78</v>
      </c>
      <c r="BU15" s="74" t="s">
        <v>78</v>
      </c>
      <c r="BV15" s="74" t="s">
        <v>78</v>
      </c>
      <c r="BW15" s="74" t="s">
        <v>78</v>
      </c>
      <c r="BX15" s="74" t="s">
        <v>78</v>
      </c>
      <c r="BY15" s="74" t="s">
        <v>78</v>
      </c>
      <c r="BZ15" s="74" t="s">
        <v>78</v>
      </c>
      <c r="CA15" s="74"/>
      <c r="CB15" s="84"/>
      <c r="CC15" s="84"/>
      <c r="CD15" s="71" t="s">
        <v>36</v>
      </c>
      <c r="CE15" s="74"/>
      <c r="CF15" s="74" t="s">
        <v>77</v>
      </c>
      <c r="CG15" s="74" t="s">
        <v>64</v>
      </c>
      <c r="CH15" s="74" t="s">
        <v>84</v>
      </c>
      <c r="CI15" s="74" t="s">
        <v>84</v>
      </c>
      <c r="CJ15" s="74" t="s">
        <v>84</v>
      </c>
      <c r="CK15" s="74" t="s">
        <v>84</v>
      </c>
      <c r="CL15" s="74" t="s">
        <v>84</v>
      </c>
      <c r="CM15" s="74" t="s">
        <v>84</v>
      </c>
      <c r="CN15" s="74" t="s">
        <v>84</v>
      </c>
      <c r="CO15" s="74" t="s">
        <v>84</v>
      </c>
      <c r="CP15" s="74"/>
      <c r="CQ15" s="84"/>
      <c r="CR15" s="84"/>
      <c r="CT15" s="84"/>
      <c r="CU15" s="71" t="s">
        <v>36</v>
      </c>
      <c r="CV15" s="74"/>
      <c r="CW15" s="74" t="s">
        <v>77</v>
      </c>
      <c r="CX15" s="74" t="s">
        <v>64</v>
      </c>
      <c r="CY15" s="74" t="s">
        <v>78</v>
      </c>
      <c r="CZ15" s="74" t="s">
        <v>78</v>
      </c>
      <c r="DA15" s="74" t="s">
        <v>78</v>
      </c>
      <c r="DB15" s="74" t="s">
        <v>78</v>
      </c>
      <c r="DC15" s="74" t="s">
        <v>78</v>
      </c>
      <c r="DD15" s="74" t="s">
        <v>78</v>
      </c>
      <c r="DE15" s="74" t="s">
        <v>78</v>
      </c>
      <c r="DF15" s="74" t="s">
        <v>78</v>
      </c>
      <c r="DG15" s="74"/>
      <c r="DH15" s="84"/>
      <c r="DI15" s="84"/>
      <c r="DJ15" s="71" t="s">
        <v>36</v>
      </c>
      <c r="DK15" s="74"/>
      <c r="DL15" s="74" t="s">
        <v>77</v>
      </c>
      <c r="DM15" s="74" t="s">
        <v>64</v>
      </c>
      <c r="DN15" s="74" t="s">
        <v>84</v>
      </c>
      <c r="DO15" s="74" t="s">
        <v>84</v>
      </c>
      <c r="DP15" s="74" t="s">
        <v>84</v>
      </c>
      <c r="DQ15" s="74" t="s">
        <v>84</v>
      </c>
      <c r="DR15" s="74" t="s">
        <v>84</v>
      </c>
      <c r="DS15" s="74" t="s">
        <v>84</v>
      </c>
      <c r="DT15" s="74" t="s">
        <v>84</v>
      </c>
      <c r="DU15" s="74" t="s">
        <v>84</v>
      </c>
      <c r="DV15" s="74"/>
      <c r="DW15" s="84"/>
      <c r="DX15" s="84"/>
    </row>
    <row r="16" spans="2:128" x14ac:dyDescent="0.2">
      <c r="C16" s="6" t="s">
        <v>39</v>
      </c>
      <c r="D16" s="7"/>
      <c r="E16" s="7" t="s">
        <v>77</v>
      </c>
      <c r="F16" s="7" t="s">
        <v>64</v>
      </c>
      <c r="G16" s="7" t="s">
        <v>79</v>
      </c>
      <c r="H16" s="7" t="s">
        <v>79</v>
      </c>
      <c r="I16" s="7" t="s">
        <v>79</v>
      </c>
      <c r="J16" s="7" t="s">
        <v>79</v>
      </c>
      <c r="K16" s="7" t="s">
        <v>79</v>
      </c>
      <c r="L16" s="7" t="s">
        <v>79</v>
      </c>
      <c r="M16" s="7" t="s">
        <v>79</v>
      </c>
      <c r="N16" s="7" t="s">
        <v>79</v>
      </c>
      <c r="O16" s="7"/>
      <c r="R16" s="6" t="s">
        <v>39</v>
      </c>
      <c r="S16" s="7"/>
      <c r="T16" s="7" t="s">
        <v>77</v>
      </c>
      <c r="U16" s="7" t="s">
        <v>64</v>
      </c>
      <c r="V16" s="7" t="s">
        <v>85</v>
      </c>
      <c r="W16" s="7" t="s">
        <v>85</v>
      </c>
      <c r="X16" s="7" t="s">
        <v>85</v>
      </c>
      <c r="Y16" s="7" t="s">
        <v>85</v>
      </c>
      <c r="Z16" s="7" t="s">
        <v>85</v>
      </c>
      <c r="AA16" s="7" t="s">
        <v>85</v>
      </c>
      <c r="AB16" s="7" t="s">
        <v>85</v>
      </c>
      <c r="AC16" s="7" t="s">
        <v>85</v>
      </c>
      <c r="AD16" s="7"/>
      <c r="AI16" s="6" t="s">
        <v>39</v>
      </c>
      <c r="AJ16" s="7"/>
      <c r="AK16" s="7" t="s">
        <v>77</v>
      </c>
      <c r="AL16" s="7" t="s">
        <v>64</v>
      </c>
      <c r="AM16" s="7" t="s">
        <v>79</v>
      </c>
      <c r="AN16" s="7" t="s">
        <v>79</v>
      </c>
      <c r="AO16" s="7" t="s">
        <v>79</v>
      </c>
      <c r="AP16" s="7" t="s">
        <v>79</v>
      </c>
      <c r="AQ16" s="7" t="s">
        <v>79</v>
      </c>
      <c r="AR16" s="7" t="s">
        <v>79</v>
      </c>
      <c r="AS16" s="7" t="s">
        <v>79</v>
      </c>
      <c r="AT16" s="7" t="s">
        <v>79</v>
      </c>
      <c r="AU16" s="7"/>
      <c r="AX16" s="6" t="s">
        <v>39</v>
      </c>
      <c r="AY16" s="7"/>
      <c r="AZ16" s="7" t="s">
        <v>77</v>
      </c>
      <c r="BA16" s="7" t="s">
        <v>64</v>
      </c>
      <c r="BB16" s="7" t="s">
        <v>85</v>
      </c>
      <c r="BC16" s="7" t="s">
        <v>85</v>
      </c>
      <c r="BD16" s="7" t="s">
        <v>85</v>
      </c>
      <c r="BE16" s="7" t="s">
        <v>85</v>
      </c>
      <c r="BF16" s="7" t="s">
        <v>85</v>
      </c>
      <c r="BG16" s="7" t="s">
        <v>85</v>
      </c>
      <c r="BH16" s="7" t="s">
        <v>85</v>
      </c>
      <c r="BI16" s="7" t="s">
        <v>85</v>
      </c>
      <c r="BJ16" s="7"/>
      <c r="BN16" s="84"/>
      <c r="BO16" s="71" t="s">
        <v>39</v>
      </c>
      <c r="BP16" s="74"/>
      <c r="BQ16" s="74" t="s">
        <v>77</v>
      </c>
      <c r="BR16" s="74" t="s">
        <v>64</v>
      </c>
      <c r="BS16" s="74" t="s">
        <v>79</v>
      </c>
      <c r="BT16" s="74" t="s">
        <v>79</v>
      </c>
      <c r="BU16" s="74" t="s">
        <v>79</v>
      </c>
      <c r="BV16" s="74" t="s">
        <v>79</v>
      </c>
      <c r="BW16" s="74" t="s">
        <v>79</v>
      </c>
      <c r="BX16" s="74" t="s">
        <v>79</v>
      </c>
      <c r="BY16" s="74" t="s">
        <v>79</v>
      </c>
      <c r="BZ16" s="74" t="s">
        <v>79</v>
      </c>
      <c r="CA16" s="74"/>
      <c r="CB16" s="84"/>
      <c r="CC16" s="84"/>
      <c r="CD16" s="71" t="s">
        <v>39</v>
      </c>
      <c r="CE16" s="74"/>
      <c r="CF16" s="74" t="s">
        <v>77</v>
      </c>
      <c r="CG16" s="74" t="s">
        <v>64</v>
      </c>
      <c r="CH16" s="74" t="s">
        <v>85</v>
      </c>
      <c r="CI16" s="74" t="s">
        <v>85</v>
      </c>
      <c r="CJ16" s="74" t="s">
        <v>85</v>
      </c>
      <c r="CK16" s="74" t="s">
        <v>85</v>
      </c>
      <c r="CL16" s="74" t="s">
        <v>85</v>
      </c>
      <c r="CM16" s="74" t="s">
        <v>85</v>
      </c>
      <c r="CN16" s="74" t="s">
        <v>85</v>
      </c>
      <c r="CO16" s="74" t="s">
        <v>85</v>
      </c>
      <c r="CP16" s="74"/>
      <c r="CQ16" s="84"/>
      <c r="CR16" s="84"/>
      <c r="CT16" s="84"/>
      <c r="CU16" s="71" t="s">
        <v>39</v>
      </c>
      <c r="CV16" s="74"/>
      <c r="CW16" s="74" t="s">
        <v>77</v>
      </c>
      <c r="CX16" s="74" t="s">
        <v>64</v>
      </c>
      <c r="CY16" s="74" t="s">
        <v>79</v>
      </c>
      <c r="CZ16" s="74" t="s">
        <v>79</v>
      </c>
      <c r="DA16" s="74" t="s">
        <v>79</v>
      </c>
      <c r="DB16" s="74" t="s">
        <v>79</v>
      </c>
      <c r="DC16" s="74" t="s">
        <v>79</v>
      </c>
      <c r="DD16" s="74" t="s">
        <v>79</v>
      </c>
      <c r="DE16" s="74" t="s">
        <v>79</v>
      </c>
      <c r="DF16" s="74" t="s">
        <v>79</v>
      </c>
      <c r="DG16" s="74"/>
      <c r="DH16" s="84"/>
      <c r="DI16" s="84"/>
      <c r="DJ16" s="71" t="s">
        <v>39</v>
      </c>
      <c r="DK16" s="74"/>
      <c r="DL16" s="74" t="s">
        <v>77</v>
      </c>
      <c r="DM16" s="74" t="s">
        <v>64</v>
      </c>
      <c r="DN16" s="74" t="s">
        <v>85</v>
      </c>
      <c r="DO16" s="74" t="s">
        <v>85</v>
      </c>
      <c r="DP16" s="74" t="s">
        <v>85</v>
      </c>
      <c r="DQ16" s="74" t="s">
        <v>85</v>
      </c>
      <c r="DR16" s="74" t="s">
        <v>85</v>
      </c>
      <c r="DS16" s="74" t="s">
        <v>85</v>
      </c>
      <c r="DT16" s="74" t="s">
        <v>85</v>
      </c>
      <c r="DU16" s="74" t="s">
        <v>85</v>
      </c>
      <c r="DV16" s="74"/>
      <c r="DW16" s="84"/>
      <c r="DX16" s="84"/>
    </row>
    <row r="17" spans="2:128" x14ac:dyDescent="0.2">
      <c r="C17" s="6" t="s">
        <v>42</v>
      </c>
      <c r="D17" s="7"/>
      <c r="E17" s="7" t="s">
        <v>77</v>
      </c>
      <c r="F17" s="7" t="s">
        <v>64</v>
      </c>
      <c r="G17" s="7" t="s">
        <v>80</v>
      </c>
      <c r="H17" s="7" t="s">
        <v>80</v>
      </c>
      <c r="I17" s="7" t="s">
        <v>80</v>
      </c>
      <c r="J17" s="7" t="s">
        <v>80</v>
      </c>
      <c r="K17" s="7" t="s">
        <v>80</v>
      </c>
      <c r="L17" s="7" t="s">
        <v>80</v>
      </c>
      <c r="M17" s="7" t="s">
        <v>80</v>
      </c>
      <c r="N17" s="7" t="s">
        <v>80</v>
      </c>
      <c r="O17" s="7"/>
      <c r="R17" s="6" t="s">
        <v>42</v>
      </c>
      <c r="S17" s="7"/>
      <c r="T17" s="7" t="s">
        <v>77</v>
      </c>
      <c r="U17" s="7" t="s">
        <v>64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/>
      <c r="AI17" s="6" t="s">
        <v>42</v>
      </c>
      <c r="AJ17" s="7"/>
      <c r="AK17" s="7" t="s">
        <v>77</v>
      </c>
      <c r="AL17" s="7" t="s">
        <v>64</v>
      </c>
      <c r="AM17" s="7" t="s">
        <v>80</v>
      </c>
      <c r="AN17" s="7" t="s">
        <v>80</v>
      </c>
      <c r="AO17" s="7" t="s">
        <v>80</v>
      </c>
      <c r="AP17" s="7" t="s">
        <v>80</v>
      </c>
      <c r="AQ17" s="7" t="s">
        <v>80</v>
      </c>
      <c r="AR17" s="7" t="s">
        <v>80</v>
      </c>
      <c r="AS17" s="7" t="s">
        <v>80</v>
      </c>
      <c r="AT17" s="7" t="s">
        <v>80</v>
      </c>
      <c r="AU17" s="7"/>
      <c r="AX17" s="6" t="s">
        <v>42</v>
      </c>
      <c r="AY17" s="7"/>
      <c r="AZ17" s="7" t="s">
        <v>77</v>
      </c>
      <c r="BA17" s="7" t="s">
        <v>64</v>
      </c>
      <c r="BB17" s="7">
        <v>1</v>
      </c>
      <c r="BC17" s="7">
        <v>1</v>
      </c>
      <c r="BD17" s="7">
        <v>1</v>
      </c>
      <c r="BE17" s="7">
        <v>1</v>
      </c>
      <c r="BF17" s="7">
        <v>1</v>
      </c>
      <c r="BG17" s="7">
        <v>1</v>
      </c>
      <c r="BH17" s="7">
        <v>1</v>
      </c>
      <c r="BI17" s="7">
        <v>1</v>
      </c>
      <c r="BJ17" s="7"/>
      <c r="BN17" s="84"/>
      <c r="BO17" s="71" t="s">
        <v>42</v>
      </c>
      <c r="BP17" s="74"/>
      <c r="BQ17" s="74" t="s">
        <v>77</v>
      </c>
      <c r="BR17" s="74" t="s">
        <v>64</v>
      </c>
      <c r="BS17" s="74" t="s">
        <v>80</v>
      </c>
      <c r="BT17" s="74" t="s">
        <v>80</v>
      </c>
      <c r="BU17" s="74" t="s">
        <v>80</v>
      </c>
      <c r="BV17" s="74" t="s">
        <v>80</v>
      </c>
      <c r="BW17" s="74" t="s">
        <v>80</v>
      </c>
      <c r="BX17" s="74" t="s">
        <v>80</v>
      </c>
      <c r="BY17" s="74" t="s">
        <v>80</v>
      </c>
      <c r="BZ17" s="74" t="s">
        <v>80</v>
      </c>
      <c r="CA17" s="74"/>
      <c r="CB17" s="84"/>
      <c r="CC17" s="84"/>
      <c r="CD17" s="71" t="s">
        <v>42</v>
      </c>
      <c r="CE17" s="74"/>
      <c r="CF17" s="74" t="s">
        <v>77</v>
      </c>
      <c r="CG17" s="74" t="s">
        <v>64</v>
      </c>
      <c r="CH17" s="74">
        <v>1</v>
      </c>
      <c r="CI17" s="74">
        <v>1</v>
      </c>
      <c r="CJ17" s="74">
        <v>1</v>
      </c>
      <c r="CK17" s="74">
        <v>1</v>
      </c>
      <c r="CL17" s="74">
        <v>1</v>
      </c>
      <c r="CM17" s="74">
        <v>1</v>
      </c>
      <c r="CN17" s="74">
        <v>1</v>
      </c>
      <c r="CO17" s="74">
        <v>1</v>
      </c>
      <c r="CP17" s="74"/>
      <c r="CQ17" s="84"/>
      <c r="CR17" s="84"/>
      <c r="CT17" s="84"/>
      <c r="CU17" s="71" t="s">
        <v>42</v>
      </c>
      <c r="CV17" s="74"/>
      <c r="CW17" s="74" t="s">
        <v>77</v>
      </c>
      <c r="CX17" s="74" t="s">
        <v>64</v>
      </c>
      <c r="CY17" s="74" t="s">
        <v>80</v>
      </c>
      <c r="CZ17" s="74" t="s">
        <v>80</v>
      </c>
      <c r="DA17" s="74" t="s">
        <v>80</v>
      </c>
      <c r="DB17" s="74" t="s">
        <v>80</v>
      </c>
      <c r="DC17" s="74" t="s">
        <v>80</v>
      </c>
      <c r="DD17" s="74" t="s">
        <v>80</v>
      </c>
      <c r="DE17" s="74" t="s">
        <v>80</v>
      </c>
      <c r="DF17" s="74" t="s">
        <v>80</v>
      </c>
      <c r="DG17" s="74"/>
      <c r="DH17" s="84"/>
      <c r="DI17" s="84"/>
      <c r="DJ17" s="71" t="s">
        <v>42</v>
      </c>
      <c r="DK17" s="74"/>
      <c r="DL17" s="74" t="s">
        <v>77</v>
      </c>
      <c r="DM17" s="74" t="s">
        <v>64</v>
      </c>
      <c r="DN17" s="74">
        <v>1</v>
      </c>
      <c r="DO17" s="74">
        <v>1</v>
      </c>
      <c r="DP17" s="74">
        <v>1</v>
      </c>
      <c r="DQ17" s="74">
        <v>1</v>
      </c>
      <c r="DR17" s="74">
        <v>1</v>
      </c>
      <c r="DS17" s="74">
        <v>1</v>
      </c>
      <c r="DT17" s="74">
        <v>1</v>
      </c>
      <c r="DU17" s="74">
        <v>1</v>
      </c>
      <c r="DV17" s="74"/>
      <c r="DW17" s="84"/>
      <c r="DX17" s="84"/>
    </row>
    <row r="18" spans="2:128" x14ac:dyDescent="0.2">
      <c r="C18" s="6" t="s">
        <v>43</v>
      </c>
      <c r="D18" s="7"/>
      <c r="E18" s="7" t="s">
        <v>77</v>
      </c>
      <c r="F18" s="7" t="s">
        <v>64</v>
      </c>
      <c r="G18" s="7" t="s">
        <v>81</v>
      </c>
      <c r="H18" s="7" t="s">
        <v>81</v>
      </c>
      <c r="I18" s="7" t="s">
        <v>81</v>
      </c>
      <c r="J18" s="7" t="s">
        <v>81</v>
      </c>
      <c r="K18" s="7" t="s">
        <v>81</v>
      </c>
      <c r="L18" s="7" t="s">
        <v>81</v>
      </c>
      <c r="M18" s="7" t="s">
        <v>81</v>
      </c>
      <c r="N18" s="7" t="s">
        <v>81</v>
      </c>
      <c r="O18" s="7"/>
      <c r="R18" s="6" t="s">
        <v>43</v>
      </c>
      <c r="S18" s="7"/>
      <c r="T18" s="7" t="s">
        <v>77</v>
      </c>
      <c r="U18" s="7" t="s">
        <v>64</v>
      </c>
      <c r="V18" s="7">
        <v>2</v>
      </c>
      <c r="W18" s="7">
        <v>2</v>
      </c>
      <c r="X18" s="7">
        <v>2</v>
      </c>
      <c r="Y18" s="7">
        <v>2</v>
      </c>
      <c r="Z18" s="7">
        <v>2</v>
      </c>
      <c r="AA18" s="7">
        <v>2</v>
      </c>
      <c r="AB18" s="7">
        <v>2</v>
      </c>
      <c r="AC18" s="7">
        <v>2</v>
      </c>
      <c r="AD18" s="7"/>
      <c r="AI18" s="6" t="s">
        <v>43</v>
      </c>
      <c r="AJ18" s="7"/>
      <c r="AK18" s="7" t="s">
        <v>77</v>
      </c>
      <c r="AL18" s="7" t="s">
        <v>64</v>
      </c>
      <c r="AM18" s="7" t="s">
        <v>81</v>
      </c>
      <c r="AN18" s="7" t="s">
        <v>81</v>
      </c>
      <c r="AO18" s="7" t="s">
        <v>81</v>
      </c>
      <c r="AP18" s="7" t="s">
        <v>81</v>
      </c>
      <c r="AQ18" s="7" t="s">
        <v>81</v>
      </c>
      <c r="AR18" s="7" t="s">
        <v>81</v>
      </c>
      <c r="AS18" s="7" t="s">
        <v>81</v>
      </c>
      <c r="AT18" s="7" t="s">
        <v>81</v>
      </c>
      <c r="AU18" s="7"/>
      <c r="AX18" s="6" t="s">
        <v>43</v>
      </c>
      <c r="AY18" s="7"/>
      <c r="AZ18" s="7" t="s">
        <v>77</v>
      </c>
      <c r="BA18" s="7" t="s">
        <v>64</v>
      </c>
      <c r="BB18" s="7">
        <v>2</v>
      </c>
      <c r="BC18" s="7">
        <v>2</v>
      </c>
      <c r="BD18" s="7">
        <v>2</v>
      </c>
      <c r="BE18" s="7">
        <v>2</v>
      </c>
      <c r="BF18" s="7">
        <v>2</v>
      </c>
      <c r="BG18" s="7">
        <v>2</v>
      </c>
      <c r="BH18" s="7">
        <v>2</v>
      </c>
      <c r="BI18" s="7">
        <v>2</v>
      </c>
      <c r="BJ18" s="7"/>
      <c r="BN18" s="84"/>
      <c r="BO18" s="71" t="s">
        <v>43</v>
      </c>
      <c r="BP18" s="74"/>
      <c r="BQ18" s="74" t="s">
        <v>77</v>
      </c>
      <c r="BR18" s="74" t="s">
        <v>64</v>
      </c>
      <c r="BS18" s="74" t="s">
        <v>81</v>
      </c>
      <c r="BT18" s="74" t="s">
        <v>81</v>
      </c>
      <c r="BU18" s="74" t="s">
        <v>81</v>
      </c>
      <c r="BV18" s="74" t="s">
        <v>81</v>
      </c>
      <c r="BW18" s="74" t="s">
        <v>81</v>
      </c>
      <c r="BX18" s="74" t="s">
        <v>81</v>
      </c>
      <c r="BY18" s="74" t="s">
        <v>81</v>
      </c>
      <c r="BZ18" s="74" t="s">
        <v>81</v>
      </c>
      <c r="CA18" s="74"/>
      <c r="CB18" s="84"/>
      <c r="CC18" s="84"/>
      <c r="CD18" s="71" t="s">
        <v>43</v>
      </c>
      <c r="CE18" s="74"/>
      <c r="CF18" s="74" t="s">
        <v>77</v>
      </c>
      <c r="CG18" s="74" t="s">
        <v>64</v>
      </c>
      <c r="CH18" s="74">
        <v>2</v>
      </c>
      <c r="CI18" s="74">
        <v>2</v>
      </c>
      <c r="CJ18" s="74">
        <v>2</v>
      </c>
      <c r="CK18" s="74">
        <v>2</v>
      </c>
      <c r="CL18" s="74">
        <v>2</v>
      </c>
      <c r="CM18" s="74">
        <v>2</v>
      </c>
      <c r="CN18" s="74">
        <v>2</v>
      </c>
      <c r="CO18" s="74">
        <v>2</v>
      </c>
      <c r="CP18" s="74"/>
      <c r="CQ18" s="84"/>
      <c r="CR18" s="84"/>
      <c r="CT18" s="84"/>
      <c r="CU18" s="71" t="s">
        <v>43</v>
      </c>
      <c r="CV18" s="74"/>
      <c r="CW18" s="74" t="s">
        <v>77</v>
      </c>
      <c r="CX18" s="74" t="s">
        <v>64</v>
      </c>
      <c r="CY18" s="74" t="s">
        <v>81</v>
      </c>
      <c r="CZ18" s="74" t="s">
        <v>81</v>
      </c>
      <c r="DA18" s="74" t="s">
        <v>81</v>
      </c>
      <c r="DB18" s="74" t="s">
        <v>81</v>
      </c>
      <c r="DC18" s="74" t="s">
        <v>81</v>
      </c>
      <c r="DD18" s="74" t="s">
        <v>81</v>
      </c>
      <c r="DE18" s="74" t="s">
        <v>81</v>
      </c>
      <c r="DF18" s="74" t="s">
        <v>81</v>
      </c>
      <c r="DG18" s="74"/>
      <c r="DH18" s="84"/>
      <c r="DI18" s="84"/>
      <c r="DJ18" s="71" t="s">
        <v>43</v>
      </c>
      <c r="DK18" s="74"/>
      <c r="DL18" s="74" t="s">
        <v>77</v>
      </c>
      <c r="DM18" s="74" t="s">
        <v>64</v>
      </c>
      <c r="DN18" s="74">
        <v>2</v>
      </c>
      <c r="DO18" s="74">
        <v>2</v>
      </c>
      <c r="DP18" s="74">
        <v>2</v>
      </c>
      <c r="DQ18" s="74">
        <v>2</v>
      </c>
      <c r="DR18" s="74">
        <v>2</v>
      </c>
      <c r="DS18" s="74">
        <v>2</v>
      </c>
      <c r="DT18" s="74">
        <v>2</v>
      </c>
      <c r="DU18" s="74">
        <v>2</v>
      </c>
      <c r="DV18" s="74"/>
      <c r="DW18" s="84"/>
      <c r="DX18" s="84"/>
    </row>
    <row r="19" spans="2:128" x14ac:dyDescent="0.2">
      <c r="C19" s="6" t="s">
        <v>44</v>
      </c>
      <c r="D19" s="7"/>
      <c r="E19" s="7" t="s">
        <v>77</v>
      </c>
      <c r="F19" s="7" t="s">
        <v>64</v>
      </c>
      <c r="G19" s="7" t="s">
        <v>82</v>
      </c>
      <c r="H19" s="7" t="s">
        <v>82</v>
      </c>
      <c r="I19" s="7" t="s">
        <v>82</v>
      </c>
      <c r="J19" s="7" t="s">
        <v>82</v>
      </c>
      <c r="K19" s="7" t="s">
        <v>82</v>
      </c>
      <c r="L19" s="7" t="s">
        <v>82</v>
      </c>
      <c r="M19" s="7" t="s">
        <v>82</v>
      </c>
      <c r="N19" s="7" t="s">
        <v>82</v>
      </c>
      <c r="O19" s="7"/>
      <c r="R19" s="6" t="s">
        <v>44</v>
      </c>
      <c r="S19" s="7"/>
      <c r="T19" s="7" t="s">
        <v>77</v>
      </c>
      <c r="U19" s="7" t="s">
        <v>64</v>
      </c>
      <c r="V19" s="7">
        <v>5</v>
      </c>
      <c r="W19" s="7">
        <v>5</v>
      </c>
      <c r="X19" s="7">
        <v>5</v>
      </c>
      <c r="Y19" s="7">
        <v>5</v>
      </c>
      <c r="Z19" s="7">
        <v>5</v>
      </c>
      <c r="AA19" s="7">
        <v>5</v>
      </c>
      <c r="AB19" s="7">
        <v>5</v>
      </c>
      <c r="AC19" s="7">
        <v>5</v>
      </c>
      <c r="AD19" s="7"/>
      <c r="AI19" s="6" t="s">
        <v>44</v>
      </c>
      <c r="AJ19" s="7"/>
      <c r="AK19" s="7" t="s">
        <v>77</v>
      </c>
      <c r="AL19" s="7" t="s">
        <v>64</v>
      </c>
      <c r="AM19" s="7" t="s">
        <v>82</v>
      </c>
      <c r="AN19" s="7" t="s">
        <v>82</v>
      </c>
      <c r="AO19" s="7" t="s">
        <v>82</v>
      </c>
      <c r="AP19" s="7" t="s">
        <v>82</v>
      </c>
      <c r="AQ19" s="7" t="s">
        <v>82</v>
      </c>
      <c r="AR19" s="7" t="s">
        <v>82</v>
      </c>
      <c r="AS19" s="7" t="s">
        <v>82</v>
      </c>
      <c r="AT19" s="7" t="s">
        <v>82</v>
      </c>
      <c r="AU19" s="7"/>
      <c r="AX19" s="6" t="s">
        <v>44</v>
      </c>
      <c r="AY19" s="7"/>
      <c r="AZ19" s="7" t="s">
        <v>77</v>
      </c>
      <c r="BA19" s="7" t="s">
        <v>64</v>
      </c>
      <c r="BB19" s="7">
        <v>5</v>
      </c>
      <c r="BC19" s="7">
        <v>5</v>
      </c>
      <c r="BD19" s="7">
        <v>5</v>
      </c>
      <c r="BE19" s="7">
        <v>5</v>
      </c>
      <c r="BF19" s="7">
        <v>5</v>
      </c>
      <c r="BG19" s="7">
        <v>5</v>
      </c>
      <c r="BH19" s="7">
        <v>5</v>
      </c>
      <c r="BI19" s="7">
        <v>5</v>
      </c>
      <c r="BJ19" s="7"/>
      <c r="BN19" s="84"/>
      <c r="BO19" s="71" t="s">
        <v>44</v>
      </c>
      <c r="BP19" s="74"/>
      <c r="BQ19" s="74" t="s">
        <v>77</v>
      </c>
      <c r="BR19" s="74" t="s">
        <v>64</v>
      </c>
      <c r="BS19" s="74" t="s">
        <v>82</v>
      </c>
      <c r="BT19" s="74" t="s">
        <v>82</v>
      </c>
      <c r="BU19" s="74" t="s">
        <v>82</v>
      </c>
      <c r="BV19" s="74" t="s">
        <v>82</v>
      </c>
      <c r="BW19" s="74" t="s">
        <v>82</v>
      </c>
      <c r="BX19" s="74" t="s">
        <v>82</v>
      </c>
      <c r="BY19" s="74" t="s">
        <v>82</v>
      </c>
      <c r="BZ19" s="74" t="s">
        <v>82</v>
      </c>
      <c r="CA19" s="74"/>
      <c r="CB19" s="84"/>
      <c r="CC19" s="84"/>
      <c r="CD19" s="71" t="s">
        <v>44</v>
      </c>
      <c r="CE19" s="74"/>
      <c r="CF19" s="74" t="s">
        <v>77</v>
      </c>
      <c r="CG19" s="74" t="s">
        <v>64</v>
      </c>
      <c r="CH19" s="74">
        <v>5</v>
      </c>
      <c r="CI19" s="74">
        <v>5</v>
      </c>
      <c r="CJ19" s="74">
        <v>5</v>
      </c>
      <c r="CK19" s="74">
        <v>5</v>
      </c>
      <c r="CL19" s="74">
        <v>5</v>
      </c>
      <c r="CM19" s="74">
        <v>5</v>
      </c>
      <c r="CN19" s="74">
        <v>5</v>
      </c>
      <c r="CO19" s="74">
        <v>5</v>
      </c>
      <c r="CP19" s="74"/>
      <c r="CQ19" s="84"/>
      <c r="CR19" s="84"/>
      <c r="CT19" s="84"/>
      <c r="CU19" s="71" t="s">
        <v>44</v>
      </c>
      <c r="CV19" s="74"/>
      <c r="CW19" s="74" t="s">
        <v>77</v>
      </c>
      <c r="CX19" s="74" t="s">
        <v>64</v>
      </c>
      <c r="CY19" s="74" t="s">
        <v>82</v>
      </c>
      <c r="CZ19" s="74" t="s">
        <v>82</v>
      </c>
      <c r="DA19" s="74" t="s">
        <v>82</v>
      </c>
      <c r="DB19" s="74" t="s">
        <v>82</v>
      </c>
      <c r="DC19" s="74" t="s">
        <v>82</v>
      </c>
      <c r="DD19" s="74" t="s">
        <v>82</v>
      </c>
      <c r="DE19" s="74" t="s">
        <v>82</v>
      </c>
      <c r="DF19" s="74" t="s">
        <v>82</v>
      </c>
      <c r="DG19" s="74"/>
      <c r="DH19" s="84"/>
      <c r="DI19" s="84"/>
      <c r="DJ19" s="71" t="s">
        <v>44</v>
      </c>
      <c r="DK19" s="74"/>
      <c r="DL19" s="74" t="s">
        <v>77</v>
      </c>
      <c r="DM19" s="74" t="s">
        <v>64</v>
      </c>
      <c r="DN19" s="74">
        <v>5</v>
      </c>
      <c r="DO19" s="74">
        <v>5</v>
      </c>
      <c r="DP19" s="74">
        <v>5</v>
      </c>
      <c r="DQ19" s="74">
        <v>5</v>
      </c>
      <c r="DR19" s="74">
        <v>5</v>
      </c>
      <c r="DS19" s="74">
        <v>5</v>
      </c>
      <c r="DT19" s="74">
        <v>5</v>
      </c>
      <c r="DU19" s="74">
        <v>5</v>
      </c>
      <c r="DV19" s="74"/>
      <c r="DW19" s="84"/>
      <c r="DX19" s="84"/>
    </row>
    <row r="20" spans="2:128" x14ac:dyDescent="0.2">
      <c r="C20" s="6" t="s">
        <v>45</v>
      </c>
      <c r="D20" s="7"/>
      <c r="E20" s="7"/>
      <c r="F20" s="7"/>
      <c r="G20" s="7"/>
      <c r="H20" s="14"/>
      <c r="I20" s="14"/>
      <c r="J20" s="14"/>
      <c r="K20" s="7"/>
      <c r="L20" s="7"/>
      <c r="M20" s="7"/>
      <c r="N20" s="7"/>
      <c r="O20" s="7"/>
      <c r="R20" s="6" t="s">
        <v>45</v>
      </c>
      <c r="S20" s="7"/>
      <c r="T20" s="7"/>
      <c r="U20" s="7"/>
      <c r="V20" s="7"/>
      <c r="W20" s="14"/>
      <c r="X20" s="14"/>
      <c r="Y20" s="14"/>
      <c r="Z20" s="7"/>
      <c r="AA20" s="7"/>
      <c r="AB20" s="7"/>
      <c r="AC20" s="7"/>
      <c r="AD20" s="7"/>
      <c r="AI20" s="6" t="s">
        <v>45</v>
      </c>
      <c r="AJ20" s="7"/>
      <c r="AK20" s="7"/>
      <c r="AL20" s="7"/>
      <c r="AM20" s="7"/>
      <c r="AN20" s="14"/>
      <c r="AO20" s="14"/>
      <c r="AP20" s="14"/>
      <c r="AQ20" s="7"/>
      <c r="AR20" s="7"/>
      <c r="AS20" s="7"/>
      <c r="AT20" s="7"/>
      <c r="AU20" s="7"/>
      <c r="AX20" s="6" t="s">
        <v>45</v>
      </c>
      <c r="AY20" s="7"/>
      <c r="AZ20" s="7"/>
      <c r="BA20" s="7"/>
      <c r="BB20" s="7"/>
      <c r="BC20" s="14"/>
      <c r="BD20" s="14"/>
      <c r="BE20" s="14"/>
      <c r="BF20" s="7"/>
      <c r="BG20" s="7"/>
      <c r="BH20" s="7"/>
      <c r="BI20" s="7"/>
      <c r="BJ20" s="7"/>
      <c r="BN20" s="84"/>
      <c r="BO20" s="71" t="s">
        <v>45</v>
      </c>
      <c r="BP20" s="74"/>
      <c r="BQ20" s="74"/>
      <c r="BR20" s="74"/>
      <c r="BS20" s="74"/>
      <c r="BT20" s="14"/>
      <c r="BU20" s="14"/>
      <c r="BV20" s="14"/>
      <c r="BW20" s="74"/>
      <c r="BX20" s="74"/>
      <c r="BY20" s="74"/>
      <c r="BZ20" s="74"/>
      <c r="CA20" s="74"/>
      <c r="CB20" s="84"/>
      <c r="CC20" s="84"/>
      <c r="CD20" s="71" t="s">
        <v>45</v>
      </c>
      <c r="CE20" s="74"/>
      <c r="CF20" s="74"/>
      <c r="CG20" s="74"/>
      <c r="CH20" s="74"/>
      <c r="CI20" s="14"/>
      <c r="CJ20" s="14"/>
      <c r="CK20" s="14"/>
      <c r="CL20" s="74"/>
      <c r="CM20" s="74"/>
      <c r="CN20" s="74"/>
      <c r="CO20" s="74"/>
      <c r="CP20" s="74"/>
      <c r="CQ20" s="84"/>
      <c r="CR20" s="84"/>
      <c r="CT20" s="84"/>
      <c r="CU20" s="71" t="s">
        <v>45</v>
      </c>
      <c r="CV20" s="74"/>
      <c r="CW20" s="74"/>
      <c r="CX20" s="74"/>
      <c r="CY20" s="74"/>
      <c r="CZ20" s="14"/>
      <c r="DA20" s="14"/>
      <c r="DB20" s="14"/>
      <c r="DC20" s="74"/>
      <c r="DD20" s="74"/>
      <c r="DE20" s="74"/>
      <c r="DF20" s="74"/>
      <c r="DG20" s="74"/>
      <c r="DH20" s="84"/>
      <c r="DI20" s="84"/>
      <c r="DJ20" s="71" t="s">
        <v>45</v>
      </c>
      <c r="DK20" s="74"/>
      <c r="DL20" s="74"/>
      <c r="DM20" s="74"/>
      <c r="DN20" s="74"/>
      <c r="DO20" s="14"/>
      <c r="DP20" s="14"/>
      <c r="DQ20" s="14"/>
      <c r="DR20" s="74"/>
      <c r="DS20" s="74"/>
      <c r="DT20" s="74"/>
      <c r="DU20" s="74"/>
      <c r="DV20" s="74"/>
      <c r="DW20" s="84"/>
      <c r="DX20" s="84"/>
    </row>
    <row r="21" spans="2:128" x14ac:dyDescent="0.2"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</row>
    <row r="22" spans="2:128" x14ac:dyDescent="0.2">
      <c r="B22" t="s">
        <v>0</v>
      </c>
      <c r="C22" t="s">
        <v>1</v>
      </c>
      <c r="R22" t="s">
        <v>0</v>
      </c>
      <c r="S22" t="s">
        <v>1</v>
      </c>
      <c r="AH22" s="20" t="s">
        <v>0</v>
      </c>
      <c r="AI22" s="20" t="s">
        <v>1</v>
      </c>
      <c r="AX22" s="29" t="s">
        <v>0</v>
      </c>
      <c r="AY22" s="29" t="s">
        <v>1</v>
      </c>
      <c r="BN22" s="84" t="s">
        <v>0</v>
      </c>
      <c r="BO22" s="84" t="s">
        <v>1</v>
      </c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 t="s">
        <v>0</v>
      </c>
      <c r="CE22" s="84" t="s">
        <v>1</v>
      </c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T22" s="84" t="s">
        <v>0</v>
      </c>
      <c r="CU22" s="84" t="s">
        <v>1</v>
      </c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 t="s">
        <v>0</v>
      </c>
      <c r="DK22" s="84" t="s">
        <v>1</v>
      </c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</row>
    <row r="23" spans="2:128" x14ac:dyDescent="0.2"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</row>
    <row r="24" spans="2:128" x14ac:dyDescent="0.2">
      <c r="B24" t="s">
        <v>2</v>
      </c>
      <c r="C24" t="s">
        <v>97</v>
      </c>
      <c r="R24" t="s">
        <v>2</v>
      </c>
      <c r="S24" t="s">
        <v>97</v>
      </c>
      <c r="AH24" s="20" t="s">
        <v>2</v>
      </c>
      <c r="AI24" s="20" t="s">
        <v>118</v>
      </c>
      <c r="AX24" s="29" t="s">
        <v>2</v>
      </c>
      <c r="AY24" s="29" t="s">
        <v>118</v>
      </c>
      <c r="BN24" s="84" t="s">
        <v>2</v>
      </c>
      <c r="BO24" s="84" t="s">
        <v>123</v>
      </c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 t="s">
        <v>2</v>
      </c>
      <c r="CE24" s="84" t="s">
        <v>123</v>
      </c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T24" s="84" t="s">
        <v>2</v>
      </c>
      <c r="CU24" s="84" t="s">
        <v>195</v>
      </c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 t="s">
        <v>2</v>
      </c>
      <c r="DK24" s="84" t="s">
        <v>195</v>
      </c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</row>
    <row r="25" spans="2:128" x14ac:dyDescent="0.2">
      <c r="B25" t="s">
        <v>3</v>
      </c>
      <c r="C25" t="s">
        <v>98</v>
      </c>
      <c r="R25" t="s">
        <v>3</v>
      </c>
      <c r="S25" t="s">
        <v>98</v>
      </c>
      <c r="AH25" s="20" t="s">
        <v>3</v>
      </c>
      <c r="AI25" s="20" t="s">
        <v>98</v>
      </c>
      <c r="AX25" s="29" t="s">
        <v>3</v>
      </c>
      <c r="AY25" s="29" t="s">
        <v>98</v>
      </c>
      <c r="BN25" s="84" t="s">
        <v>3</v>
      </c>
      <c r="BO25" s="84" t="s">
        <v>98</v>
      </c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 t="s">
        <v>3</v>
      </c>
      <c r="CE25" s="84" t="s">
        <v>98</v>
      </c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T25" s="84" t="s">
        <v>3</v>
      </c>
      <c r="CU25" s="84" t="s">
        <v>98</v>
      </c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 t="s">
        <v>3</v>
      </c>
      <c r="DK25" s="84" t="s">
        <v>98</v>
      </c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</row>
    <row r="26" spans="2:128" x14ac:dyDescent="0.2">
      <c r="B26" t="s">
        <v>4</v>
      </c>
      <c r="C26" t="s">
        <v>72</v>
      </c>
      <c r="R26" t="s">
        <v>4</v>
      </c>
      <c r="S26" t="s">
        <v>109</v>
      </c>
      <c r="AH26" s="20" t="s">
        <v>4</v>
      </c>
      <c r="AI26" s="20" t="s">
        <v>72</v>
      </c>
      <c r="AX26" s="29" t="s">
        <v>4</v>
      </c>
      <c r="AY26" s="29" t="s">
        <v>109</v>
      </c>
      <c r="BN26" s="84" t="s">
        <v>4</v>
      </c>
      <c r="BO26" s="84" t="s">
        <v>72</v>
      </c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 t="s">
        <v>4</v>
      </c>
      <c r="CE26" s="84" t="s">
        <v>109</v>
      </c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T26" s="84" t="s">
        <v>4</v>
      </c>
      <c r="CU26" s="84" t="s">
        <v>72</v>
      </c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 t="s">
        <v>4</v>
      </c>
      <c r="DK26" s="84" t="s">
        <v>109</v>
      </c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</row>
    <row r="27" spans="2:128" x14ac:dyDescent="0.2">
      <c r="B27" t="s">
        <v>6</v>
      </c>
      <c r="C27" s="1">
        <v>45679</v>
      </c>
      <c r="R27" t="s">
        <v>6</v>
      </c>
      <c r="S27" s="1">
        <v>45679</v>
      </c>
      <c r="AH27" s="20" t="s">
        <v>6</v>
      </c>
      <c r="AI27" s="21">
        <v>45681</v>
      </c>
      <c r="AX27" s="29" t="s">
        <v>6</v>
      </c>
      <c r="AY27" s="30">
        <v>45681</v>
      </c>
      <c r="BN27" s="84" t="s">
        <v>6</v>
      </c>
      <c r="BO27" s="80">
        <v>45684</v>
      </c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 t="s">
        <v>6</v>
      </c>
      <c r="CE27" s="80">
        <v>45684</v>
      </c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T27" s="84" t="s">
        <v>6</v>
      </c>
      <c r="CU27" s="80">
        <v>45686</v>
      </c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 t="s">
        <v>6</v>
      </c>
      <c r="DK27" s="80">
        <v>45686</v>
      </c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</row>
    <row r="28" spans="2:128" x14ac:dyDescent="0.2">
      <c r="B28" t="s">
        <v>7</v>
      </c>
      <c r="C28" s="2">
        <v>0.57559027777777783</v>
      </c>
      <c r="R28" t="s">
        <v>7</v>
      </c>
      <c r="S28" s="2">
        <v>0.58071759259259259</v>
      </c>
      <c r="AH28" s="20" t="s">
        <v>7</v>
      </c>
      <c r="AI28" s="22">
        <v>0.56971064814814809</v>
      </c>
      <c r="AX28" s="29" t="s">
        <v>7</v>
      </c>
      <c r="AY28" s="31">
        <v>0.57553240740740741</v>
      </c>
      <c r="BN28" s="84" t="s">
        <v>7</v>
      </c>
      <c r="BO28" s="81">
        <v>0.58328703703703699</v>
      </c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 t="s">
        <v>7</v>
      </c>
      <c r="CE28" s="81">
        <v>0.58857638888888886</v>
      </c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T28" s="84" t="s">
        <v>7</v>
      </c>
      <c r="CU28" s="81">
        <v>0.58226851851851846</v>
      </c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 t="s">
        <v>7</v>
      </c>
      <c r="DK28" s="81">
        <v>0.58679398148148143</v>
      </c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</row>
    <row r="29" spans="2:128" x14ac:dyDescent="0.2">
      <c r="B29" t="s">
        <v>8</v>
      </c>
      <c r="C29" t="s">
        <v>9</v>
      </c>
      <c r="R29" t="s">
        <v>8</v>
      </c>
      <c r="S29" t="s">
        <v>9</v>
      </c>
      <c r="AH29" s="20" t="s">
        <v>8</v>
      </c>
      <c r="AI29" s="20" t="s">
        <v>9</v>
      </c>
      <c r="AX29" s="29" t="s">
        <v>8</v>
      </c>
      <c r="AY29" s="29" t="s">
        <v>9</v>
      </c>
      <c r="BN29" s="84" t="s">
        <v>8</v>
      </c>
      <c r="BO29" s="84" t="s">
        <v>9</v>
      </c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 t="s">
        <v>8</v>
      </c>
      <c r="CE29" s="84" t="s">
        <v>9</v>
      </c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T29" s="84" t="s">
        <v>8</v>
      </c>
      <c r="CU29" s="84" t="s">
        <v>9</v>
      </c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 t="s">
        <v>8</v>
      </c>
      <c r="DK29" s="84" t="s">
        <v>9</v>
      </c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</row>
    <row r="30" spans="2:128" x14ac:dyDescent="0.2">
      <c r="B30" t="s">
        <v>10</v>
      </c>
      <c r="C30" t="s">
        <v>11</v>
      </c>
      <c r="R30" t="s">
        <v>10</v>
      </c>
      <c r="S30" t="s">
        <v>11</v>
      </c>
      <c r="AH30" s="20" t="s">
        <v>10</v>
      </c>
      <c r="AI30" s="20" t="s">
        <v>11</v>
      </c>
      <c r="AX30" s="29" t="s">
        <v>10</v>
      </c>
      <c r="AY30" s="29" t="s">
        <v>11</v>
      </c>
      <c r="BN30" s="84" t="s">
        <v>10</v>
      </c>
      <c r="BO30" s="84" t="s">
        <v>11</v>
      </c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 t="s">
        <v>10</v>
      </c>
      <c r="CE30" s="84" t="s">
        <v>11</v>
      </c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T30" s="84" t="s">
        <v>10</v>
      </c>
      <c r="CU30" s="84" t="s">
        <v>11</v>
      </c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 t="s">
        <v>10</v>
      </c>
      <c r="DK30" s="84" t="s">
        <v>11</v>
      </c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</row>
    <row r="31" spans="2:128" x14ac:dyDescent="0.2">
      <c r="B31" t="s">
        <v>12</v>
      </c>
      <c r="C31" t="s">
        <v>13</v>
      </c>
      <c r="R31" t="s">
        <v>12</v>
      </c>
      <c r="S31" t="s">
        <v>13</v>
      </c>
      <c r="AH31" s="20" t="s">
        <v>12</v>
      </c>
      <c r="AI31" s="20" t="s">
        <v>13</v>
      </c>
      <c r="AX31" s="29" t="s">
        <v>12</v>
      </c>
      <c r="AY31" s="29" t="s">
        <v>13</v>
      </c>
      <c r="BN31" s="84" t="s">
        <v>12</v>
      </c>
      <c r="BO31" s="84" t="s">
        <v>13</v>
      </c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 t="s">
        <v>12</v>
      </c>
      <c r="CE31" s="84" t="s">
        <v>13</v>
      </c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T31" s="84" t="s">
        <v>12</v>
      </c>
      <c r="CU31" s="84" t="s">
        <v>13</v>
      </c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 t="s">
        <v>12</v>
      </c>
      <c r="DK31" s="84" t="s">
        <v>13</v>
      </c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</row>
    <row r="32" spans="2:128" x14ac:dyDescent="0.2"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</row>
    <row r="33" spans="2:128" ht="25.5" x14ac:dyDescent="0.2">
      <c r="B33" s="3" t="s">
        <v>14</v>
      </c>
      <c r="C33" s="4"/>
      <c r="R33" s="3" t="s">
        <v>14</v>
      </c>
      <c r="S33" s="4"/>
      <c r="AH33" s="23" t="s">
        <v>14</v>
      </c>
      <c r="AI33" s="24"/>
      <c r="AX33" s="32" t="s">
        <v>14</v>
      </c>
      <c r="AY33" s="33"/>
      <c r="BN33" s="82" t="s">
        <v>14</v>
      </c>
      <c r="BO33" s="83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2" t="s">
        <v>14</v>
      </c>
      <c r="CE33" s="83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T33" s="82" t="s">
        <v>14</v>
      </c>
      <c r="CU33" s="83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2" t="s">
        <v>14</v>
      </c>
      <c r="DK33" s="83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</row>
    <row r="34" spans="2:128" x14ac:dyDescent="0.2">
      <c r="B34" t="s">
        <v>15</v>
      </c>
      <c r="C34" t="s">
        <v>16</v>
      </c>
      <c r="R34" t="s">
        <v>15</v>
      </c>
      <c r="S34" t="s">
        <v>16</v>
      </c>
      <c r="AH34" s="20" t="s">
        <v>15</v>
      </c>
      <c r="AI34" s="20" t="s">
        <v>16</v>
      </c>
      <c r="AX34" s="29" t="s">
        <v>15</v>
      </c>
      <c r="AY34" s="29" t="s">
        <v>16</v>
      </c>
      <c r="BN34" s="84" t="s">
        <v>15</v>
      </c>
      <c r="BO34" s="84" t="s">
        <v>16</v>
      </c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 t="s">
        <v>15</v>
      </c>
      <c r="CE34" s="84" t="s">
        <v>16</v>
      </c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T34" s="84" t="s">
        <v>15</v>
      </c>
      <c r="CU34" s="84" t="s">
        <v>16</v>
      </c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 t="s">
        <v>15</v>
      </c>
      <c r="DK34" s="84" t="s">
        <v>16</v>
      </c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</row>
    <row r="35" spans="2:128" x14ac:dyDescent="0.2">
      <c r="B35" t="s">
        <v>17</v>
      </c>
      <c r="R35" t="s">
        <v>17</v>
      </c>
      <c r="AH35" s="20" t="s">
        <v>17</v>
      </c>
      <c r="AI35" s="20"/>
      <c r="AX35" s="29" t="s">
        <v>17</v>
      </c>
      <c r="AY35" s="29"/>
      <c r="BN35" s="84" t="s">
        <v>17</v>
      </c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 t="s">
        <v>17</v>
      </c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T35" s="84" t="s">
        <v>17</v>
      </c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 t="s">
        <v>17</v>
      </c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</row>
    <row r="36" spans="2:128" x14ac:dyDescent="0.2">
      <c r="B36" t="s">
        <v>67</v>
      </c>
      <c r="C36" t="s">
        <v>68</v>
      </c>
      <c r="R36" t="s">
        <v>67</v>
      </c>
      <c r="S36" t="s">
        <v>68</v>
      </c>
      <c r="AH36" s="20" t="s">
        <v>67</v>
      </c>
      <c r="AI36" s="20" t="s">
        <v>68</v>
      </c>
      <c r="AX36" s="29" t="s">
        <v>67</v>
      </c>
      <c r="AY36" s="29" t="s">
        <v>68</v>
      </c>
      <c r="BN36" s="84" t="s">
        <v>67</v>
      </c>
      <c r="BO36" s="84" t="s">
        <v>68</v>
      </c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 t="s">
        <v>67</v>
      </c>
      <c r="CE36" s="84" t="s">
        <v>68</v>
      </c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T36" s="84" t="s">
        <v>67</v>
      </c>
      <c r="CU36" s="84" t="s">
        <v>68</v>
      </c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 t="s">
        <v>67</v>
      </c>
      <c r="DK36" s="84" t="s">
        <v>68</v>
      </c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</row>
    <row r="37" spans="2:128" x14ac:dyDescent="0.2">
      <c r="C37" t="s">
        <v>69</v>
      </c>
      <c r="S37" t="s">
        <v>69</v>
      </c>
      <c r="AH37" s="20"/>
      <c r="AI37" s="20" t="s">
        <v>69</v>
      </c>
      <c r="AX37" s="29"/>
      <c r="AY37" s="29" t="s">
        <v>69</v>
      </c>
      <c r="BN37" s="84"/>
      <c r="BO37" s="84" t="s">
        <v>69</v>
      </c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 t="s">
        <v>69</v>
      </c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T37" s="84"/>
      <c r="CU37" s="84" t="s">
        <v>69</v>
      </c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 t="s">
        <v>69</v>
      </c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</row>
    <row r="38" spans="2:128" x14ac:dyDescent="0.2">
      <c r="B38" t="s">
        <v>18</v>
      </c>
      <c r="C38" t="s">
        <v>19</v>
      </c>
      <c r="R38" t="s">
        <v>18</v>
      </c>
      <c r="S38" t="s">
        <v>19</v>
      </c>
      <c r="AH38" s="20" t="s">
        <v>18</v>
      </c>
      <c r="AI38" s="20" t="s">
        <v>19</v>
      </c>
      <c r="AX38" s="29" t="s">
        <v>18</v>
      </c>
      <c r="AY38" s="29" t="s">
        <v>19</v>
      </c>
      <c r="BN38" s="84" t="s">
        <v>18</v>
      </c>
      <c r="BO38" s="84" t="s">
        <v>19</v>
      </c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 t="s">
        <v>18</v>
      </c>
      <c r="CE38" s="84" t="s">
        <v>19</v>
      </c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T38" s="84" t="s">
        <v>18</v>
      </c>
      <c r="CU38" s="84" t="s">
        <v>19</v>
      </c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 t="s">
        <v>18</v>
      </c>
      <c r="DK38" s="84" t="s">
        <v>19</v>
      </c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</row>
    <row r="39" spans="2:128" x14ac:dyDescent="0.2">
      <c r="C39" t="s">
        <v>20</v>
      </c>
      <c r="S39" t="s">
        <v>20</v>
      </c>
      <c r="AH39" s="20"/>
      <c r="AI39" s="20" t="s">
        <v>20</v>
      </c>
      <c r="AX39" s="29"/>
      <c r="AY39" s="29" t="s">
        <v>20</v>
      </c>
      <c r="BN39" s="84"/>
      <c r="BO39" s="84" t="s">
        <v>20</v>
      </c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 t="s">
        <v>20</v>
      </c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T39" s="84"/>
      <c r="CU39" s="84" t="s">
        <v>20</v>
      </c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 t="s">
        <v>20</v>
      </c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</row>
    <row r="40" spans="2:128" x14ac:dyDescent="0.2">
      <c r="C40" t="s">
        <v>21</v>
      </c>
      <c r="S40" t="s">
        <v>21</v>
      </c>
      <c r="AH40" s="20"/>
      <c r="AI40" s="20" t="s">
        <v>21</v>
      </c>
      <c r="AX40" s="29"/>
      <c r="AY40" s="29" t="s">
        <v>21</v>
      </c>
      <c r="BN40" s="84"/>
      <c r="BO40" s="84" t="s">
        <v>21</v>
      </c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 t="s">
        <v>21</v>
      </c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T40" s="84"/>
      <c r="CU40" s="84" t="s">
        <v>21</v>
      </c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 t="s">
        <v>21</v>
      </c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</row>
    <row r="41" spans="2:128" x14ac:dyDescent="0.2">
      <c r="C41" t="s">
        <v>22</v>
      </c>
      <c r="S41" t="s">
        <v>22</v>
      </c>
      <c r="AH41" s="20"/>
      <c r="AI41" s="20" t="s">
        <v>22</v>
      </c>
      <c r="AX41" s="29"/>
      <c r="AY41" s="29" t="s">
        <v>22</v>
      </c>
      <c r="BN41" s="84"/>
      <c r="BO41" s="84" t="s">
        <v>22</v>
      </c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 t="s">
        <v>22</v>
      </c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T41" s="84"/>
      <c r="CU41" s="84" t="s">
        <v>22</v>
      </c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 t="s">
        <v>22</v>
      </c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</row>
    <row r="42" spans="2:128" x14ac:dyDescent="0.2">
      <c r="C42" t="s">
        <v>23</v>
      </c>
      <c r="S42" t="s">
        <v>23</v>
      </c>
      <c r="AH42" s="20"/>
      <c r="AI42" s="20" t="s">
        <v>23</v>
      </c>
      <c r="AX42" s="29"/>
      <c r="AY42" s="29" t="s">
        <v>23</v>
      </c>
      <c r="BN42" s="84"/>
      <c r="BO42" s="84" t="s">
        <v>23</v>
      </c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 t="s">
        <v>23</v>
      </c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T42" s="84"/>
      <c r="CU42" s="84" t="s">
        <v>23</v>
      </c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 t="s">
        <v>23</v>
      </c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</row>
    <row r="43" spans="2:128" x14ac:dyDescent="0.2">
      <c r="C43" t="s">
        <v>24</v>
      </c>
      <c r="S43" t="s">
        <v>24</v>
      </c>
      <c r="AH43" s="20"/>
      <c r="AI43" s="20" t="s">
        <v>24</v>
      </c>
      <c r="AX43" s="29"/>
      <c r="AY43" s="29" t="s">
        <v>24</v>
      </c>
      <c r="BN43" s="84"/>
      <c r="BO43" s="84" t="s">
        <v>24</v>
      </c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 t="s">
        <v>24</v>
      </c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T43" s="84"/>
      <c r="CU43" s="84" t="s">
        <v>24</v>
      </c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 t="s">
        <v>24</v>
      </c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</row>
    <row r="44" spans="2:128" x14ac:dyDescent="0.2">
      <c r="C44" t="s">
        <v>25</v>
      </c>
      <c r="S44" t="s">
        <v>25</v>
      </c>
      <c r="AH44" s="20"/>
      <c r="AI44" s="20" t="s">
        <v>25</v>
      </c>
      <c r="AX44" s="29"/>
      <c r="AY44" s="29" t="s">
        <v>25</v>
      </c>
      <c r="BN44" s="84"/>
      <c r="BO44" s="84" t="s">
        <v>25</v>
      </c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 t="s">
        <v>25</v>
      </c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T44" s="84"/>
      <c r="CU44" s="84" t="s">
        <v>25</v>
      </c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 t="s">
        <v>25</v>
      </c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</row>
    <row r="45" spans="2:128" x14ac:dyDescent="0.2">
      <c r="C45" t="s">
        <v>26</v>
      </c>
      <c r="S45" t="s">
        <v>26</v>
      </c>
      <c r="AH45" s="20"/>
      <c r="AI45" s="20" t="s">
        <v>26</v>
      </c>
      <c r="AX45" s="29"/>
      <c r="AY45" s="29" t="s">
        <v>26</v>
      </c>
      <c r="BN45" s="84"/>
      <c r="BO45" s="84" t="s">
        <v>26</v>
      </c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 t="s">
        <v>26</v>
      </c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T45" s="84"/>
      <c r="CU45" s="84" t="s">
        <v>26</v>
      </c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 t="s">
        <v>26</v>
      </c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</row>
    <row r="46" spans="2:128" x14ac:dyDescent="0.2">
      <c r="C46" t="s">
        <v>27</v>
      </c>
      <c r="S46" t="s">
        <v>27</v>
      </c>
      <c r="AH46" s="20"/>
      <c r="AI46" s="20" t="s">
        <v>27</v>
      </c>
      <c r="AX46" s="29"/>
      <c r="AY46" s="29" t="s">
        <v>27</v>
      </c>
      <c r="BN46" s="84"/>
      <c r="BO46" s="84" t="s">
        <v>27</v>
      </c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 t="s">
        <v>27</v>
      </c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T46" s="84"/>
      <c r="CU46" s="84" t="s">
        <v>27</v>
      </c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 t="s">
        <v>27</v>
      </c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</row>
    <row r="47" spans="2:128" x14ac:dyDescent="0.2"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</row>
    <row r="48" spans="2:128" ht="25.5" x14ac:dyDescent="0.2">
      <c r="B48" s="3" t="s">
        <v>47</v>
      </c>
      <c r="C48" s="4"/>
      <c r="R48" s="3" t="s">
        <v>47</v>
      </c>
      <c r="S48" s="4"/>
      <c r="AH48" s="3" t="s">
        <v>47</v>
      </c>
      <c r="AI48" s="4"/>
      <c r="AX48" s="3" t="s">
        <v>47</v>
      </c>
      <c r="AY48" s="4"/>
      <c r="BN48" s="82" t="s">
        <v>47</v>
      </c>
      <c r="BO48" s="83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2" t="s">
        <v>47</v>
      </c>
      <c r="CE48" s="83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T48" s="82" t="s">
        <v>47</v>
      </c>
      <c r="CU48" s="83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2" t="s">
        <v>47</v>
      </c>
      <c r="DK48" s="83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</row>
    <row r="49" spans="2:128" x14ac:dyDescent="0.2">
      <c r="B49" t="s">
        <v>48</v>
      </c>
      <c r="C49">
        <v>37</v>
      </c>
      <c r="R49" t="s">
        <v>48</v>
      </c>
      <c r="S49">
        <v>37</v>
      </c>
      <c r="AH49" t="s">
        <v>48</v>
      </c>
      <c r="AI49">
        <v>37</v>
      </c>
      <c r="AX49" t="s">
        <v>48</v>
      </c>
      <c r="AY49">
        <v>37</v>
      </c>
      <c r="BN49" s="84" t="s">
        <v>48</v>
      </c>
      <c r="BO49" s="84">
        <v>37</v>
      </c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 t="s">
        <v>48</v>
      </c>
      <c r="CE49" s="84">
        <v>37</v>
      </c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T49" s="84" t="s">
        <v>48</v>
      </c>
      <c r="CU49" s="84">
        <v>37</v>
      </c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 t="s">
        <v>48</v>
      </c>
      <c r="DK49" s="84">
        <v>37</v>
      </c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</row>
    <row r="50" spans="2:128" x14ac:dyDescent="0.2"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</row>
    <row r="51" spans="2:128" x14ac:dyDescent="0.2">
      <c r="C51" s="5"/>
      <c r="D51" s="6">
        <v>1</v>
      </c>
      <c r="E51" s="6">
        <v>2</v>
      </c>
      <c r="F51" s="6">
        <v>3</v>
      </c>
      <c r="G51" s="6">
        <v>4</v>
      </c>
      <c r="H51" s="6">
        <v>5</v>
      </c>
      <c r="I51" s="6">
        <v>6</v>
      </c>
      <c r="J51" s="6">
        <v>7</v>
      </c>
      <c r="K51" s="6">
        <v>8</v>
      </c>
      <c r="L51" s="6">
        <v>9</v>
      </c>
      <c r="M51" s="6">
        <v>10</v>
      </c>
      <c r="N51" s="6">
        <v>11</v>
      </c>
      <c r="O51" s="6">
        <v>12</v>
      </c>
      <c r="S51" s="5"/>
      <c r="T51" s="6">
        <v>1</v>
      </c>
      <c r="U51" s="6">
        <v>2</v>
      </c>
      <c r="V51" s="6">
        <v>3</v>
      </c>
      <c r="W51" s="6">
        <v>4</v>
      </c>
      <c r="X51" s="6">
        <v>5</v>
      </c>
      <c r="Y51" s="6">
        <v>6</v>
      </c>
      <c r="Z51" s="6">
        <v>7</v>
      </c>
      <c r="AA51" s="6">
        <v>8</v>
      </c>
      <c r="AB51" s="6">
        <v>9</v>
      </c>
      <c r="AC51" s="6">
        <v>10</v>
      </c>
      <c r="AD51" s="6">
        <v>11</v>
      </c>
      <c r="AE51" s="6">
        <v>12</v>
      </c>
      <c r="AI51" s="5"/>
      <c r="AJ51" s="6">
        <v>1</v>
      </c>
      <c r="AK51" s="6">
        <v>2</v>
      </c>
      <c r="AL51" s="6">
        <v>3</v>
      </c>
      <c r="AM51" s="6">
        <v>4</v>
      </c>
      <c r="AN51" s="6">
        <v>5</v>
      </c>
      <c r="AO51" s="6">
        <v>6</v>
      </c>
      <c r="AP51" s="6">
        <v>7</v>
      </c>
      <c r="AQ51" s="6">
        <v>8</v>
      </c>
      <c r="AR51" s="6">
        <v>9</v>
      </c>
      <c r="AS51" s="6">
        <v>10</v>
      </c>
      <c r="AT51" s="6">
        <v>11</v>
      </c>
      <c r="AU51" s="6">
        <v>12</v>
      </c>
      <c r="AY51" s="5"/>
      <c r="AZ51" s="6">
        <v>1</v>
      </c>
      <c r="BA51" s="6">
        <v>2</v>
      </c>
      <c r="BB51" s="6">
        <v>3</v>
      </c>
      <c r="BC51" s="6">
        <v>4</v>
      </c>
      <c r="BD51" s="6">
        <v>5</v>
      </c>
      <c r="BE51" s="6">
        <v>6</v>
      </c>
      <c r="BF51" s="6">
        <v>7</v>
      </c>
      <c r="BG51" s="6">
        <v>8</v>
      </c>
      <c r="BH51" s="6">
        <v>9</v>
      </c>
      <c r="BI51" s="6">
        <v>10</v>
      </c>
      <c r="BJ51" s="6">
        <v>11</v>
      </c>
      <c r="BK51" s="6">
        <v>12</v>
      </c>
      <c r="BN51" s="84"/>
      <c r="BO51" s="70"/>
      <c r="BP51" s="71">
        <v>1</v>
      </c>
      <c r="BQ51" s="71">
        <v>2</v>
      </c>
      <c r="BR51" s="71">
        <v>3</v>
      </c>
      <c r="BS51" s="71">
        <v>4</v>
      </c>
      <c r="BT51" s="71">
        <v>5</v>
      </c>
      <c r="BU51" s="71">
        <v>6</v>
      </c>
      <c r="BV51" s="71">
        <v>7</v>
      </c>
      <c r="BW51" s="71">
        <v>8</v>
      </c>
      <c r="BX51" s="71">
        <v>9</v>
      </c>
      <c r="BY51" s="71">
        <v>10</v>
      </c>
      <c r="BZ51" s="71">
        <v>11</v>
      </c>
      <c r="CA51" s="71">
        <v>12</v>
      </c>
      <c r="CB51" s="84"/>
      <c r="CC51" s="84"/>
      <c r="CD51" s="84"/>
      <c r="CE51" s="70"/>
      <c r="CF51" s="71">
        <v>1</v>
      </c>
      <c r="CG51" s="71">
        <v>2</v>
      </c>
      <c r="CH51" s="71">
        <v>3</v>
      </c>
      <c r="CI51" s="71">
        <v>4</v>
      </c>
      <c r="CJ51" s="71">
        <v>5</v>
      </c>
      <c r="CK51" s="71">
        <v>6</v>
      </c>
      <c r="CL51" s="71">
        <v>7</v>
      </c>
      <c r="CM51" s="71">
        <v>8</v>
      </c>
      <c r="CN51" s="71">
        <v>9</v>
      </c>
      <c r="CO51" s="71">
        <v>10</v>
      </c>
      <c r="CP51" s="71">
        <v>11</v>
      </c>
      <c r="CQ51" s="71">
        <v>12</v>
      </c>
      <c r="CR51" s="84"/>
      <c r="CT51" s="84"/>
      <c r="CU51" s="70"/>
      <c r="CV51" s="71">
        <v>1</v>
      </c>
      <c r="CW51" s="71">
        <v>2</v>
      </c>
      <c r="CX51" s="71">
        <v>3</v>
      </c>
      <c r="CY51" s="71">
        <v>4</v>
      </c>
      <c r="CZ51" s="71">
        <v>5</v>
      </c>
      <c r="DA51" s="71">
        <v>6</v>
      </c>
      <c r="DB51" s="71">
        <v>7</v>
      </c>
      <c r="DC51" s="71">
        <v>8</v>
      </c>
      <c r="DD51" s="71">
        <v>9</v>
      </c>
      <c r="DE51" s="71">
        <v>10</v>
      </c>
      <c r="DF51" s="71">
        <v>11</v>
      </c>
      <c r="DG51" s="71">
        <v>12</v>
      </c>
      <c r="DH51" s="84"/>
      <c r="DI51" s="84"/>
      <c r="DJ51" s="84"/>
      <c r="DK51" s="70"/>
      <c r="DL51" s="71">
        <v>1</v>
      </c>
      <c r="DM51" s="71">
        <v>2</v>
      </c>
      <c r="DN51" s="71">
        <v>3</v>
      </c>
      <c r="DO51" s="71">
        <v>4</v>
      </c>
      <c r="DP51" s="71">
        <v>5</v>
      </c>
      <c r="DQ51" s="71">
        <v>6</v>
      </c>
      <c r="DR51" s="71">
        <v>7</v>
      </c>
      <c r="DS51" s="71">
        <v>8</v>
      </c>
      <c r="DT51" s="71">
        <v>9</v>
      </c>
      <c r="DU51" s="71">
        <v>10</v>
      </c>
      <c r="DV51" s="71">
        <v>11</v>
      </c>
      <c r="DW51" s="71">
        <v>12</v>
      </c>
      <c r="DX51" s="84"/>
    </row>
    <row r="52" spans="2:128" ht="18" x14ac:dyDescent="0.2">
      <c r="C52" s="6" t="s">
        <v>29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8" t="s">
        <v>47</v>
      </c>
      <c r="Q52" s="8"/>
      <c r="S52" s="6" t="s">
        <v>29</v>
      </c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8" t="s">
        <v>47</v>
      </c>
      <c r="AI52" s="6" t="s">
        <v>29</v>
      </c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8" t="s">
        <v>47</v>
      </c>
      <c r="AW52" s="8"/>
      <c r="AY52" s="6" t="s">
        <v>29</v>
      </c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8" t="s">
        <v>47</v>
      </c>
      <c r="BN52" s="84"/>
      <c r="BO52" s="71" t="s">
        <v>29</v>
      </c>
      <c r="BP52" s="72"/>
      <c r="BQ52" s="72"/>
      <c r="BR52" s="72"/>
      <c r="BS52" s="72"/>
      <c r="BT52" s="72"/>
      <c r="BU52" s="72"/>
      <c r="BV52" s="72"/>
      <c r="BW52" s="72"/>
      <c r="BX52" s="72"/>
      <c r="BY52" s="72"/>
      <c r="BZ52" s="72"/>
      <c r="CA52" s="72"/>
      <c r="CB52" s="73" t="s">
        <v>47</v>
      </c>
      <c r="CC52" s="73"/>
      <c r="CD52" s="84"/>
      <c r="CE52" s="71" t="s">
        <v>29</v>
      </c>
      <c r="CF52" s="72"/>
      <c r="CG52" s="72"/>
      <c r="CH52" s="72"/>
      <c r="CI52" s="72"/>
      <c r="CJ52" s="72"/>
      <c r="CK52" s="72"/>
      <c r="CL52" s="72"/>
      <c r="CM52" s="72"/>
      <c r="CN52" s="72"/>
      <c r="CO52" s="72"/>
      <c r="CP52" s="72"/>
      <c r="CQ52" s="72"/>
      <c r="CR52" s="73" t="s">
        <v>47</v>
      </c>
      <c r="CT52" s="84"/>
      <c r="CU52" s="71" t="s">
        <v>29</v>
      </c>
      <c r="CV52" s="72"/>
      <c r="CW52" s="72"/>
      <c r="CX52" s="72"/>
      <c r="CY52" s="72"/>
      <c r="CZ52" s="72"/>
      <c r="DA52" s="72"/>
      <c r="DB52" s="72"/>
      <c r="DC52" s="72"/>
      <c r="DD52" s="72"/>
      <c r="DE52" s="72"/>
      <c r="DF52" s="72"/>
      <c r="DG52" s="72"/>
      <c r="DH52" s="73" t="s">
        <v>47</v>
      </c>
      <c r="DI52" s="73"/>
      <c r="DJ52" s="84"/>
      <c r="DK52" s="71" t="s">
        <v>29</v>
      </c>
      <c r="DL52" s="72"/>
      <c r="DM52" s="72"/>
      <c r="DN52" s="72"/>
      <c r="DO52" s="72"/>
      <c r="DP52" s="72"/>
      <c r="DQ52" s="72"/>
      <c r="DR52" s="72"/>
      <c r="DS52" s="72"/>
      <c r="DT52" s="72"/>
      <c r="DU52" s="72"/>
      <c r="DV52" s="72"/>
      <c r="DW52" s="72"/>
      <c r="DX52" s="73" t="s">
        <v>47</v>
      </c>
    </row>
    <row r="53" spans="2:128" ht="18" x14ac:dyDescent="0.2">
      <c r="C53" s="6" t="s">
        <v>33</v>
      </c>
      <c r="D53" s="15"/>
      <c r="E53" s="13">
        <v>19147</v>
      </c>
      <c r="F53" s="12">
        <v>784295</v>
      </c>
      <c r="G53" s="13">
        <v>35967</v>
      </c>
      <c r="H53" s="13">
        <v>35290</v>
      </c>
      <c r="I53" s="13">
        <v>34867</v>
      </c>
      <c r="J53" s="13">
        <v>35332</v>
      </c>
      <c r="K53" s="13">
        <v>35517</v>
      </c>
      <c r="L53" s="13">
        <v>34972</v>
      </c>
      <c r="M53" s="13">
        <v>35773</v>
      </c>
      <c r="N53" s="13">
        <v>36589</v>
      </c>
      <c r="O53" s="15"/>
      <c r="P53" s="8" t="s">
        <v>47</v>
      </c>
      <c r="Q53" s="8"/>
      <c r="S53" s="6" t="s">
        <v>33</v>
      </c>
      <c r="T53" s="15"/>
      <c r="U53" s="13">
        <v>19026</v>
      </c>
      <c r="V53" s="12">
        <v>775447</v>
      </c>
      <c r="W53" s="13">
        <v>37605</v>
      </c>
      <c r="X53" s="13">
        <v>38643</v>
      </c>
      <c r="Y53" s="13">
        <v>40703</v>
      </c>
      <c r="Z53" s="13">
        <v>40483</v>
      </c>
      <c r="AA53" s="13">
        <v>38467</v>
      </c>
      <c r="AB53" s="13">
        <v>39493</v>
      </c>
      <c r="AC53" s="13">
        <v>38710</v>
      </c>
      <c r="AD53" s="13">
        <v>40737</v>
      </c>
      <c r="AE53" s="15"/>
      <c r="AF53" s="8" t="s">
        <v>47</v>
      </c>
      <c r="AI53" s="6" t="s">
        <v>33</v>
      </c>
      <c r="AJ53" s="15"/>
      <c r="AK53" s="25">
        <v>23564</v>
      </c>
      <c r="AL53" s="26">
        <v>827376</v>
      </c>
      <c r="AM53" s="27">
        <v>82906</v>
      </c>
      <c r="AN53" s="27">
        <v>87171</v>
      </c>
      <c r="AO53" s="27">
        <v>82174</v>
      </c>
      <c r="AP53" s="27">
        <v>91555</v>
      </c>
      <c r="AQ53" s="27">
        <v>102977</v>
      </c>
      <c r="AR53" s="27">
        <v>86613</v>
      </c>
      <c r="AS53" s="27">
        <v>93637</v>
      </c>
      <c r="AT53" s="27">
        <v>91542</v>
      </c>
      <c r="AU53" s="15"/>
      <c r="AV53" s="8" t="s">
        <v>47</v>
      </c>
      <c r="AW53" s="8"/>
      <c r="AY53" s="6" t="s">
        <v>33</v>
      </c>
      <c r="AZ53" s="15"/>
      <c r="BA53" s="42">
        <v>23142</v>
      </c>
      <c r="BB53" s="43">
        <v>823357</v>
      </c>
      <c r="BC53" s="44">
        <v>71873</v>
      </c>
      <c r="BD53" s="44">
        <v>79521</v>
      </c>
      <c r="BE53" s="44">
        <v>86380</v>
      </c>
      <c r="BF53" s="44">
        <v>83480</v>
      </c>
      <c r="BG53" s="44">
        <v>83629</v>
      </c>
      <c r="BH53" s="44">
        <v>94637</v>
      </c>
      <c r="BI53" s="44">
        <v>99497</v>
      </c>
      <c r="BJ53" s="44">
        <v>101259</v>
      </c>
      <c r="BK53" s="15"/>
      <c r="BL53" s="8" t="s">
        <v>47</v>
      </c>
      <c r="BN53" s="84"/>
      <c r="BO53" s="71" t="s">
        <v>33</v>
      </c>
      <c r="BP53" s="72"/>
      <c r="BQ53" s="85">
        <v>23661</v>
      </c>
      <c r="BR53" s="86">
        <v>829314</v>
      </c>
      <c r="BS53" s="91">
        <v>323929</v>
      </c>
      <c r="BT53" s="92">
        <v>381374</v>
      </c>
      <c r="BU53" s="92">
        <v>385904</v>
      </c>
      <c r="BV53" s="92">
        <v>380518</v>
      </c>
      <c r="BW53" s="93">
        <v>503604</v>
      </c>
      <c r="BX53" s="93">
        <v>491662</v>
      </c>
      <c r="BY53" s="93">
        <v>493922</v>
      </c>
      <c r="BZ53" s="94">
        <v>433221</v>
      </c>
      <c r="CA53" s="72"/>
      <c r="CB53" s="73" t="s">
        <v>47</v>
      </c>
      <c r="CC53" s="73"/>
      <c r="CD53" s="84"/>
      <c r="CE53" s="71" t="s">
        <v>33</v>
      </c>
      <c r="CF53" s="72"/>
      <c r="CG53" s="85">
        <v>24476</v>
      </c>
      <c r="CH53" s="86">
        <v>828680</v>
      </c>
      <c r="CI53" s="89">
        <v>209531</v>
      </c>
      <c r="CJ53" s="90">
        <v>247305</v>
      </c>
      <c r="CK53" s="91">
        <v>306203</v>
      </c>
      <c r="CL53" s="90">
        <v>272133</v>
      </c>
      <c r="CM53" s="90">
        <v>275944</v>
      </c>
      <c r="CN53" s="90">
        <v>288302</v>
      </c>
      <c r="CO53" s="91">
        <v>302915</v>
      </c>
      <c r="CP53" s="91">
        <v>325456</v>
      </c>
      <c r="CQ53" s="72"/>
      <c r="CR53" s="73" t="s">
        <v>47</v>
      </c>
      <c r="CT53" s="84"/>
      <c r="CU53" s="71" t="s">
        <v>33</v>
      </c>
      <c r="CV53" s="72"/>
      <c r="CW53" s="85">
        <v>23105</v>
      </c>
      <c r="CX53" s="86">
        <v>820306</v>
      </c>
      <c r="CY53" s="93">
        <v>516691</v>
      </c>
      <c r="CZ53" s="95">
        <v>569137</v>
      </c>
      <c r="DA53" s="96">
        <v>594108</v>
      </c>
      <c r="DB53" s="96">
        <v>617885</v>
      </c>
      <c r="DC53" s="95">
        <v>542728</v>
      </c>
      <c r="DD53" s="95">
        <v>571834</v>
      </c>
      <c r="DE53" s="96">
        <v>590899</v>
      </c>
      <c r="DF53" s="96">
        <v>585963</v>
      </c>
      <c r="DG53" s="72"/>
      <c r="DH53" s="73" t="s">
        <v>47</v>
      </c>
      <c r="DI53" s="73"/>
      <c r="DJ53" s="84"/>
      <c r="DK53" s="71" t="s">
        <v>33</v>
      </c>
      <c r="DL53" s="72"/>
      <c r="DM53" s="85">
        <v>24851</v>
      </c>
      <c r="DN53" s="86">
        <v>806958</v>
      </c>
      <c r="DO53" s="92">
        <v>371899</v>
      </c>
      <c r="DP53" s="94">
        <v>430053</v>
      </c>
      <c r="DQ53" s="94">
        <v>463560</v>
      </c>
      <c r="DR53" s="93">
        <v>485918</v>
      </c>
      <c r="DS53" s="93">
        <v>482950</v>
      </c>
      <c r="DT53" s="93">
        <v>504136</v>
      </c>
      <c r="DU53" s="93">
        <v>518032</v>
      </c>
      <c r="DV53" s="95">
        <v>526405</v>
      </c>
      <c r="DW53" s="72"/>
      <c r="DX53" s="73" t="s">
        <v>47</v>
      </c>
    </row>
    <row r="54" spans="2:128" ht="18" x14ac:dyDescent="0.2">
      <c r="C54" s="6" t="s">
        <v>36</v>
      </c>
      <c r="D54" s="15"/>
      <c r="E54" s="13">
        <v>19305</v>
      </c>
      <c r="F54" s="12">
        <v>776161</v>
      </c>
      <c r="G54" s="13">
        <v>37398</v>
      </c>
      <c r="H54" s="13">
        <v>38563</v>
      </c>
      <c r="I54" s="13">
        <v>39607</v>
      </c>
      <c r="J54" s="13">
        <v>39861</v>
      </c>
      <c r="K54" s="13">
        <v>40068</v>
      </c>
      <c r="L54" s="13">
        <v>39403</v>
      </c>
      <c r="M54" s="13">
        <v>37418</v>
      </c>
      <c r="N54" s="13">
        <v>37860</v>
      </c>
      <c r="O54" s="15"/>
      <c r="P54" s="8" t="s">
        <v>47</v>
      </c>
      <c r="Q54" s="8"/>
      <c r="S54" s="6" t="s">
        <v>36</v>
      </c>
      <c r="T54" s="15"/>
      <c r="U54" s="13">
        <v>18883</v>
      </c>
      <c r="V54" s="12">
        <v>779370</v>
      </c>
      <c r="W54" s="13">
        <v>40913</v>
      </c>
      <c r="X54" s="13">
        <v>39562</v>
      </c>
      <c r="Y54" s="13">
        <v>39845</v>
      </c>
      <c r="Z54" s="13">
        <v>41880</v>
      </c>
      <c r="AA54" s="13">
        <v>41718</v>
      </c>
      <c r="AB54" s="13">
        <v>40493</v>
      </c>
      <c r="AC54" s="13">
        <v>41384</v>
      </c>
      <c r="AD54" s="13">
        <v>40859</v>
      </c>
      <c r="AE54" s="15"/>
      <c r="AF54" s="8" t="s">
        <v>47</v>
      </c>
      <c r="AI54" s="6" t="s">
        <v>36</v>
      </c>
      <c r="AJ54" s="15"/>
      <c r="AK54" s="25">
        <v>22719</v>
      </c>
      <c r="AL54" s="26">
        <v>823888</v>
      </c>
      <c r="AM54" s="27">
        <v>84659</v>
      </c>
      <c r="AN54" s="27">
        <v>96759</v>
      </c>
      <c r="AO54" s="27">
        <v>89611</v>
      </c>
      <c r="AP54" s="27">
        <v>96955</v>
      </c>
      <c r="AQ54" s="27">
        <v>84201</v>
      </c>
      <c r="AR54" s="27">
        <v>91510</v>
      </c>
      <c r="AS54" s="27">
        <v>98668</v>
      </c>
      <c r="AT54" s="27">
        <v>103148</v>
      </c>
      <c r="AU54" s="15"/>
      <c r="AV54" s="8" t="s">
        <v>47</v>
      </c>
      <c r="AW54" s="8"/>
      <c r="AY54" s="6" t="s">
        <v>36</v>
      </c>
      <c r="AZ54" s="15"/>
      <c r="BA54" s="42">
        <v>22152</v>
      </c>
      <c r="BB54" s="43">
        <v>825853</v>
      </c>
      <c r="BC54" s="44">
        <v>102328</v>
      </c>
      <c r="BD54" s="44">
        <v>97186</v>
      </c>
      <c r="BE54" s="44">
        <v>83298</v>
      </c>
      <c r="BF54" s="44">
        <v>100306</v>
      </c>
      <c r="BG54" s="44">
        <v>97212</v>
      </c>
      <c r="BH54" s="44">
        <v>86491</v>
      </c>
      <c r="BI54" s="44">
        <v>101889</v>
      </c>
      <c r="BJ54" s="44">
        <v>100539</v>
      </c>
      <c r="BK54" s="15"/>
      <c r="BL54" s="8" t="s">
        <v>47</v>
      </c>
      <c r="BN54" s="84"/>
      <c r="BO54" s="71" t="s">
        <v>36</v>
      </c>
      <c r="BP54" s="72"/>
      <c r="BQ54" s="85">
        <v>24973</v>
      </c>
      <c r="BR54" s="86">
        <v>834711</v>
      </c>
      <c r="BS54" s="94">
        <v>447288</v>
      </c>
      <c r="BT54" s="94">
        <v>425258</v>
      </c>
      <c r="BU54" s="92">
        <v>399380</v>
      </c>
      <c r="BV54" s="94">
        <v>424125</v>
      </c>
      <c r="BW54" s="93">
        <v>478292</v>
      </c>
      <c r="BX54" s="93">
        <v>489336</v>
      </c>
      <c r="BY54" s="95">
        <v>539151</v>
      </c>
      <c r="BZ54" s="93">
        <v>519670</v>
      </c>
      <c r="CA54" s="72"/>
      <c r="CB54" s="73" t="s">
        <v>47</v>
      </c>
      <c r="CC54" s="73"/>
      <c r="CD54" s="84"/>
      <c r="CE54" s="71" t="s">
        <v>36</v>
      </c>
      <c r="CF54" s="72"/>
      <c r="CG54" s="85">
        <v>24386</v>
      </c>
      <c r="CH54" s="86">
        <v>840869</v>
      </c>
      <c r="CI54" s="91">
        <v>300936</v>
      </c>
      <c r="CJ54" s="90">
        <v>293644</v>
      </c>
      <c r="CK54" s="90">
        <v>257148</v>
      </c>
      <c r="CL54" s="90">
        <v>283149</v>
      </c>
      <c r="CM54" s="90">
        <v>288977</v>
      </c>
      <c r="CN54" s="90">
        <v>284192</v>
      </c>
      <c r="CO54" s="90">
        <v>297521</v>
      </c>
      <c r="CP54" s="91">
        <v>306475</v>
      </c>
      <c r="CQ54" s="72"/>
      <c r="CR54" s="73" t="s">
        <v>47</v>
      </c>
      <c r="CT54" s="84"/>
      <c r="CU54" s="71" t="s">
        <v>36</v>
      </c>
      <c r="CV54" s="72"/>
      <c r="CW54" s="85">
        <v>25159</v>
      </c>
      <c r="CX54" s="86">
        <v>812352</v>
      </c>
      <c r="CY54" s="96">
        <v>594739</v>
      </c>
      <c r="CZ54" s="96">
        <v>605354</v>
      </c>
      <c r="DA54" s="95">
        <v>558330</v>
      </c>
      <c r="DB54" s="95">
        <v>551962</v>
      </c>
      <c r="DC54" s="95">
        <v>576148</v>
      </c>
      <c r="DD54" s="95">
        <v>572442</v>
      </c>
      <c r="DE54" s="95">
        <v>572402</v>
      </c>
      <c r="DF54" s="96">
        <v>589275</v>
      </c>
      <c r="DG54" s="72"/>
      <c r="DH54" s="73" t="s">
        <v>47</v>
      </c>
      <c r="DI54" s="73"/>
      <c r="DJ54" s="84"/>
      <c r="DK54" s="71" t="s">
        <v>36</v>
      </c>
      <c r="DL54" s="72"/>
      <c r="DM54" s="85">
        <v>24056</v>
      </c>
      <c r="DN54" s="86">
        <v>801468</v>
      </c>
      <c r="DO54" s="93">
        <v>512126</v>
      </c>
      <c r="DP54" s="93">
        <v>492592</v>
      </c>
      <c r="DQ54" s="94">
        <v>467390</v>
      </c>
      <c r="DR54" s="93">
        <v>495756</v>
      </c>
      <c r="DS54" s="95">
        <v>547624</v>
      </c>
      <c r="DT54" s="93">
        <v>508808</v>
      </c>
      <c r="DU54" s="93">
        <v>500732</v>
      </c>
      <c r="DV54" s="95">
        <v>535696</v>
      </c>
      <c r="DW54" s="72"/>
      <c r="DX54" s="73" t="s">
        <v>47</v>
      </c>
    </row>
    <row r="55" spans="2:128" ht="18" x14ac:dyDescent="0.2">
      <c r="C55" s="6" t="s">
        <v>39</v>
      </c>
      <c r="D55" s="15"/>
      <c r="E55" s="13">
        <v>18796</v>
      </c>
      <c r="F55" s="12">
        <v>788953</v>
      </c>
      <c r="G55" s="13">
        <v>40848</v>
      </c>
      <c r="H55" s="13">
        <v>39342</v>
      </c>
      <c r="I55" s="13">
        <v>39023</v>
      </c>
      <c r="J55" s="13">
        <v>41337</v>
      </c>
      <c r="K55" s="13">
        <v>38690</v>
      </c>
      <c r="L55" s="13">
        <v>41450</v>
      </c>
      <c r="M55" s="13">
        <v>40186</v>
      </c>
      <c r="N55" s="13">
        <v>37311</v>
      </c>
      <c r="O55" s="15"/>
      <c r="P55" s="8" t="s">
        <v>47</v>
      </c>
      <c r="Q55" s="8"/>
      <c r="S55" s="6" t="s">
        <v>39</v>
      </c>
      <c r="T55" s="15"/>
      <c r="U55" s="13">
        <v>18846</v>
      </c>
      <c r="V55" s="12">
        <v>788362</v>
      </c>
      <c r="W55" s="13">
        <v>44379</v>
      </c>
      <c r="X55" s="13">
        <v>39301</v>
      </c>
      <c r="Y55" s="13">
        <v>40046</v>
      </c>
      <c r="Z55" s="13">
        <v>38919</v>
      </c>
      <c r="AA55" s="13">
        <v>44739</v>
      </c>
      <c r="AB55" s="13">
        <v>40462</v>
      </c>
      <c r="AC55" s="13">
        <v>40066</v>
      </c>
      <c r="AD55" s="13">
        <v>42217</v>
      </c>
      <c r="AE55" s="15"/>
      <c r="AF55" s="8" t="s">
        <v>47</v>
      </c>
      <c r="AI55" s="6" t="s">
        <v>39</v>
      </c>
      <c r="AJ55" s="15"/>
      <c r="AK55" s="25">
        <v>21510</v>
      </c>
      <c r="AL55" s="26">
        <v>828764</v>
      </c>
      <c r="AM55" s="27">
        <v>101226</v>
      </c>
      <c r="AN55" s="27">
        <v>81989</v>
      </c>
      <c r="AO55" s="27">
        <v>94587</v>
      </c>
      <c r="AP55" s="27">
        <v>104342</v>
      </c>
      <c r="AQ55" s="27">
        <v>108301</v>
      </c>
      <c r="AR55" s="28">
        <v>126446</v>
      </c>
      <c r="AS55" s="27">
        <v>114627</v>
      </c>
      <c r="AT55" s="27">
        <v>101514</v>
      </c>
      <c r="AU55" s="15"/>
      <c r="AV55" s="8" t="s">
        <v>47</v>
      </c>
      <c r="AW55" s="8"/>
      <c r="AY55" s="6" t="s">
        <v>39</v>
      </c>
      <c r="AZ55" s="15"/>
      <c r="BA55" s="42">
        <v>22325</v>
      </c>
      <c r="BB55" s="43">
        <v>828533</v>
      </c>
      <c r="BC55" s="44">
        <v>104807</v>
      </c>
      <c r="BD55" s="44">
        <v>105528</v>
      </c>
      <c r="BE55" s="44">
        <v>96950</v>
      </c>
      <c r="BF55" s="44">
        <v>106519</v>
      </c>
      <c r="BG55" s="45">
        <v>119809</v>
      </c>
      <c r="BH55" s="44">
        <v>111888</v>
      </c>
      <c r="BI55" s="44">
        <v>94420</v>
      </c>
      <c r="BJ55" s="44">
        <v>98730</v>
      </c>
      <c r="BK55" s="15"/>
      <c r="BL55" s="8" t="s">
        <v>47</v>
      </c>
      <c r="BN55" s="84"/>
      <c r="BO55" s="71" t="s">
        <v>39</v>
      </c>
      <c r="BP55" s="72"/>
      <c r="BQ55" s="85">
        <v>23473</v>
      </c>
      <c r="BR55" s="86">
        <v>827166</v>
      </c>
      <c r="BS55" s="95">
        <v>547039</v>
      </c>
      <c r="BT55" s="92">
        <v>389155</v>
      </c>
      <c r="BU55" s="92">
        <v>377287</v>
      </c>
      <c r="BV55" s="92">
        <v>401011</v>
      </c>
      <c r="BW55" s="93">
        <v>481394</v>
      </c>
      <c r="BX55" s="94">
        <v>452017</v>
      </c>
      <c r="BY55" s="94">
        <v>461359</v>
      </c>
      <c r="BZ55" s="94">
        <v>447101</v>
      </c>
      <c r="CA55" s="72"/>
      <c r="CB55" s="73" t="s">
        <v>47</v>
      </c>
      <c r="CC55" s="73"/>
      <c r="CD55" s="84"/>
      <c r="CE55" s="71" t="s">
        <v>39</v>
      </c>
      <c r="CF55" s="72"/>
      <c r="CG55" s="85">
        <v>24918</v>
      </c>
      <c r="CH55" s="86">
        <v>836154</v>
      </c>
      <c r="CI55" s="91">
        <v>301897</v>
      </c>
      <c r="CJ55" s="90">
        <v>240873</v>
      </c>
      <c r="CK55" s="90">
        <v>271249</v>
      </c>
      <c r="CL55" s="90">
        <v>295584</v>
      </c>
      <c r="CM55" s="91">
        <v>341665</v>
      </c>
      <c r="CN55" s="91">
        <v>312927</v>
      </c>
      <c r="CO55" s="90">
        <v>280651</v>
      </c>
      <c r="CP55" s="90">
        <v>289400</v>
      </c>
      <c r="CQ55" s="72"/>
      <c r="CR55" s="73" t="s">
        <v>47</v>
      </c>
      <c r="CT55" s="84"/>
      <c r="CU55" s="71" t="s">
        <v>39</v>
      </c>
      <c r="CV55" s="72"/>
      <c r="CW55" s="85">
        <v>24370</v>
      </c>
      <c r="CX55" s="86">
        <v>816669</v>
      </c>
      <c r="CY55" s="96">
        <v>593242</v>
      </c>
      <c r="CZ55" s="96">
        <v>587556</v>
      </c>
      <c r="DA55" s="95">
        <v>555514</v>
      </c>
      <c r="DB55" s="95">
        <v>555712</v>
      </c>
      <c r="DC55" s="95">
        <v>551306</v>
      </c>
      <c r="DD55" s="96">
        <v>597317</v>
      </c>
      <c r="DE55" s="95">
        <v>569976</v>
      </c>
      <c r="DF55" s="95">
        <v>584135</v>
      </c>
      <c r="DG55" s="72"/>
      <c r="DH55" s="73" t="s">
        <v>47</v>
      </c>
      <c r="DI55" s="73"/>
      <c r="DJ55" s="84"/>
      <c r="DK55" s="71" t="s">
        <v>39</v>
      </c>
      <c r="DL55" s="72"/>
      <c r="DM55" s="85">
        <v>23788</v>
      </c>
      <c r="DN55" s="86">
        <v>818534</v>
      </c>
      <c r="DO55" s="94">
        <v>458296</v>
      </c>
      <c r="DP55" s="93">
        <v>483667</v>
      </c>
      <c r="DQ55" s="94">
        <v>464503</v>
      </c>
      <c r="DR55" s="95">
        <v>533756</v>
      </c>
      <c r="DS55" s="95">
        <v>533841</v>
      </c>
      <c r="DT55" s="94">
        <v>462185</v>
      </c>
      <c r="DU55" s="94">
        <v>456124</v>
      </c>
      <c r="DV55" s="93">
        <v>489547</v>
      </c>
      <c r="DW55" s="72"/>
      <c r="DX55" s="73" t="s">
        <v>47</v>
      </c>
    </row>
    <row r="56" spans="2:128" ht="18" x14ac:dyDescent="0.2">
      <c r="C56" s="6" t="s">
        <v>42</v>
      </c>
      <c r="D56" s="15"/>
      <c r="E56" s="13">
        <v>19066</v>
      </c>
      <c r="F56" s="12">
        <v>784952</v>
      </c>
      <c r="G56" s="13">
        <v>38809</v>
      </c>
      <c r="H56" s="13">
        <v>37525</v>
      </c>
      <c r="I56" s="13">
        <v>41181</v>
      </c>
      <c r="J56" s="13">
        <v>43097</v>
      </c>
      <c r="K56" s="13">
        <v>41323</v>
      </c>
      <c r="L56" s="13">
        <v>42315</v>
      </c>
      <c r="M56" s="13">
        <v>39844</v>
      </c>
      <c r="N56" s="13">
        <v>39826</v>
      </c>
      <c r="O56" s="15"/>
      <c r="P56" s="8" t="s">
        <v>47</v>
      </c>
      <c r="Q56" s="8"/>
      <c r="S56" s="6" t="s">
        <v>42</v>
      </c>
      <c r="T56" s="15"/>
      <c r="U56" s="13">
        <v>18837</v>
      </c>
      <c r="V56" s="12">
        <v>786083</v>
      </c>
      <c r="W56" s="13">
        <v>41313</v>
      </c>
      <c r="X56" s="13">
        <v>42053</v>
      </c>
      <c r="Y56" s="13">
        <v>40594</v>
      </c>
      <c r="Z56" s="13">
        <v>44410</v>
      </c>
      <c r="AA56" s="13">
        <v>44617</v>
      </c>
      <c r="AB56" s="13">
        <v>41222</v>
      </c>
      <c r="AC56" s="13">
        <v>38132</v>
      </c>
      <c r="AD56" s="13">
        <v>39727</v>
      </c>
      <c r="AE56" s="15"/>
      <c r="AF56" s="8" t="s">
        <v>47</v>
      </c>
      <c r="AI56" s="6" t="s">
        <v>42</v>
      </c>
      <c r="AJ56" s="15"/>
      <c r="AK56" s="25">
        <v>22839</v>
      </c>
      <c r="AL56" s="26">
        <v>826702</v>
      </c>
      <c r="AM56" s="27">
        <v>110326</v>
      </c>
      <c r="AN56" s="27">
        <v>97821</v>
      </c>
      <c r="AO56" s="27">
        <v>89437</v>
      </c>
      <c r="AP56" s="27">
        <v>98851</v>
      </c>
      <c r="AQ56" s="27">
        <v>95359</v>
      </c>
      <c r="AR56" s="27">
        <v>99930</v>
      </c>
      <c r="AS56" s="27">
        <v>96028</v>
      </c>
      <c r="AT56" s="27">
        <v>101855</v>
      </c>
      <c r="AU56" s="15"/>
      <c r="AV56" s="8" t="s">
        <v>47</v>
      </c>
      <c r="AW56" s="8"/>
      <c r="AY56" s="6" t="s">
        <v>42</v>
      </c>
      <c r="AZ56" s="15"/>
      <c r="BA56" s="42">
        <v>22945</v>
      </c>
      <c r="BB56" s="43">
        <v>828581</v>
      </c>
      <c r="BC56" s="44">
        <v>97348</v>
      </c>
      <c r="BD56" s="44">
        <v>115149</v>
      </c>
      <c r="BE56" s="44">
        <v>107595</v>
      </c>
      <c r="BF56" s="44">
        <v>107662</v>
      </c>
      <c r="BG56" s="44">
        <v>104365</v>
      </c>
      <c r="BH56" s="44">
        <v>97578</v>
      </c>
      <c r="BI56" s="44">
        <v>90466</v>
      </c>
      <c r="BJ56" s="44">
        <v>95196</v>
      </c>
      <c r="BK56" s="15"/>
      <c r="BL56" s="8" t="s">
        <v>47</v>
      </c>
      <c r="BN56" s="84"/>
      <c r="BO56" s="71" t="s">
        <v>42</v>
      </c>
      <c r="BP56" s="72"/>
      <c r="BQ56" s="85">
        <v>24053</v>
      </c>
      <c r="BR56" s="86">
        <v>828193</v>
      </c>
      <c r="BS56" s="94">
        <v>448042</v>
      </c>
      <c r="BT56" s="92">
        <v>386388</v>
      </c>
      <c r="BU56" s="92">
        <v>370095</v>
      </c>
      <c r="BV56" s="92">
        <v>377931</v>
      </c>
      <c r="BW56" s="94">
        <v>426778</v>
      </c>
      <c r="BX56" s="94">
        <v>441748</v>
      </c>
      <c r="BY56" s="94">
        <v>429882</v>
      </c>
      <c r="BZ56" s="93">
        <v>528799</v>
      </c>
      <c r="CA56" s="72"/>
      <c r="CB56" s="73" t="s">
        <v>47</v>
      </c>
      <c r="CC56" s="73"/>
      <c r="CD56" s="84"/>
      <c r="CE56" s="71" t="s">
        <v>42</v>
      </c>
      <c r="CF56" s="72"/>
      <c r="CG56" s="85">
        <v>24263</v>
      </c>
      <c r="CH56" s="86">
        <v>838934</v>
      </c>
      <c r="CI56" s="90">
        <v>274543</v>
      </c>
      <c r="CJ56" s="91">
        <v>342604</v>
      </c>
      <c r="CK56" s="91">
        <v>313567</v>
      </c>
      <c r="CL56" s="91">
        <v>305672</v>
      </c>
      <c r="CM56" s="91">
        <v>316577</v>
      </c>
      <c r="CN56" s="90">
        <v>265572</v>
      </c>
      <c r="CO56" s="90">
        <v>266533</v>
      </c>
      <c r="CP56" s="90">
        <v>296248</v>
      </c>
      <c r="CQ56" s="72"/>
      <c r="CR56" s="73" t="s">
        <v>47</v>
      </c>
      <c r="CT56" s="84"/>
      <c r="CU56" s="71" t="s">
        <v>42</v>
      </c>
      <c r="CV56" s="72"/>
      <c r="CW56" s="85">
        <v>24044</v>
      </c>
      <c r="CX56" s="86">
        <v>816235</v>
      </c>
      <c r="CY56" s="96">
        <v>590501</v>
      </c>
      <c r="CZ56" s="93">
        <v>519806</v>
      </c>
      <c r="DA56" s="95">
        <v>542082</v>
      </c>
      <c r="DB56" s="95">
        <v>560605</v>
      </c>
      <c r="DC56" s="95">
        <v>564036</v>
      </c>
      <c r="DD56" s="95">
        <v>559815</v>
      </c>
      <c r="DE56" s="95">
        <v>539220</v>
      </c>
      <c r="DF56" s="95">
        <v>575761</v>
      </c>
      <c r="DG56" s="72"/>
      <c r="DH56" s="73" t="s">
        <v>47</v>
      </c>
      <c r="DI56" s="73"/>
      <c r="DJ56" s="84"/>
      <c r="DK56" s="71" t="s">
        <v>42</v>
      </c>
      <c r="DL56" s="72"/>
      <c r="DM56" s="85">
        <v>23613</v>
      </c>
      <c r="DN56" s="86">
        <v>794214</v>
      </c>
      <c r="DO56" s="94">
        <v>432826</v>
      </c>
      <c r="DP56" s="94">
        <v>420452</v>
      </c>
      <c r="DQ56" s="94">
        <v>438490</v>
      </c>
      <c r="DR56" s="94">
        <v>426241</v>
      </c>
      <c r="DS56" s="94">
        <v>449269</v>
      </c>
      <c r="DT56" s="92">
        <v>407283</v>
      </c>
      <c r="DU56" s="94">
        <v>427206</v>
      </c>
      <c r="DV56" s="94">
        <v>465143</v>
      </c>
      <c r="DW56" s="72"/>
      <c r="DX56" s="73" t="s">
        <v>47</v>
      </c>
    </row>
    <row r="57" spans="2:128" ht="18" x14ac:dyDescent="0.2">
      <c r="C57" s="6" t="s">
        <v>43</v>
      </c>
      <c r="D57" s="15"/>
      <c r="E57" s="13">
        <v>19039</v>
      </c>
      <c r="F57" s="12">
        <v>786621</v>
      </c>
      <c r="G57" s="13">
        <v>38009</v>
      </c>
      <c r="H57" s="13">
        <v>36401</v>
      </c>
      <c r="I57" s="13">
        <v>40044</v>
      </c>
      <c r="J57" s="13">
        <v>39869</v>
      </c>
      <c r="K57" s="13">
        <v>42519</v>
      </c>
      <c r="L57" s="13">
        <v>37656</v>
      </c>
      <c r="M57" s="13">
        <v>38292</v>
      </c>
      <c r="N57" s="13">
        <v>38680</v>
      </c>
      <c r="O57" s="15"/>
      <c r="P57" s="8" t="s">
        <v>47</v>
      </c>
      <c r="Q57" s="8"/>
      <c r="S57" s="6" t="s">
        <v>43</v>
      </c>
      <c r="T57" s="15"/>
      <c r="U57" s="13">
        <v>18806</v>
      </c>
      <c r="V57" s="12">
        <v>781647</v>
      </c>
      <c r="W57" s="13">
        <v>41937</v>
      </c>
      <c r="X57" s="13">
        <v>44451</v>
      </c>
      <c r="Y57" s="13">
        <v>42040</v>
      </c>
      <c r="Z57" s="13">
        <v>39913</v>
      </c>
      <c r="AA57" s="13">
        <v>40500</v>
      </c>
      <c r="AB57" s="13">
        <v>39587</v>
      </c>
      <c r="AC57" s="13">
        <v>40227</v>
      </c>
      <c r="AD57" s="13">
        <v>40319</v>
      </c>
      <c r="AE57" s="15"/>
      <c r="AF57" s="8" t="s">
        <v>47</v>
      </c>
      <c r="AI57" s="6" t="s">
        <v>43</v>
      </c>
      <c r="AJ57" s="15"/>
      <c r="AK57" s="25">
        <v>22122</v>
      </c>
      <c r="AL57" s="26">
        <v>827588</v>
      </c>
      <c r="AM57" s="27">
        <v>98573</v>
      </c>
      <c r="AN57" s="27">
        <v>89854</v>
      </c>
      <c r="AO57" s="27">
        <v>110920</v>
      </c>
      <c r="AP57" s="27">
        <v>93371</v>
      </c>
      <c r="AQ57" s="27">
        <v>98621</v>
      </c>
      <c r="AR57" s="27">
        <v>87408</v>
      </c>
      <c r="AS57" s="27">
        <v>92486</v>
      </c>
      <c r="AT57" s="27">
        <v>102289</v>
      </c>
      <c r="AU57" s="15"/>
      <c r="AV57" s="8" t="s">
        <v>47</v>
      </c>
      <c r="AW57" s="8"/>
      <c r="AY57" s="6" t="s">
        <v>43</v>
      </c>
      <c r="AZ57" s="15"/>
      <c r="BA57" s="42">
        <v>23114</v>
      </c>
      <c r="BB57" s="43">
        <v>815194</v>
      </c>
      <c r="BC57" s="44">
        <v>92438</v>
      </c>
      <c r="BD57" s="44">
        <v>89310</v>
      </c>
      <c r="BE57" s="44">
        <v>78946</v>
      </c>
      <c r="BF57" s="44">
        <v>77735</v>
      </c>
      <c r="BG57" s="44">
        <v>73731</v>
      </c>
      <c r="BH57" s="44">
        <v>90515</v>
      </c>
      <c r="BI57" s="44">
        <v>92448</v>
      </c>
      <c r="BJ57" s="44">
        <v>92581</v>
      </c>
      <c r="BK57" s="15"/>
      <c r="BL57" s="8" t="s">
        <v>47</v>
      </c>
      <c r="BN57" s="84"/>
      <c r="BO57" s="71" t="s">
        <v>43</v>
      </c>
      <c r="BP57" s="72"/>
      <c r="BQ57" s="85">
        <v>23330</v>
      </c>
      <c r="BR57" s="86">
        <v>832808</v>
      </c>
      <c r="BS57" s="91">
        <v>355753</v>
      </c>
      <c r="BT57" s="91">
        <v>345737</v>
      </c>
      <c r="BU57" s="92">
        <v>394060</v>
      </c>
      <c r="BV57" s="92">
        <v>373444</v>
      </c>
      <c r="BW57" s="94">
        <v>418216</v>
      </c>
      <c r="BX57" s="92">
        <v>381546</v>
      </c>
      <c r="BY57" s="92">
        <v>381531</v>
      </c>
      <c r="BZ57" s="92">
        <v>400879</v>
      </c>
      <c r="CA57" s="72"/>
      <c r="CB57" s="73" t="s">
        <v>47</v>
      </c>
      <c r="CC57" s="73"/>
      <c r="CD57" s="84"/>
      <c r="CE57" s="71" t="s">
        <v>43</v>
      </c>
      <c r="CF57" s="72"/>
      <c r="CG57" s="85">
        <v>24921</v>
      </c>
      <c r="CH57" s="86">
        <v>826152</v>
      </c>
      <c r="CI57" s="88">
        <v>174492</v>
      </c>
      <c r="CJ57" s="88">
        <v>170506</v>
      </c>
      <c r="CK57" s="88">
        <v>169343</v>
      </c>
      <c r="CL57" s="88">
        <v>139869</v>
      </c>
      <c r="CM57" s="88">
        <v>140612</v>
      </c>
      <c r="CN57" s="88">
        <v>163889</v>
      </c>
      <c r="CO57" s="88">
        <v>172311</v>
      </c>
      <c r="CP57" s="89">
        <v>190807</v>
      </c>
      <c r="CQ57" s="72"/>
      <c r="CR57" s="73" t="s">
        <v>47</v>
      </c>
      <c r="CT57" s="84"/>
      <c r="CU57" s="71" t="s">
        <v>43</v>
      </c>
      <c r="CV57" s="72"/>
      <c r="CW57" s="85">
        <v>23985</v>
      </c>
      <c r="CX57" s="86">
        <v>811995</v>
      </c>
      <c r="CY57" s="95">
        <v>546086</v>
      </c>
      <c r="CZ57" s="93">
        <v>514877</v>
      </c>
      <c r="DA57" s="95">
        <v>527438</v>
      </c>
      <c r="DB57" s="93">
        <v>513538</v>
      </c>
      <c r="DC57" s="95">
        <v>541682</v>
      </c>
      <c r="DD57" s="95">
        <v>550788</v>
      </c>
      <c r="DE57" s="95">
        <v>558025</v>
      </c>
      <c r="DF57" s="95">
        <v>549455</v>
      </c>
      <c r="DG57" s="72"/>
      <c r="DH57" s="73" t="s">
        <v>47</v>
      </c>
      <c r="DI57" s="73"/>
      <c r="DJ57" s="84"/>
      <c r="DK57" s="71" t="s">
        <v>43</v>
      </c>
      <c r="DL57" s="72"/>
      <c r="DM57" s="85">
        <v>24381</v>
      </c>
      <c r="DN57" s="86">
        <v>803128</v>
      </c>
      <c r="DO57" s="90">
        <v>238193</v>
      </c>
      <c r="DP57" s="90">
        <v>271533</v>
      </c>
      <c r="DQ57" s="90">
        <v>258154</v>
      </c>
      <c r="DR57" s="89">
        <v>216865</v>
      </c>
      <c r="DS57" s="89">
        <v>211164</v>
      </c>
      <c r="DT57" s="91">
        <v>293591</v>
      </c>
      <c r="DU57" s="90">
        <v>252510</v>
      </c>
      <c r="DV57" s="90">
        <v>287962</v>
      </c>
      <c r="DW57" s="72"/>
      <c r="DX57" s="73" t="s">
        <v>47</v>
      </c>
    </row>
    <row r="58" spans="2:128" ht="18" x14ac:dyDescent="0.2">
      <c r="C58" s="6" t="s">
        <v>44</v>
      </c>
      <c r="D58" s="15"/>
      <c r="E58" s="13">
        <v>19292</v>
      </c>
      <c r="F58" s="12">
        <v>790127</v>
      </c>
      <c r="G58" s="13">
        <v>37851</v>
      </c>
      <c r="H58" s="13">
        <v>36305</v>
      </c>
      <c r="I58" s="13">
        <v>36869</v>
      </c>
      <c r="J58" s="13">
        <v>37333</v>
      </c>
      <c r="K58" s="13">
        <v>38154</v>
      </c>
      <c r="L58" s="13">
        <v>37420</v>
      </c>
      <c r="M58" s="13">
        <v>38463</v>
      </c>
      <c r="N58" s="13">
        <v>39594</v>
      </c>
      <c r="O58" s="15"/>
      <c r="P58" s="8" t="s">
        <v>47</v>
      </c>
      <c r="Q58" s="8"/>
      <c r="S58" s="6" t="s">
        <v>44</v>
      </c>
      <c r="T58" s="15"/>
      <c r="U58" s="13">
        <v>18738</v>
      </c>
      <c r="V58" s="12">
        <v>789084</v>
      </c>
      <c r="W58" s="13">
        <v>40432</v>
      </c>
      <c r="X58" s="13">
        <v>38834</v>
      </c>
      <c r="Y58" s="13">
        <v>39710</v>
      </c>
      <c r="Z58" s="13">
        <v>39339</v>
      </c>
      <c r="AA58" s="13">
        <v>39784</v>
      </c>
      <c r="AB58" s="13">
        <v>37927</v>
      </c>
      <c r="AC58" s="13">
        <v>39808</v>
      </c>
      <c r="AD58" s="13">
        <v>41293</v>
      </c>
      <c r="AE58" s="15"/>
      <c r="AF58" s="8" t="s">
        <v>47</v>
      </c>
      <c r="AI58" s="6" t="s">
        <v>44</v>
      </c>
      <c r="AJ58" s="15"/>
      <c r="AK58" s="25">
        <v>22596</v>
      </c>
      <c r="AL58" s="26">
        <v>824126</v>
      </c>
      <c r="AM58" s="27">
        <v>75594</v>
      </c>
      <c r="AN58" s="27">
        <v>79612</v>
      </c>
      <c r="AO58" s="27">
        <v>91174</v>
      </c>
      <c r="AP58" s="27">
        <v>98817</v>
      </c>
      <c r="AQ58" s="27">
        <v>85795</v>
      </c>
      <c r="AR58" s="27">
        <v>97427</v>
      </c>
      <c r="AS58" s="27">
        <v>98511</v>
      </c>
      <c r="AT58" s="27">
        <v>97465</v>
      </c>
      <c r="AU58" s="15"/>
      <c r="AV58" s="8" t="s">
        <v>47</v>
      </c>
      <c r="AW58" s="8"/>
      <c r="AY58" s="6" t="s">
        <v>44</v>
      </c>
      <c r="AZ58" s="15"/>
      <c r="BA58" s="42">
        <v>23396</v>
      </c>
      <c r="BB58" s="43">
        <v>821081</v>
      </c>
      <c r="BC58" s="44">
        <v>79369</v>
      </c>
      <c r="BD58" s="44">
        <v>84928</v>
      </c>
      <c r="BE58" s="44">
        <v>90328</v>
      </c>
      <c r="BF58" s="44">
        <v>81466</v>
      </c>
      <c r="BG58" s="44">
        <v>92824</v>
      </c>
      <c r="BH58" s="44">
        <v>87934</v>
      </c>
      <c r="BI58" s="44">
        <v>95653</v>
      </c>
      <c r="BJ58" s="44">
        <v>93348</v>
      </c>
      <c r="BK58" s="15"/>
      <c r="BL58" s="8" t="s">
        <v>47</v>
      </c>
      <c r="BN58" s="84"/>
      <c r="BO58" s="71" t="s">
        <v>44</v>
      </c>
      <c r="BP58" s="72"/>
      <c r="BQ58" s="85">
        <v>23498</v>
      </c>
      <c r="BR58" s="86">
        <v>832924</v>
      </c>
      <c r="BS58" s="91">
        <v>338068</v>
      </c>
      <c r="BT58" s="91">
        <v>354722</v>
      </c>
      <c r="BU58" s="92">
        <v>373513</v>
      </c>
      <c r="BV58" s="92">
        <v>369352</v>
      </c>
      <c r="BW58" s="91">
        <v>335667</v>
      </c>
      <c r="BX58" s="91">
        <v>357417</v>
      </c>
      <c r="BY58" s="91">
        <v>348483</v>
      </c>
      <c r="BZ58" s="92">
        <v>368955</v>
      </c>
      <c r="CA58" s="72"/>
      <c r="CB58" s="73" t="s">
        <v>47</v>
      </c>
      <c r="CC58" s="73"/>
      <c r="CD58" s="84"/>
      <c r="CE58" s="71" t="s">
        <v>44</v>
      </c>
      <c r="CF58" s="72"/>
      <c r="CG58" s="85">
        <v>24132</v>
      </c>
      <c r="CH58" s="86">
        <v>842099</v>
      </c>
      <c r="CI58" s="87">
        <v>91019</v>
      </c>
      <c r="CJ58" s="87">
        <v>74099</v>
      </c>
      <c r="CK58" s="87">
        <v>85752</v>
      </c>
      <c r="CL58" s="87">
        <v>85597</v>
      </c>
      <c r="CM58" s="87">
        <v>83163</v>
      </c>
      <c r="CN58" s="87">
        <v>80168</v>
      </c>
      <c r="CO58" s="87">
        <v>103406</v>
      </c>
      <c r="CP58" s="87">
        <v>92537</v>
      </c>
      <c r="CQ58" s="72"/>
      <c r="CR58" s="73" t="s">
        <v>47</v>
      </c>
      <c r="CT58" s="84"/>
      <c r="CU58" s="71" t="s">
        <v>44</v>
      </c>
      <c r="CV58" s="72"/>
      <c r="CW58" s="85">
        <v>23587</v>
      </c>
      <c r="CX58" s="86">
        <v>812286</v>
      </c>
      <c r="CY58" s="93">
        <v>500191</v>
      </c>
      <c r="CZ58" s="95">
        <v>529747</v>
      </c>
      <c r="DA58" s="95">
        <v>546172</v>
      </c>
      <c r="DB58" s="95">
        <v>545417</v>
      </c>
      <c r="DC58" s="95">
        <v>548799</v>
      </c>
      <c r="DD58" s="95">
        <v>549622</v>
      </c>
      <c r="DE58" s="95">
        <v>541843</v>
      </c>
      <c r="DF58" s="95">
        <v>554496</v>
      </c>
      <c r="DG58" s="72"/>
      <c r="DH58" s="73" t="s">
        <v>47</v>
      </c>
      <c r="DI58" s="73"/>
      <c r="DJ58" s="84"/>
      <c r="DK58" s="71" t="s">
        <v>44</v>
      </c>
      <c r="DL58" s="72"/>
      <c r="DM58" s="85">
        <v>24091</v>
      </c>
      <c r="DN58" s="86">
        <v>814395</v>
      </c>
      <c r="DO58" s="87">
        <v>68742</v>
      </c>
      <c r="DP58" s="87">
        <v>64593</v>
      </c>
      <c r="DQ58" s="87">
        <v>70620</v>
      </c>
      <c r="DR58" s="87">
        <v>87879</v>
      </c>
      <c r="DS58" s="87">
        <v>76978</v>
      </c>
      <c r="DT58" s="87">
        <v>80351</v>
      </c>
      <c r="DU58" s="87">
        <v>79538</v>
      </c>
      <c r="DV58" s="87">
        <v>75487</v>
      </c>
      <c r="DW58" s="72"/>
      <c r="DX58" s="73" t="s">
        <v>47</v>
      </c>
    </row>
    <row r="59" spans="2:128" ht="18" x14ac:dyDescent="0.2">
      <c r="C59" s="6" t="s">
        <v>45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8" t="s">
        <v>47</v>
      </c>
      <c r="Q59" s="8"/>
      <c r="S59" s="6" t="s">
        <v>45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8" t="s">
        <v>47</v>
      </c>
      <c r="AI59" s="6" t="s">
        <v>45</v>
      </c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8" t="s">
        <v>47</v>
      </c>
      <c r="AW59" s="8"/>
      <c r="AY59" s="6" t="s">
        <v>45</v>
      </c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8" t="s">
        <v>47</v>
      </c>
      <c r="BN59" s="84"/>
      <c r="BO59" s="71" t="s">
        <v>45</v>
      </c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3" t="s">
        <v>47</v>
      </c>
      <c r="CC59" s="73"/>
      <c r="CD59" s="84"/>
      <c r="CE59" s="71" t="s">
        <v>45</v>
      </c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3" t="s">
        <v>47</v>
      </c>
      <c r="CT59" s="84"/>
      <c r="CU59" s="71" t="s">
        <v>45</v>
      </c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3" t="s">
        <v>47</v>
      </c>
      <c r="DI59" s="73"/>
      <c r="DJ59" s="84"/>
      <c r="DK59" s="71" t="s">
        <v>45</v>
      </c>
      <c r="DL59" s="72"/>
      <c r="DM59" s="72"/>
      <c r="DN59" s="72"/>
      <c r="DO59" s="72"/>
      <c r="DP59" s="72"/>
      <c r="DQ59" s="72"/>
      <c r="DR59" s="72"/>
      <c r="DS59" s="72"/>
      <c r="DT59" s="72"/>
      <c r="DU59" s="72"/>
      <c r="DV59" s="72"/>
      <c r="DW59" s="72"/>
      <c r="DX59" s="73" t="s">
        <v>47</v>
      </c>
    </row>
    <row r="60" spans="2:128" x14ac:dyDescent="0.2"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</row>
    <row r="61" spans="2:128" ht="38.25" x14ac:dyDescent="0.2">
      <c r="B61" s="3" t="s">
        <v>49</v>
      </c>
      <c r="C61" s="4"/>
      <c r="R61" s="3" t="s">
        <v>49</v>
      </c>
      <c r="S61" s="4"/>
      <c r="AH61" s="3" t="s">
        <v>49</v>
      </c>
      <c r="AI61" s="4"/>
      <c r="AX61" s="3" t="s">
        <v>49</v>
      </c>
      <c r="AY61" s="4"/>
      <c r="BN61" s="82" t="s">
        <v>49</v>
      </c>
      <c r="BO61" s="83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2" t="s">
        <v>49</v>
      </c>
      <c r="CE61" s="83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T61" s="82" t="s">
        <v>49</v>
      </c>
      <c r="CU61" s="83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2" t="s">
        <v>49</v>
      </c>
      <c r="DK61" s="83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</row>
    <row r="62" spans="2:128" x14ac:dyDescent="0.2"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</row>
    <row r="63" spans="2:128" x14ac:dyDescent="0.2">
      <c r="C63" s="5"/>
      <c r="D63" s="6">
        <v>1</v>
      </c>
      <c r="E63" s="6">
        <v>2</v>
      </c>
      <c r="F63" s="6">
        <v>3</v>
      </c>
      <c r="G63" s="6">
        <v>4</v>
      </c>
      <c r="H63" s="6">
        <v>5</v>
      </c>
      <c r="I63" s="6">
        <v>6</v>
      </c>
      <c r="J63" s="6">
        <v>7</v>
      </c>
      <c r="K63" s="6">
        <v>8</v>
      </c>
      <c r="L63" s="6">
        <v>9</v>
      </c>
      <c r="M63" s="6">
        <v>10</v>
      </c>
      <c r="N63" s="6">
        <v>11</v>
      </c>
      <c r="O63" s="6">
        <v>12</v>
      </c>
      <c r="S63" s="5"/>
      <c r="T63" s="6">
        <v>1</v>
      </c>
      <c r="U63" s="6">
        <v>2</v>
      </c>
      <c r="V63" s="6">
        <v>3</v>
      </c>
      <c r="W63" s="6">
        <v>4</v>
      </c>
      <c r="X63" s="6">
        <v>5</v>
      </c>
      <c r="Y63" s="6">
        <v>6</v>
      </c>
      <c r="Z63" s="6">
        <v>7</v>
      </c>
      <c r="AA63" s="6">
        <v>8</v>
      </c>
      <c r="AB63" s="6">
        <v>9</v>
      </c>
      <c r="AC63" s="6">
        <v>10</v>
      </c>
      <c r="AD63" s="6">
        <v>11</v>
      </c>
      <c r="AE63" s="6">
        <v>12</v>
      </c>
      <c r="AI63" s="5"/>
      <c r="AJ63" s="6">
        <v>1</v>
      </c>
      <c r="AK63" s="6">
        <v>2</v>
      </c>
      <c r="AL63" s="6">
        <v>3</v>
      </c>
      <c r="AM63" s="6">
        <v>4</v>
      </c>
      <c r="AN63" s="6">
        <v>5</v>
      </c>
      <c r="AO63" s="6">
        <v>6</v>
      </c>
      <c r="AP63" s="6">
        <v>7</v>
      </c>
      <c r="AQ63" s="6">
        <v>8</v>
      </c>
      <c r="AR63" s="6">
        <v>9</v>
      </c>
      <c r="AS63" s="6">
        <v>10</v>
      </c>
      <c r="AT63" s="6">
        <v>11</v>
      </c>
      <c r="AU63" s="6">
        <v>12</v>
      </c>
      <c r="AY63" s="5"/>
      <c r="AZ63" s="6">
        <v>1</v>
      </c>
      <c r="BA63" s="6">
        <v>2</v>
      </c>
      <c r="BB63" s="6">
        <v>3</v>
      </c>
      <c r="BC63" s="6">
        <v>4</v>
      </c>
      <c r="BD63" s="6">
        <v>5</v>
      </c>
      <c r="BE63" s="6">
        <v>6</v>
      </c>
      <c r="BF63" s="6">
        <v>7</v>
      </c>
      <c r="BG63" s="6">
        <v>8</v>
      </c>
      <c r="BH63" s="6">
        <v>9</v>
      </c>
      <c r="BI63" s="6">
        <v>10</v>
      </c>
      <c r="BJ63" s="6">
        <v>11</v>
      </c>
      <c r="BK63" s="6">
        <v>12</v>
      </c>
      <c r="BN63" s="84"/>
      <c r="BO63" s="70"/>
      <c r="BP63" s="71">
        <v>1</v>
      </c>
      <c r="BQ63" s="71">
        <v>2</v>
      </c>
      <c r="BR63" s="71">
        <v>3</v>
      </c>
      <c r="BS63" s="71">
        <v>4</v>
      </c>
      <c r="BT63" s="71">
        <v>5</v>
      </c>
      <c r="BU63" s="71">
        <v>6</v>
      </c>
      <c r="BV63" s="71">
        <v>7</v>
      </c>
      <c r="BW63" s="71">
        <v>8</v>
      </c>
      <c r="BX63" s="71">
        <v>9</v>
      </c>
      <c r="BY63" s="71">
        <v>10</v>
      </c>
      <c r="BZ63" s="71">
        <v>11</v>
      </c>
      <c r="CA63" s="71">
        <v>12</v>
      </c>
      <c r="CB63" s="84"/>
      <c r="CC63" s="84"/>
      <c r="CD63" s="84"/>
      <c r="CE63" s="70"/>
      <c r="CF63" s="71">
        <v>1</v>
      </c>
      <c r="CG63" s="71">
        <v>2</v>
      </c>
      <c r="CH63" s="71">
        <v>3</v>
      </c>
      <c r="CI63" s="71">
        <v>4</v>
      </c>
      <c r="CJ63" s="71">
        <v>5</v>
      </c>
      <c r="CK63" s="71">
        <v>6</v>
      </c>
      <c r="CL63" s="71">
        <v>7</v>
      </c>
      <c r="CM63" s="71">
        <v>8</v>
      </c>
      <c r="CN63" s="71">
        <v>9</v>
      </c>
      <c r="CO63" s="71">
        <v>10</v>
      </c>
      <c r="CP63" s="71">
        <v>11</v>
      </c>
      <c r="CQ63" s="71">
        <v>12</v>
      </c>
      <c r="CR63" s="84"/>
      <c r="CT63" s="84"/>
      <c r="CU63" s="70"/>
      <c r="CV63" s="71">
        <v>1</v>
      </c>
      <c r="CW63" s="71">
        <v>2</v>
      </c>
      <c r="CX63" s="71">
        <v>3</v>
      </c>
      <c r="CY63" s="71">
        <v>4</v>
      </c>
      <c r="CZ63" s="71">
        <v>5</v>
      </c>
      <c r="DA63" s="71">
        <v>6</v>
      </c>
      <c r="DB63" s="71">
        <v>7</v>
      </c>
      <c r="DC63" s="71">
        <v>8</v>
      </c>
      <c r="DD63" s="71">
        <v>9</v>
      </c>
      <c r="DE63" s="71">
        <v>10</v>
      </c>
      <c r="DF63" s="71">
        <v>11</v>
      </c>
      <c r="DG63" s="71">
        <v>12</v>
      </c>
      <c r="DH63" s="84"/>
      <c r="DI63" s="84"/>
      <c r="DJ63" s="84"/>
      <c r="DK63" s="70"/>
      <c r="DL63" s="71">
        <v>1</v>
      </c>
      <c r="DM63" s="71">
        <v>2</v>
      </c>
      <c r="DN63" s="71">
        <v>3</v>
      </c>
      <c r="DO63" s="71">
        <v>4</v>
      </c>
      <c r="DP63" s="71">
        <v>5</v>
      </c>
      <c r="DQ63" s="71">
        <v>6</v>
      </c>
      <c r="DR63" s="71">
        <v>7</v>
      </c>
      <c r="DS63" s="71">
        <v>8</v>
      </c>
      <c r="DT63" s="71">
        <v>9</v>
      </c>
      <c r="DU63" s="71">
        <v>10</v>
      </c>
      <c r="DV63" s="71">
        <v>11</v>
      </c>
      <c r="DW63" s="71">
        <v>12</v>
      </c>
      <c r="DX63" s="84"/>
    </row>
    <row r="64" spans="2:128" ht="27" x14ac:dyDescent="0.2">
      <c r="C64" s="6" t="s">
        <v>29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8" t="s">
        <v>49</v>
      </c>
      <c r="S64" s="6" t="s">
        <v>29</v>
      </c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8" t="s">
        <v>49</v>
      </c>
      <c r="AI64" s="6" t="s">
        <v>29</v>
      </c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8" t="s">
        <v>49</v>
      </c>
      <c r="AY64" s="6" t="s">
        <v>29</v>
      </c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8" t="s">
        <v>49</v>
      </c>
      <c r="BN64" s="84"/>
      <c r="BO64" s="71" t="s">
        <v>29</v>
      </c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3" t="s">
        <v>49</v>
      </c>
      <c r="CC64" s="84"/>
      <c r="CD64" s="84"/>
      <c r="CE64" s="71" t="s">
        <v>29</v>
      </c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3" t="s">
        <v>49</v>
      </c>
      <c r="CT64" s="84"/>
      <c r="CU64" s="71" t="s">
        <v>29</v>
      </c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3" t="s">
        <v>49</v>
      </c>
      <c r="DI64" s="84"/>
      <c r="DJ64" s="84"/>
      <c r="DK64" s="71" t="s">
        <v>29</v>
      </c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3" t="s">
        <v>49</v>
      </c>
    </row>
    <row r="65" spans="2:128" ht="27" x14ac:dyDescent="0.2">
      <c r="C65" s="6" t="s">
        <v>33</v>
      </c>
      <c r="D65" s="15"/>
      <c r="E65" s="13">
        <f>E53-ROUND(AVERAGE($E$53:$E$58),0)</f>
        <v>39</v>
      </c>
      <c r="F65" s="13">
        <f>F53-ROUND(AVERAGE($E$53:$E$58),0)</f>
        <v>765187</v>
      </c>
      <c r="G65" s="13">
        <f t="shared" ref="G65:N65" si="0">G53-ROUND(AVERAGE($E$53:$E$58),0)</f>
        <v>16859</v>
      </c>
      <c r="H65" s="13">
        <f t="shared" si="0"/>
        <v>16182</v>
      </c>
      <c r="I65" s="13">
        <f t="shared" si="0"/>
        <v>15759</v>
      </c>
      <c r="J65" s="13">
        <f t="shared" si="0"/>
        <v>16224</v>
      </c>
      <c r="K65" s="13">
        <f t="shared" si="0"/>
        <v>16409</v>
      </c>
      <c r="L65" s="13">
        <f t="shared" si="0"/>
        <v>15864</v>
      </c>
      <c r="M65" s="13">
        <f t="shared" si="0"/>
        <v>16665</v>
      </c>
      <c r="N65" s="13">
        <f t="shared" si="0"/>
        <v>17481</v>
      </c>
      <c r="O65" s="15"/>
      <c r="P65" s="8" t="s">
        <v>49</v>
      </c>
      <c r="S65" s="6" t="s">
        <v>33</v>
      </c>
      <c r="T65" s="15"/>
      <c r="U65" s="13">
        <f>U53-ROUND(AVERAGE($U$53:$U$58),0)</f>
        <v>170</v>
      </c>
      <c r="V65" s="13">
        <f>V53-ROUND(AVERAGE($U$53:$U$58),0)</f>
        <v>756591</v>
      </c>
      <c r="W65" s="13">
        <f>W53-ROUND(AVERAGE($U$53:$U$58),0)</f>
        <v>18749</v>
      </c>
      <c r="X65" s="13">
        <f t="shared" ref="X65:AD65" si="1">X53-ROUND(AVERAGE($U$53:$U$58),0)</f>
        <v>19787</v>
      </c>
      <c r="Y65" s="13">
        <f t="shared" si="1"/>
        <v>21847</v>
      </c>
      <c r="Z65" s="13">
        <f t="shared" si="1"/>
        <v>21627</v>
      </c>
      <c r="AA65" s="13">
        <f t="shared" si="1"/>
        <v>19611</v>
      </c>
      <c r="AB65" s="13">
        <f t="shared" si="1"/>
        <v>20637</v>
      </c>
      <c r="AC65" s="13">
        <f t="shared" si="1"/>
        <v>19854</v>
      </c>
      <c r="AD65" s="13">
        <f t="shared" si="1"/>
        <v>21881</v>
      </c>
      <c r="AE65" s="15"/>
      <c r="AF65" s="8" t="s">
        <v>49</v>
      </c>
      <c r="AI65" s="6" t="s">
        <v>33</v>
      </c>
      <c r="AJ65" s="15"/>
      <c r="AK65" s="13">
        <f>AK53-ROUND(AVERAGE($AK$53:$AK$58),0)</f>
        <v>1006</v>
      </c>
      <c r="AL65" s="85">
        <f t="shared" ref="AL65:AT65" si="2">AL53-ROUND(AVERAGE($AK$53:$AK$58),0)</f>
        <v>804818</v>
      </c>
      <c r="AM65" s="85">
        <f t="shared" si="2"/>
        <v>60348</v>
      </c>
      <c r="AN65" s="85">
        <f t="shared" si="2"/>
        <v>64613</v>
      </c>
      <c r="AO65" s="85">
        <f t="shared" si="2"/>
        <v>59616</v>
      </c>
      <c r="AP65" s="85">
        <f t="shared" si="2"/>
        <v>68997</v>
      </c>
      <c r="AQ65" s="85">
        <f t="shared" si="2"/>
        <v>80419</v>
      </c>
      <c r="AR65" s="85">
        <f t="shared" si="2"/>
        <v>64055</v>
      </c>
      <c r="AS65" s="85">
        <f t="shared" si="2"/>
        <v>71079</v>
      </c>
      <c r="AT65" s="85">
        <f t="shared" si="2"/>
        <v>68984</v>
      </c>
      <c r="AU65" s="15"/>
      <c r="AV65" s="8" t="s">
        <v>49</v>
      </c>
      <c r="AY65" s="6" t="s">
        <v>33</v>
      </c>
      <c r="AZ65" s="15"/>
      <c r="BA65" s="13">
        <f>BA53-ROUND(AVERAGE($BA$53:$BA$58),0)</f>
        <v>296</v>
      </c>
      <c r="BB65" s="85">
        <f t="shared" ref="BB65:BJ65" si="3">BB53-ROUND(AVERAGE($BA$53:$BA$58),0)</f>
        <v>800511</v>
      </c>
      <c r="BC65" s="85">
        <f t="shared" si="3"/>
        <v>49027</v>
      </c>
      <c r="BD65" s="85">
        <f t="shared" si="3"/>
        <v>56675</v>
      </c>
      <c r="BE65" s="85">
        <f t="shared" si="3"/>
        <v>63534</v>
      </c>
      <c r="BF65" s="85">
        <f t="shared" si="3"/>
        <v>60634</v>
      </c>
      <c r="BG65" s="85">
        <f t="shared" si="3"/>
        <v>60783</v>
      </c>
      <c r="BH65" s="85">
        <f t="shared" si="3"/>
        <v>71791</v>
      </c>
      <c r="BI65" s="85">
        <f t="shared" si="3"/>
        <v>76651</v>
      </c>
      <c r="BJ65" s="85">
        <f t="shared" si="3"/>
        <v>78413</v>
      </c>
      <c r="BK65" s="15"/>
      <c r="BL65" s="8" t="s">
        <v>49</v>
      </c>
      <c r="BN65" s="84"/>
      <c r="BO65" s="71" t="s">
        <v>33</v>
      </c>
      <c r="BP65" s="72"/>
      <c r="BQ65" s="85">
        <f>BQ53-ROUND(AVERAGE($BQ$53:$BQ$58),0)</f>
        <v>-170</v>
      </c>
      <c r="BR65" s="85">
        <f t="shared" ref="BR65:BZ65" si="4">BR53-ROUND(AVERAGE($BQ$53:$BQ$58),0)</f>
        <v>805483</v>
      </c>
      <c r="BS65" s="85">
        <f t="shared" si="4"/>
        <v>300098</v>
      </c>
      <c r="BT65" s="85">
        <f t="shared" si="4"/>
        <v>357543</v>
      </c>
      <c r="BU65" s="85">
        <f t="shared" si="4"/>
        <v>362073</v>
      </c>
      <c r="BV65" s="85">
        <f t="shared" si="4"/>
        <v>356687</v>
      </c>
      <c r="BW65" s="85">
        <f t="shared" si="4"/>
        <v>479773</v>
      </c>
      <c r="BX65" s="85">
        <f t="shared" si="4"/>
        <v>467831</v>
      </c>
      <c r="BY65" s="85">
        <f t="shared" si="4"/>
        <v>470091</v>
      </c>
      <c r="BZ65" s="85">
        <f t="shared" si="4"/>
        <v>409390</v>
      </c>
      <c r="CA65" s="72"/>
      <c r="CB65" s="73" t="s">
        <v>49</v>
      </c>
      <c r="CC65" s="84"/>
      <c r="CD65" s="84"/>
      <c r="CE65" s="71" t="s">
        <v>33</v>
      </c>
      <c r="CF65" s="72"/>
      <c r="CG65" s="85">
        <f>CG53-ROUND(AVERAGE($CG$53:$CG$58),0)</f>
        <v>-40</v>
      </c>
      <c r="CH65" s="85">
        <f t="shared" ref="CH65:CP65" si="5">CH53-ROUND(AVERAGE($CG$53:$CG$58),0)</f>
        <v>804164</v>
      </c>
      <c r="CI65" s="85">
        <f t="shared" si="5"/>
        <v>185015</v>
      </c>
      <c r="CJ65" s="85">
        <f t="shared" si="5"/>
        <v>222789</v>
      </c>
      <c r="CK65" s="85">
        <f t="shared" si="5"/>
        <v>281687</v>
      </c>
      <c r="CL65" s="85">
        <f t="shared" si="5"/>
        <v>247617</v>
      </c>
      <c r="CM65" s="85">
        <f t="shared" si="5"/>
        <v>251428</v>
      </c>
      <c r="CN65" s="85">
        <f t="shared" si="5"/>
        <v>263786</v>
      </c>
      <c r="CO65" s="85">
        <f t="shared" si="5"/>
        <v>278399</v>
      </c>
      <c r="CP65" s="85">
        <f t="shared" si="5"/>
        <v>300940</v>
      </c>
      <c r="CQ65" s="72"/>
      <c r="CR65" s="73" t="s">
        <v>49</v>
      </c>
      <c r="CT65" s="84"/>
      <c r="CU65" s="71" t="s">
        <v>33</v>
      </c>
      <c r="CV65" s="72"/>
      <c r="CW65" s="85">
        <f>CW53-ROUND(AVERAGE($CW$53:$CW$58),0)</f>
        <v>-937</v>
      </c>
      <c r="CX65" s="85">
        <f t="shared" ref="CX65:DF65" si="6">CX53-ROUND(AVERAGE($CW$53:$CW$58),0)</f>
        <v>796264</v>
      </c>
      <c r="CY65" s="85">
        <f t="shared" si="6"/>
        <v>492649</v>
      </c>
      <c r="CZ65" s="85">
        <f t="shared" si="6"/>
        <v>545095</v>
      </c>
      <c r="DA65" s="85">
        <f t="shared" si="6"/>
        <v>570066</v>
      </c>
      <c r="DB65" s="85">
        <f t="shared" si="6"/>
        <v>593843</v>
      </c>
      <c r="DC65" s="85">
        <f t="shared" si="6"/>
        <v>518686</v>
      </c>
      <c r="DD65" s="85">
        <f t="shared" si="6"/>
        <v>547792</v>
      </c>
      <c r="DE65" s="85">
        <f t="shared" si="6"/>
        <v>566857</v>
      </c>
      <c r="DF65" s="85">
        <f t="shared" si="6"/>
        <v>561921</v>
      </c>
      <c r="DG65" s="72"/>
      <c r="DH65" s="73" t="s">
        <v>49</v>
      </c>
      <c r="DI65" s="84"/>
      <c r="DJ65" s="84"/>
      <c r="DK65" s="71" t="s">
        <v>33</v>
      </c>
      <c r="DL65" s="72"/>
      <c r="DM65" s="85">
        <f>DM53-ROUND(AVERAGE($DM$53:$DM$58),0)</f>
        <v>721</v>
      </c>
      <c r="DN65" s="85">
        <f t="shared" ref="DN65:DV65" si="7">DN53-ROUND(AVERAGE($DM$53:$DM$58),0)</f>
        <v>782828</v>
      </c>
      <c r="DO65" s="85">
        <f t="shared" si="7"/>
        <v>347769</v>
      </c>
      <c r="DP65" s="85">
        <f t="shared" si="7"/>
        <v>405923</v>
      </c>
      <c r="DQ65" s="85">
        <f t="shared" si="7"/>
        <v>439430</v>
      </c>
      <c r="DR65" s="85">
        <f t="shared" si="7"/>
        <v>461788</v>
      </c>
      <c r="DS65" s="85">
        <f t="shared" si="7"/>
        <v>458820</v>
      </c>
      <c r="DT65" s="85">
        <f t="shared" si="7"/>
        <v>480006</v>
      </c>
      <c r="DU65" s="85">
        <f t="shared" si="7"/>
        <v>493902</v>
      </c>
      <c r="DV65" s="85">
        <f t="shared" si="7"/>
        <v>502275</v>
      </c>
      <c r="DW65" s="72"/>
      <c r="DX65" s="73" t="s">
        <v>49</v>
      </c>
    </row>
    <row r="66" spans="2:128" ht="27" x14ac:dyDescent="0.2">
      <c r="C66" s="6" t="s">
        <v>36</v>
      </c>
      <c r="D66" s="15"/>
      <c r="E66" s="13">
        <f t="shared" ref="E66:N70" si="8">E54-ROUND(AVERAGE($E$53:$E$58),0)</f>
        <v>197</v>
      </c>
      <c r="F66" s="13">
        <f t="shared" si="8"/>
        <v>757053</v>
      </c>
      <c r="G66" s="13">
        <f t="shared" si="8"/>
        <v>18290</v>
      </c>
      <c r="H66" s="13">
        <f t="shared" si="8"/>
        <v>19455</v>
      </c>
      <c r="I66" s="13">
        <f t="shared" si="8"/>
        <v>20499</v>
      </c>
      <c r="J66" s="13">
        <f t="shared" si="8"/>
        <v>20753</v>
      </c>
      <c r="K66" s="13">
        <f t="shared" si="8"/>
        <v>20960</v>
      </c>
      <c r="L66" s="13">
        <f t="shared" si="8"/>
        <v>20295</v>
      </c>
      <c r="M66" s="13">
        <f t="shared" si="8"/>
        <v>18310</v>
      </c>
      <c r="N66" s="13">
        <f t="shared" si="8"/>
        <v>18752</v>
      </c>
      <c r="O66" s="15"/>
      <c r="P66" s="8" t="s">
        <v>49</v>
      </c>
      <c r="S66" s="6" t="s">
        <v>36</v>
      </c>
      <c r="T66" s="15"/>
      <c r="U66" s="13">
        <f t="shared" ref="U66:AD70" si="9">U54-ROUND(AVERAGE($U$53:$U$58),0)</f>
        <v>27</v>
      </c>
      <c r="V66" s="13">
        <f t="shared" si="9"/>
        <v>760514</v>
      </c>
      <c r="W66" s="13">
        <f t="shared" si="9"/>
        <v>22057</v>
      </c>
      <c r="X66" s="13">
        <f t="shared" si="9"/>
        <v>20706</v>
      </c>
      <c r="Y66" s="13">
        <f t="shared" si="9"/>
        <v>20989</v>
      </c>
      <c r="Z66" s="13">
        <f t="shared" si="9"/>
        <v>23024</v>
      </c>
      <c r="AA66" s="13">
        <f t="shared" si="9"/>
        <v>22862</v>
      </c>
      <c r="AB66" s="13">
        <f t="shared" si="9"/>
        <v>21637</v>
      </c>
      <c r="AC66" s="13">
        <f t="shared" si="9"/>
        <v>22528</v>
      </c>
      <c r="AD66" s="13">
        <f t="shared" si="9"/>
        <v>22003</v>
      </c>
      <c r="AE66" s="15"/>
      <c r="AF66" s="8" t="s">
        <v>49</v>
      </c>
      <c r="AI66" s="6" t="s">
        <v>36</v>
      </c>
      <c r="AJ66" s="15"/>
      <c r="AK66" s="85">
        <f t="shared" ref="AK66:AT66" si="10">AK54-ROUND(AVERAGE($AK$53:$AK$58),0)</f>
        <v>161</v>
      </c>
      <c r="AL66" s="85">
        <f t="shared" si="10"/>
        <v>801330</v>
      </c>
      <c r="AM66" s="85">
        <f t="shared" si="10"/>
        <v>62101</v>
      </c>
      <c r="AN66" s="85">
        <f t="shared" si="10"/>
        <v>74201</v>
      </c>
      <c r="AO66" s="85">
        <f t="shared" si="10"/>
        <v>67053</v>
      </c>
      <c r="AP66" s="85">
        <f t="shared" si="10"/>
        <v>74397</v>
      </c>
      <c r="AQ66" s="85">
        <f t="shared" si="10"/>
        <v>61643</v>
      </c>
      <c r="AR66" s="85">
        <f t="shared" si="10"/>
        <v>68952</v>
      </c>
      <c r="AS66" s="85">
        <f t="shared" si="10"/>
        <v>76110</v>
      </c>
      <c r="AT66" s="85">
        <f t="shared" si="10"/>
        <v>80590</v>
      </c>
      <c r="AU66" s="15"/>
      <c r="AV66" s="8" t="s">
        <v>49</v>
      </c>
      <c r="AY66" s="6" t="s">
        <v>36</v>
      </c>
      <c r="AZ66" s="15"/>
      <c r="BA66" s="85">
        <f t="shared" ref="BA66:BJ66" si="11">BA54-ROUND(AVERAGE($BA$53:$BA$58),0)</f>
        <v>-694</v>
      </c>
      <c r="BB66" s="85">
        <f t="shared" si="11"/>
        <v>803007</v>
      </c>
      <c r="BC66" s="85">
        <f t="shared" si="11"/>
        <v>79482</v>
      </c>
      <c r="BD66" s="85">
        <f t="shared" si="11"/>
        <v>74340</v>
      </c>
      <c r="BE66" s="85">
        <f t="shared" si="11"/>
        <v>60452</v>
      </c>
      <c r="BF66" s="85">
        <f t="shared" si="11"/>
        <v>77460</v>
      </c>
      <c r="BG66" s="85">
        <f t="shared" si="11"/>
        <v>74366</v>
      </c>
      <c r="BH66" s="85">
        <f t="shared" si="11"/>
        <v>63645</v>
      </c>
      <c r="BI66" s="85">
        <f t="shared" si="11"/>
        <v>79043</v>
      </c>
      <c r="BJ66" s="85">
        <f t="shared" si="11"/>
        <v>77693</v>
      </c>
      <c r="BK66" s="15"/>
      <c r="BL66" s="8" t="s">
        <v>49</v>
      </c>
      <c r="BN66" s="84"/>
      <c r="BO66" s="71" t="s">
        <v>36</v>
      </c>
      <c r="BP66" s="72"/>
      <c r="BQ66" s="85">
        <f t="shared" ref="BQ66:BZ70" si="12">BQ54-ROUND(AVERAGE($BQ$53:$BQ$58),0)</f>
        <v>1142</v>
      </c>
      <c r="BR66" s="85">
        <f t="shared" si="12"/>
        <v>810880</v>
      </c>
      <c r="BS66" s="85">
        <f t="shared" si="12"/>
        <v>423457</v>
      </c>
      <c r="BT66" s="85">
        <f t="shared" si="12"/>
        <v>401427</v>
      </c>
      <c r="BU66" s="85">
        <f t="shared" si="12"/>
        <v>375549</v>
      </c>
      <c r="BV66" s="85">
        <f t="shared" si="12"/>
        <v>400294</v>
      </c>
      <c r="BW66" s="85">
        <f t="shared" si="12"/>
        <v>454461</v>
      </c>
      <c r="BX66" s="85">
        <f t="shared" si="12"/>
        <v>465505</v>
      </c>
      <c r="BY66" s="85">
        <f t="shared" si="12"/>
        <v>515320</v>
      </c>
      <c r="BZ66" s="85">
        <f t="shared" si="12"/>
        <v>495839</v>
      </c>
      <c r="CA66" s="72"/>
      <c r="CB66" s="73" t="s">
        <v>49</v>
      </c>
      <c r="CC66" s="84"/>
      <c r="CD66" s="84"/>
      <c r="CE66" s="71" t="s">
        <v>36</v>
      </c>
      <c r="CF66" s="72"/>
      <c r="CG66" s="85">
        <f t="shared" ref="CG66:CP70" si="13">CG54-ROUND(AVERAGE($CG$53:$CG$58),0)</f>
        <v>-130</v>
      </c>
      <c r="CH66" s="85">
        <f t="shared" si="13"/>
        <v>816353</v>
      </c>
      <c r="CI66" s="85">
        <f t="shared" si="13"/>
        <v>276420</v>
      </c>
      <c r="CJ66" s="85">
        <f t="shared" si="13"/>
        <v>269128</v>
      </c>
      <c r="CK66" s="85">
        <f t="shared" si="13"/>
        <v>232632</v>
      </c>
      <c r="CL66" s="85">
        <f t="shared" si="13"/>
        <v>258633</v>
      </c>
      <c r="CM66" s="85">
        <f t="shared" si="13"/>
        <v>264461</v>
      </c>
      <c r="CN66" s="85">
        <f t="shared" si="13"/>
        <v>259676</v>
      </c>
      <c r="CO66" s="85">
        <f t="shared" si="13"/>
        <v>273005</v>
      </c>
      <c r="CP66" s="85">
        <f t="shared" si="13"/>
        <v>281959</v>
      </c>
      <c r="CQ66" s="72"/>
      <c r="CR66" s="73" t="s">
        <v>49</v>
      </c>
      <c r="CT66" s="84"/>
      <c r="CU66" s="71" t="s">
        <v>36</v>
      </c>
      <c r="CV66" s="72"/>
      <c r="CW66" s="85">
        <f t="shared" ref="CW66:DF70" si="14">CW54-ROUND(AVERAGE($CW$53:$CW$58),0)</f>
        <v>1117</v>
      </c>
      <c r="CX66" s="85">
        <f t="shared" si="14"/>
        <v>788310</v>
      </c>
      <c r="CY66" s="85">
        <f t="shared" si="14"/>
        <v>570697</v>
      </c>
      <c r="CZ66" s="85">
        <f t="shared" si="14"/>
        <v>581312</v>
      </c>
      <c r="DA66" s="85">
        <f t="shared" si="14"/>
        <v>534288</v>
      </c>
      <c r="DB66" s="85">
        <f t="shared" si="14"/>
        <v>527920</v>
      </c>
      <c r="DC66" s="85">
        <f t="shared" si="14"/>
        <v>552106</v>
      </c>
      <c r="DD66" s="85">
        <f t="shared" si="14"/>
        <v>548400</v>
      </c>
      <c r="DE66" s="85">
        <f t="shared" si="14"/>
        <v>548360</v>
      </c>
      <c r="DF66" s="85">
        <f t="shared" si="14"/>
        <v>565233</v>
      </c>
      <c r="DG66" s="72"/>
      <c r="DH66" s="73" t="s">
        <v>49</v>
      </c>
      <c r="DI66" s="84"/>
      <c r="DJ66" s="84"/>
      <c r="DK66" s="71" t="s">
        <v>36</v>
      </c>
      <c r="DL66" s="72"/>
      <c r="DM66" s="85">
        <f t="shared" ref="DM66:DV70" si="15">DM54-ROUND(AVERAGE($DM$53:$DM$58),0)</f>
        <v>-74</v>
      </c>
      <c r="DN66" s="85">
        <f t="shared" si="15"/>
        <v>777338</v>
      </c>
      <c r="DO66" s="85">
        <f t="shared" si="15"/>
        <v>487996</v>
      </c>
      <c r="DP66" s="85">
        <f t="shared" si="15"/>
        <v>468462</v>
      </c>
      <c r="DQ66" s="85">
        <f t="shared" si="15"/>
        <v>443260</v>
      </c>
      <c r="DR66" s="85">
        <f t="shared" si="15"/>
        <v>471626</v>
      </c>
      <c r="DS66" s="85">
        <f t="shared" si="15"/>
        <v>523494</v>
      </c>
      <c r="DT66" s="85">
        <f t="shared" si="15"/>
        <v>484678</v>
      </c>
      <c r="DU66" s="85">
        <f t="shared" si="15"/>
        <v>476602</v>
      </c>
      <c r="DV66" s="85">
        <f t="shared" si="15"/>
        <v>511566</v>
      </c>
      <c r="DW66" s="72"/>
      <c r="DX66" s="73" t="s">
        <v>49</v>
      </c>
    </row>
    <row r="67" spans="2:128" ht="27" x14ac:dyDescent="0.2">
      <c r="C67" s="6" t="s">
        <v>39</v>
      </c>
      <c r="D67" s="15"/>
      <c r="E67" s="13">
        <f t="shared" si="8"/>
        <v>-312</v>
      </c>
      <c r="F67" s="13">
        <f t="shared" si="8"/>
        <v>769845</v>
      </c>
      <c r="G67" s="13">
        <f t="shared" si="8"/>
        <v>21740</v>
      </c>
      <c r="H67" s="13">
        <f t="shared" si="8"/>
        <v>20234</v>
      </c>
      <c r="I67" s="13">
        <f t="shared" si="8"/>
        <v>19915</v>
      </c>
      <c r="J67" s="13">
        <f t="shared" si="8"/>
        <v>22229</v>
      </c>
      <c r="K67" s="13">
        <f t="shared" si="8"/>
        <v>19582</v>
      </c>
      <c r="L67" s="13">
        <f t="shared" si="8"/>
        <v>22342</v>
      </c>
      <c r="M67" s="13">
        <f t="shared" si="8"/>
        <v>21078</v>
      </c>
      <c r="N67" s="13">
        <f t="shared" si="8"/>
        <v>18203</v>
      </c>
      <c r="O67" s="15"/>
      <c r="P67" s="8" t="s">
        <v>49</v>
      </c>
      <c r="S67" s="6" t="s">
        <v>39</v>
      </c>
      <c r="T67" s="15"/>
      <c r="U67" s="13">
        <f t="shared" si="9"/>
        <v>-10</v>
      </c>
      <c r="V67" s="13">
        <f t="shared" si="9"/>
        <v>769506</v>
      </c>
      <c r="W67" s="13">
        <f t="shared" si="9"/>
        <v>25523</v>
      </c>
      <c r="X67" s="13">
        <f t="shared" si="9"/>
        <v>20445</v>
      </c>
      <c r="Y67" s="13">
        <f t="shared" si="9"/>
        <v>21190</v>
      </c>
      <c r="Z67" s="13">
        <f t="shared" si="9"/>
        <v>20063</v>
      </c>
      <c r="AA67" s="13">
        <f t="shared" si="9"/>
        <v>25883</v>
      </c>
      <c r="AB67" s="13">
        <f t="shared" si="9"/>
        <v>21606</v>
      </c>
      <c r="AC67" s="13">
        <f t="shared" si="9"/>
        <v>21210</v>
      </c>
      <c r="AD67" s="13">
        <f t="shared" si="9"/>
        <v>23361</v>
      </c>
      <c r="AE67" s="15"/>
      <c r="AF67" s="8" t="s">
        <v>49</v>
      </c>
      <c r="AI67" s="6" t="s">
        <v>39</v>
      </c>
      <c r="AJ67" s="15"/>
      <c r="AK67" s="85">
        <f t="shared" ref="AK67:AT67" si="16">AK55-ROUND(AVERAGE($AK$53:$AK$58),0)</f>
        <v>-1048</v>
      </c>
      <c r="AL67" s="85">
        <f t="shared" si="16"/>
        <v>806206</v>
      </c>
      <c r="AM67" s="85">
        <f t="shared" si="16"/>
        <v>78668</v>
      </c>
      <c r="AN67" s="85">
        <f t="shared" si="16"/>
        <v>59431</v>
      </c>
      <c r="AO67" s="85">
        <f t="shared" si="16"/>
        <v>72029</v>
      </c>
      <c r="AP67" s="85">
        <f t="shared" si="16"/>
        <v>81784</v>
      </c>
      <c r="AQ67" s="85">
        <f t="shared" si="16"/>
        <v>85743</v>
      </c>
      <c r="AR67" s="85">
        <f t="shared" si="16"/>
        <v>103888</v>
      </c>
      <c r="AS67" s="85">
        <f t="shared" si="16"/>
        <v>92069</v>
      </c>
      <c r="AT67" s="85">
        <f t="shared" si="16"/>
        <v>78956</v>
      </c>
      <c r="AU67" s="15"/>
      <c r="AV67" s="8" t="s">
        <v>49</v>
      </c>
      <c r="AY67" s="6" t="s">
        <v>39</v>
      </c>
      <c r="AZ67" s="15"/>
      <c r="BA67" s="85">
        <f t="shared" ref="BA67:BJ67" si="17">BA55-ROUND(AVERAGE($BA$53:$BA$58),0)</f>
        <v>-521</v>
      </c>
      <c r="BB67" s="85">
        <f t="shared" si="17"/>
        <v>805687</v>
      </c>
      <c r="BC67" s="85">
        <f t="shared" si="17"/>
        <v>81961</v>
      </c>
      <c r="BD67" s="85">
        <f t="shared" si="17"/>
        <v>82682</v>
      </c>
      <c r="BE67" s="85">
        <f t="shared" si="17"/>
        <v>74104</v>
      </c>
      <c r="BF67" s="85">
        <f t="shared" si="17"/>
        <v>83673</v>
      </c>
      <c r="BG67" s="85">
        <f t="shared" si="17"/>
        <v>96963</v>
      </c>
      <c r="BH67" s="85">
        <f t="shared" si="17"/>
        <v>89042</v>
      </c>
      <c r="BI67" s="85">
        <f t="shared" si="17"/>
        <v>71574</v>
      </c>
      <c r="BJ67" s="85">
        <f t="shared" si="17"/>
        <v>75884</v>
      </c>
      <c r="BK67" s="15"/>
      <c r="BL67" s="8" t="s">
        <v>49</v>
      </c>
      <c r="BN67" s="84"/>
      <c r="BO67" s="71" t="s">
        <v>39</v>
      </c>
      <c r="BP67" s="72"/>
      <c r="BQ67" s="85">
        <f t="shared" si="12"/>
        <v>-358</v>
      </c>
      <c r="BR67" s="85">
        <f t="shared" si="12"/>
        <v>803335</v>
      </c>
      <c r="BS67" s="85">
        <f t="shared" si="12"/>
        <v>523208</v>
      </c>
      <c r="BT67" s="85">
        <f t="shared" si="12"/>
        <v>365324</v>
      </c>
      <c r="BU67" s="85">
        <f t="shared" si="12"/>
        <v>353456</v>
      </c>
      <c r="BV67" s="85">
        <f t="shared" si="12"/>
        <v>377180</v>
      </c>
      <c r="BW67" s="85">
        <f t="shared" si="12"/>
        <v>457563</v>
      </c>
      <c r="BX67" s="85">
        <f t="shared" si="12"/>
        <v>428186</v>
      </c>
      <c r="BY67" s="85">
        <f t="shared" si="12"/>
        <v>437528</v>
      </c>
      <c r="BZ67" s="85">
        <f t="shared" si="12"/>
        <v>423270</v>
      </c>
      <c r="CA67" s="72"/>
      <c r="CB67" s="73" t="s">
        <v>49</v>
      </c>
      <c r="CC67" s="84"/>
      <c r="CD67" s="84"/>
      <c r="CE67" s="71" t="s">
        <v>39</v>
      </c>
      <c r="CF67" s="72"/>
      <c r="CG67" s="85">
        <f t="shared" si="13"/>
        <v>402</v>
      </c>
      <c r="CH67" s="85">
        <f t="shared" si="13"/>
        <v>811638</v>
      </c>
      <c r="CI67" s="85">
        <f t="shared" si="13"/>
        <v>277381</v>
      </c>
      <c r="CJ67" s="85">
        <f t="shared" si="13"/>
        <v>216357</v>
      </c>
      <c r="CK67" s="85">
        <f t="shared" si="13"/>
        <v>246733</v>
      </c>
      <c r="CL67" s="85">
        <f t="shared" si="13"/>
        <v>271068</v>
      </c>
      <c r="CM67" s="85">
        <f t="shared" si="13"/>
        <v>317149</v>
      </c>
      <c r="CN67" s="85">
        <f t="shared" si="13"/>
        <v>288411</v>
      </c>
      <c r="CO67" s="85">
        <f t="shared" si="13"/>
        <v>256135</v>
      </c>
      <c r="CP67" s="85">
        <f t="shared" si="13"/>
        <v>264884</v>
      </c>
      <c r="CQ67" s="72"/>
      <c r="CR67" s="73" t="s">
        <v>49</v>
      </c>
      <c r="CT67" s="84"/>
      <c r="CU67" s="71" t="s">
        <v>39</v>
      </c>
      <c r="CV67" s="72"/>
      <c r="CW67" s="85">
        <f t="shared" si="14"/>
        <v>328</v>
      </c>
      <c r="CX67" s="85">
        <f t="shared" si="14"/>
        <v>792627</v>
      </c>
      <c r="CY67" s="85">
        <f t="shared" si="14"/>
        <v>569200</v>
      </c>
      <c r="CZ67" s="85">
        <f t="shared" si="14"/>
        <v>563514</v>
      </c>
      <c r="DA67" s="85">
        <f t="shared" si="14"/>
        <v>531472</v>
      </c>
      <c r="DB67" s="85">
        <f t="shared" si="14"/>
        <v>531670</v>
      </c>
      <c r="DC67" s="85">
        <f t="shared" si="14"/>
        <v>527264</v>
      </c>
      <c r="DD67" s="85">
        <f t="shared" si="14"/>
        <v>573275</v>
      </c>
      <c r="DE67" s="85">
        <f t="shared" si="14"/>
        <v>545934</v>
      </c>
      <c r="DF67" s="85">
        <f t="shared" si="14"/>
        <v>560093</v>
      </c>
      <c r="DG67" s="72"/>
      <c r="DH67" s="73" t="s">
        <v>49</v>
      </c>
      <c r="DI67" s="84"/>
      <c r="DJ67" s="84"/>
      <c r="DK67" s="71" t="s">
        <v>39</v>
      </c>
      <c r="DL67" s="72"/>
      <c r="DM67" s="85">
        <f t="shared" si="15"/>
        <v>-342</v>
      </c>
      <c r="DN67" s="85">
        <f t="shared" si="15"/>
        <v>794404</v>
      </c>
      <c r="DO67" s="85">
        <f t="shared" si="15"/>
        <v>434166</v>
      </c>
      <c r="DP67" s="85">
        <f t="shared" si="15"/>
        <v>459537</v>
      </c>
      <c r="DQ67" s="85">
        <f t="shared" si="15"/>
        <v>440373</v>
      </c>
      <c r="DR67" s="85">
        <f t="shared" si="15"/>
        <v>509626</v>
      </c>
      <c r="DS67" s="85">
        <f t="shared" si="15"/>
        <v>509711</v>
      </c>
      <c r="DT67" s="85">
        <f t="shared" si="15"/>
        <v>438055</v>
      </c>
      <c r="DU67" s="85">
        <f t="shared" si="15"/>
        <v>431994</v>
      </c>
      <c r="DV67" s="85">
        <f t="shared" si="15"/>
        <v>465417</v>
      </c>
      <c r="DW67" s="72"/>
      <c r="DX67" s="73" t="s">
        <v>49</v>
      </c>
    </row>
    <row r="68" spans="2:128" ht="27" x14ac:dyDescent="0.2">
      <c r="C68" s="6" t="s">
        <v>42</v>
      </c>
      <c r="D68" s="15"/>
      <c r="E68" s="13">
        <f t="shared" si="8"/>
        <v>-42</v>
      </c>
      <c r="F68" s="13">
        <f t="shared" si="8"/>
        <v>765844</v>
      </c>
      <c r="G68" s="13">
        <f t="shared" si="8"/>
        <v>19701</v>
      </c>
      <c r="H68" s="13">
        <f t="shared" si="8"/>
        <v>18417</v>
      </c>
      <c r="I68" s="13">
        <f t="shared" si="8"/>
        <v>22073</v>
      </c>
      <c r="J68" s="13">
        <f t="shared" si="8"/>
        <v>23989</v>
      </c>
      <c r="K68" s="13">
        <f t="shared" si="8"/>
        <v>22215</v>
      </c>
      <c r="L68" s="13">
        <f t="shared" si="8"/>
        <v>23207</v>
      </c>
      <c r="M68" s="13">
        <f t="shared" si="8"/>
        <v>20736</v>
      </c>
      <c r="N68" s="13">
        <f t="shared" si="8"/>
        <v>20718</v>
      </c>
      <c r="O68" s="15"/>
      <c r="P68" s="8" t="s">
        <v>49</v>
      </c>
      <c r="S68" s="6" t="s">
        <v>42</v>
      </c>
      <c r="T68" s="15"/>
      <c r="U68" s="13">
        <f t="shared" si="9"/>
        <v>-19</v>
      </c>
      <c r="V68" s="13">
        <f t="shared" si="9"/>
        <v>767227</v>
      </c>
      <c r="W68" s="13">
        <f t="shared" si="9"/>
        <v>22457</v>
      </c>
      <c r="X68" s="13">
        <f t="shared" si="9"/>
        <v>23197</v>
      </c>
      <c r="Y68" s="13">
        <f t="shared" si="9"/>
        <v>21738</v>
      </c>
      <c r="Z68" s="13">
        <f t="shared" si="9"/>
        <v>25554</v>
      </c>
      <c r="AA68" s="13">
        <f t="shared" si="9"/>
        <v>25761</v>
      </c>
      <c r="AB68" s="13">
        <f t="shared" si="9"/>
        <v>22366</v>
      </c>
      <c r="AC68" s="13">
        <f t="shared" si="9"/>
        <v>19276</v>
      </c>
      <c r="AD68" s="13">
        <f t="shared" si="9"/>
        <v>20871</v>
      </c>
      <c r="AE68" s="15"/>
      <c r="AF68" s="8" t="s">
        <v>49</v>
      </c>
      <c r="AI68" s="6" t="s">
        <v>42</v>
      </c>
      <c r="AJ68" s="15"/>
      <c r="AK68" s="85">
        <f t="shared" ref="AK68:AT68" si="18">AK56-ROUND(AVERAGE($AK$53:$AK$58),0)</f>
        <v>281</v>
      </c>
      <c r="AL68" s="85">
        <f t="shared" si="18"/>
        <v>804144</v>
      </c>
      <c r="AM68" s="85">
        <f t="shared" si="18"/>
        <v>87768</v>
      </c>
      <c r="AN68" s="85">
        <f t="shared" si="18"/>
        <v>75263</v>
      </c>
      <c r="AO68" s="85">
        <f t="shared" si="18"/>
        <v>66879</v>
      </c>
      <c r="AP68" s="85">
        <f t="shared" si="18"/>
        <v>76293</v>
      </c>
      <c r="AQ68" s="85">
        <f t="shared" si="18"/>
        <v>72801</v>
      </c>
      <c r="AR68" s="85">
        <f t="shared" si="18"/>
        <v>77372</v>
      </c>
      <c r="AS68" s="85">
        <f t="shared" si="18"/>
        <v>73470</v>
      </c>
      <c r="AT68" s="85">
        <f t="shared" si="18"/>
        <v>79297</v>
      </c>
      <c r="AU68" s="15"/>
      <c r="AV68" s="8" t="s">
        <v>49</v>
      </c>
      <c r="AY68" s="6" t="s">
        <v>42</v>
      </c>
      <c r="AZ68" s="15"/>
      <c r="BA68" s="85">
        <f t="shared" ref="BA68:BJ68" si="19">BA56-ROUND(AVERAGE($BA$53:$BA$58),0)</f>
        <v>99</v>
      </c>
      <c r="BB68" s="85">
        <f t="shared" si="19"/>
        <v>805735</v>
      </c>
      <c r="BC68" s="85">
        <f t="shared" si="19"/>
        <v>74502</v>
      </c>
      <c r="BD68" s="85">
        <f t="shared" si="19"/>
        <v>92303</v>
      </c>
      <c r="BE68" s="85">
        <f t="shared" si="19"/>
        <v>84749</v>
      </c>
      <c r="BF68" s="85">
        <f t="shared" si="19"/>
        <v>84816</v>
      </c>
      <c r="BG68" s="85">
        <f t="shared" si="19"/>
        <v>81519</v>
      </c>
      <c r="BH68" s="85">
        <f t="shared" si="19"/>
        <v>74732</v>
      </c>
      <c r="BI68" s="85">
        <f t="shared" si="19"/>
        <v>67620</v>
      </c>
      <c r="BJ68" s="85">
        <f t="shared" si="19"/>
        <v>72350</v>
      </c>
      <c r="BK68" s="15"/>
      <c r="BL68" s="8" t="s">
        <v>49</v>
      </c>
      <c r="BN68" s="84"/>
      <c r="BO68" s="71" t="s">
        <v>42</v>
      </c>
      <c r="BP68" s="72"/>
      <c r="BQ68" s="85">
        <f t="shared" si="12"/>
        <v>222</v>
      </c>
      <c r="BR68" s="85">
        <f t="shared" si="12"/>
        <v>804362</v>
      </c>
      <c r="BS68" s="85">
        <f t="shared" si="12"/>
        <v>424211</v>
      </c>
      <c r="BT68" s="85">
        <f t="shared" si="12"/>
        <v>362557</v>
      </c>
      <c r="BU68" s="85">
        <f t="shared" si="12"/>
        <v>346264</v>
      </c>
      <c r="BV68" s="85">
        <f t="shared" si="12"/>
        <v>354100</v>
      </c>
      <c r="BW68" s="85">
        <f t="shared" si="12"/>
        <v>402947</v>
      </c>
      <c r="BX68" s="85">
        <f t="shared" si="12"/>
        <v>417917</v>
      </c>
      <c r="BY68" s="85">
        <f t="shared" si="12"/>
        <v>406051</v>
      </c>
      <c r="BZ68" s="85">
        <f t="shared" si="12"/>
        <v>504968</v>
      </c>
      <c r="CA68" s="72"/>
      <c r="CB68" s="73" t="s">
        <v>49</v>
      </c>
      <c r="CC68" s="84"/>
      <c r="CD68" s="84"/>
      <c r="CE68" s="71" t="s">
        <v>42</v>
      </c>
      <c r="CF68" s="72"/>
      <c r="CG68" s="85">
        <f t="shared" si="13"/>
        <v>-253</v>
      </c>
      <c r="CH68" s="85">
        <f t="shared" si="13"/>
        <v>814418</v>
      </c>
      <c r="CI68" s="85">
        <f t="shared" si="13"/>
        <v>250027</v>
      </c>
      <c r="CJ68" s="85">
        <f t="shared" si="13"/>
        <v>318088</v>
      </c>
      <c r="CK68" s="85">
        <f t="shared" si="13"/>
        <v>289051</v>
      </c>
      <c r="CL68" s="85">
        <f t="shared" si="13"/>
        <v>281156</v>
      </c>
      <c r="CM68" s="85">
        <f t="shared" si="13"/>
        <v>292061</v>
      </c>
      <c r="CN68" s="85">
        <f t="shared" si="13"/>
        <v>241056</v>
      </c>
      <c r="CO68" s="85">
        <f t="shared" si="13"/>
        <v>242017</v>
      </c>
      <c r="CP68" s="85">
        <f t="shared" si="13"/>
        <v>271732</v>
      </c>
      <c r="CQ68" s="72"/>
      <c r="CR68" s="73" t="s">
        <v>49</v>
      </c>
      <c r="CT68" s="84"/>
      <c r="CU68" s="71" t="s">
        <v>42</v>
      </c>
      <c r="CV68" s="72"/>
      <c r="CW68" s="85">
        <f t="shared" si="14"/>
        <v>2</v>
      </c>
      <c r="CX68" s="85">
        <f t="shared" si="14"/>
        <v>792193</v>
      </c>
      <c r="CY68" s="85">
        <f t="shared" si="14"/>
        <v>566459</v>
      </c>
      <c r="CZ68" s="85">
        <f t="shared" si="14"/>
        <v>495764</v>
      </c>
      <c r="DA68" s="85">
        <f t="shared" si="14"/>
        <v>518040</v>
      </c>
      <c r="DB68" s="85">
        <f t="shared" si="14"/>
        <v>536563</v>
      </c>
      <c r="DC68" s="85">
        <f t="shared" si="14"/>
        <v>539994</v>
      </c>
      <c r="DD68" s="85">
        <f t="shared" si="14"/>
        <v>535773</v>
      </c>
      <c r="DE68" s="85">
        <f t="shared" si="14"/>
        <v>515178</v>
      </c>
      <c r="DF68" s="85">
        <f t="shared" si="14"/>
        <v>551719</v>
      </c>
      <c r="DG68" s="72"/>
      <c r="DH68" s="73" t="s">
        <v>49</v>
      </c>
      <c r="DI68" s="84"/>
      <c r="DJ68" s="84"/>
      <c r="DK68" s="71" t="s">
        <v>42</v>
      </c>
      <c r="DL68" s="72"/>
      <c r="DM68" s="85">
        <f t="shared" si="15"/>
        <v>-517</v>
      </c>
      <c r="DN68" s="85">
        <f t="shared" si="15"/>
        <v>770084</v>
      </c>
      <c r="DO68" s="85">
        <f t="shared" si="15"/>
        <v>408696</v>
      </c>
      <c r="DP68" s="85">
        <f t="shared" si="15"/>
        <v>396322</v>
      </c>
      <c r="DQ68" s="85">
        <f t="shared" si="15"/>
        <v>414360</v>
      </c>
      <c r="DR68" s="85">
        <f t="shared" si="15"/>
        <v>402111</v>
      </c>
      <c r="DS68" s="85">
        <f t="shared" si="15"/>
        <v>425139</v>
      </c>
      <c r="DT68" s="85">
        <f t="shared" si="15"/>
        <v>383153</v>
      </c>
      <c r="DU68" s="85">
        <f t="shared" si="15"/>
        <v>403076</v>
      </c>
      <c r="DV68" s="85">
        <f t="shared" si="15"/>
        <v>441013</v>
      </c>
      <c r="DW68" s="72"/>
      <c r="DX68" s="73" t="s">
        <v>49</v>
      </c>
    </row>
    <row r="69" spans="2:128" ht="27" x14ac:dyDescent="0.2">
      <c r="C69" s="6" t="s">
        <v>43</v>
      </c>
      <c r="D69" s="15"/>
      <c r="E69" s="13">
        <f t="shared" si="8"/>
        <v>-69</v>
      </c>
      <c r="F69" s="13">
        <f t="shared" si="8"/>
        <v>767513</v>
      </c>
      <c r="G69" s="13">
        <f t="shared" si="8"/>
        <v>18901</v>
      </c>
      <c r="H69" s="13">
        <f t="shared" si="8"/>
        <v>17293</v>
      </c>
      <c r="I69" s="13">
        <f t="shared" si="8"/>
        <v>20936</v>
      </c>
      <c r="J69" s="13">
        <f t="shared" si="8"/>
        <v>20761</v>
      </c>
      <c r="K69" s="13">
        <f t="shared" si="8"/>
        <v>23411</v>
      </c>
      <c r="L69" s="13">
        <f t="shared" si="8"/>
        <v>18548</v>
      </c>
      <c r="M69" s="13">
        <f t="shared" si="8"/>
        <v>19184</v>
      </c>
      <c r="N69" s="13">
        <f t="shared" si="8"/>
        <v>19572</v>
      </c>
      <c r="O69" s="15"/>
      <c r="P69" s="8" t="s">
        <v>49</v>
      </c>
      <c r="S69" s="6" t="s">
        <v>43</v>
      </c>
      <c r="T69" s="15"/>
      <c r="U69" s="13">
        <f t="shared" si="9"/>
        <v>-50</v>
      </c>
      <c r="V69" s="13">
        <f t="shared" si="9"/>
        <v>762791</v>
      </c>
      <c r="W69" s="13">
        <f t="shared" si="9"/>
        <v>23081</v>
      </c>
      <c r="X69" s="13">
        <f t="shared" si="9"/>
        <v>25595</v>
      </c>
      <c r="Y69" s="13">
        <f t="shared" si="9"/>
        <v>23184</v>
      </c>
      <c r="Z69" s="13">
        <f t="shared" si="9"/>
        <v>21057</v>
      </c>
      <c r="AA69" s="13">
        <f t="shared" si="9"/>
        <v>21644</v>
      </c>
      <c r="AB69" s="13">
        <f t="shared" si="9"/>
        <v>20731</v>
      </c>
      <c r="AC69" s="13">
        <f t="shared" si="9"/>
        <v>21371</v>
      </c>
      <c r="AD69" s="13">
        <f t="shared" si="9"/>
        <v>21463</v>
      </c>
      <c r="AE69" s="15"/>
      <c r="AF69" s="8" t="s">
        <v>49</v>
      </c>
      <c r="AI69" s="6" t="s">
        <v>43</v>
      </c>
      <c r="AJ69" s="15"/>
      <c r="AK69" s="85">
        <f t="shared" ref="AK69:AT69" si="20">AK57-ROUND(AVERAGE($AK$53:$AK$58),0)</f>
        <v>-436</v>
      </c>
      <c r="AL69" s="85">
        <f t="shared" si="20"/>
        <v>805030</v>
      </c>
      <c r="AM69" s="85">
        <f t="shared" si="20"/>
        <v>76015</v>
      </c>
      <c r="AN69" s="85">
        <f t="shared" si="20"/>
        <v>67296</v>
      </c>
      <c r="AO69" s="85">
        <f t="shared" si="20"/>
        <v>88362</v>
      </c>
      <c r="AP69" s="85">
        <f t="shared" si="20"/>
        <v>70813</v>
      </c>
      <c r="AQ69" s="85">
        <f t="shared" si="20"/>
        <v>76063</v>
      </c>
      <c r="AR69" s="85">
        <f t="shared" si="20"/>
        <v>64850</v>
      </c>
      <c r="AS69" s="85">
        <f t="shared" si="20"/>
        <v>69928</v>
      </c>
      <c r="AT69" s="85">
        <f t="shared" si="20"/>
        <v>79731</v>
      </c>
      <c r="AU69" s="15"/>
      <c r="AV69" s="8" t="s">
        <v>49</v>
      </c>
      <c r="AY69" s="6" t="s">
        <v>43</v>
      </c>
      <c r="AZ69" s="15"/>
      <c r="BA69" s="85">
        <f t="shared" ref="BA69:BJ69" si="21">BA57-ROUND(AVERAGE($BA$53:$BA$58),0)</f>
        <v>268</v>
      </c>
      <c r="BB69" s="85">
        <f t="shared" si="21"/>
        <v>792348</v>
      </c>
      <c r="BC69" s="85">
        <f t="shared" si="21"/>
        <v>69592</v>
      </c>
      <c r="BD69" s="85">
        <f t="shared" si="21"/>
        <v>66464</v>
      </c>
      <c r="BE69" s="85">
        <f t="shared" si="21"/>
        <v>56100</v>
      </c>
      <c r="BF69" s="85">
        <f t="shared" si="21"/>
        <v>54889</v>
      </c>
      <c r="BG69" s="85">
        <f t="shared" si="21"/>
        <v>50885</v>
      </c>
      <c r="BH69" s="85">
        <f t="shared" si="21"/>
        <v>67669</v>
      </c>
      <c r="BI69" s="85">
        <f t="shared" si="21"/>
        <v>69602</v>
      </c>
      <c r="BJ69" s="85">
        <f t="shared" si="21"/>
        <v>69735</v>
      </c>
      <c r="BK69" s="15"/>
      <c r="BL69" s="8" t="s">
        <v>49</v>
      </c>
      <c r="BN69" s="84"/>
      <c r="BO69" s="71" t="s">
        <v>43</v>
      </c>
      <c r="BP69" s="72"/>
      <c r="BQ69" s="85">
        <f t="shared" si="12"/>
        <v>-501</v>
      </c>
      <c r="BR69" s="85">
        <f t="shared" si="12"/>
        <v>808977</v>
      </c>
      <c r="BS69" s="85">
        <f t="shared" si="12"/>
        <v>331922</v>
      </c>
      <c r="BT69" s="85">
        <f t="shared" si="12"/>
        <v>321906</v>
      </c>
      <c r="BU69" s="85">
        <f t="shared" si="12"/>
        <v>370229</v>
      </c>
      <c r="BV69" s="85">
        <f t="shared" si="12"/>
        <v>349613</v>
      </c>
      <c r="BW69" s="85">
        <f t="shared" si="12"/>
        <v>394385</v>
      </c>
      <c r="BX69" s="85">
        <f t="shared" si="12"/>
        <v>357715</v>
      </c>
      <c r="BY69" s="85">
        <f t="shared" si="12"/>
        <v>357700</v>
      </c>
      <c r="BZ69" s="85">
        <f t="shared" si="12"/>
        <v>377048</v>
      </c>
      <c r="CA69" s="72"/>
      <c r="CB69" s="73" t="s">
        <v>49</v>
      </c>
      <c r="CC69" s="84"/>
      <c r="CD69" s="84"/>
      <c r="CE69" s="71" t="s">
        <v>43</v>
      </c>
      <c r="CF69" s="72"/>
      <c r="CG69" s="85">
        <f t="shared" si="13"/>
        <v>405</v>
      </c>
      <c r="CH69" s="85">
        <f t="shared" si="13"/>
        <v>801636</v>
      </c>
      <c r="CI69" s="85">
        <f t="shared" si="13"/>
        <v>149976</v>
      </c>
      <c r="CJ69" s="85">
        <f t="shared" si="13"/>
        <v>145990</v>
      </c>
      <c r="CK69" s="85">
        <f t="shared" si="13"/>
        <v>144827</v>
      </c>
      <c r="CL69" s="85">
        <f t="shared" si="13"/>
        <v>115353</v>
      </c>
      <c r="CM69" s="85">
        <f t="shared" si="13"/>
        <v>116096</v>
      </c>
      <c r="CN69" s="85">
        <f t="shared" si="13"/>
        <v>139373</v>
      </c>
      <c r="CO69" s="85">
        <f t="shared" si="13"/>
        <v>147795</v>
      </c>
      <c r="CP69" s="85">
        <f t="shared" si="13"/>
        <v>166291</v>
      </c>
      <c r="CQ69" s="72"/>
      <c r="CR69" s="73" t="s">
        <v>49</v>
      </c>
      <c r="CT69" s="84"/>
      <c r="CU69" s="71" t="s">
        <v>43</v>
      </c>
      <c r="CV69" s="72"/>
      <c r="CW69" s="85">
        <f t="shared" si="14"/>
        <v>-57</v>
      </c>
      <c r="CX69" s="85">
        <f t="shared" si="14"/>
        <v>787953</v>
      </c>
      <c r="CY69" s="85">
        <f t="shared" si="14"/>
        <v>522044</v>
      </c>
      <c r="CZ69" s="85">
        <f t="shared" si="14"/>
        <v>490835</v>
      </c>
      <c r="DA69" s="85">
        <f t="shared" si="14"/>
        <v>503396</v>
      </c>
      <c r="DB69" s="85">
        <f t="shared" si="14"/>
        <v>489496</v>
      </c>
      <c r="DC69" s="85">
        <f t="shared" si="14"/>
        <v>517640</v>
      </c>
      <c r="DD69" s="85">
        <f t="shared" si="14"/>
        <v>526746</v>
      </c>
      <c r="DE69" s="85">
        <f t="shared" si="14"/>
        <v>533983</v>
      </c>
      <c r="DF69" s="85">
        <f t="shared" si="14"/>
        <v>525413</v>
      </c>
      <c r="DG69" s="72"/>
      <c r="DH69" s="73" t="s">
        <v>49</v>
      </c>
      <c r="DI69" s="84"/>
      <c r="DJ69" s="84"/>
      <c r="DK69" s="71" t="s">
        <v>43</v>
      </c>
      <c r="DL69" s="72"/>
      <c r="DM69" s="85">
        <f t="shared" si="15"/>
        <v>251</v>
      </c>
      <c r="DN69" s="85">
        <f t="shared" si="15"/>
        <v>778998</v>
      </c>
      <c r="DO69" s="85">
        <f t="shared" si="15"/>
        <v>214063</v>
      </c>
      <c r="DP69" s="85">
        <f t="shared" si="15"/>
        <v>247403</v>
      </c>
      <c r="DQ69" s="85">
        <f t="shared" si="15"/>
        <v>234024</v>
      </c>
      <c r="DR69" s="85">
        <f t="shared" si="15"/>
        <v>192735</v>
      </c>
      <c r="DS69" s="85">
        <f t="shared" si="15"/>
        <v>187034</v>
      </c>
      <c r="DT69" s="85">
        <f t="shared" si="15"/>
        <v>269461</v>
      </c>
      <c r="DU69" s="85">
        <f t="shared" si="15"/>
        <v>228380</v>
      </c>
      <c r="DV69" s="85">
        <f t="shared" si="15"/>
        <v>263832</v>
      </c>
      <c r="DW69" s="72"/>
      <c r="DX69" s="73" t="s">
        <v>49</v>
      </c>
    </row>
    <row r="70" spans="2:128" ht="27" x14ac:dyDescent="0.2">
      <c r="C70" s="6" t="s">
        <v>44</v>
      </c>
      <c r="D70" s="15"/>
      <c r="E70" s="13">
        <f>E58-ROUND(AVERAGE($E$53:$E$58),0)</f>
        <v>184</v>
      </c>
      <c r="F70" s="13">
        <f t="shared" si="8"/>
        <v>771019</v>
      </c>
      <c r="G70" s="13">
        <f t="shared" si="8"/>
        <v>18743</v>
      </c>
      <c r="H70" s="13">
        <f t="shared" si="8"/>
        <v>17197</v>
      </c>
      <c r="I70" s="13">
        <f t="shared" si="8"/>
        <v>17761</v>
      </c>
      <c r="J70" s="13">
        <f t="shared" si="8"/>
        <v>18225</v>
      </c>
      <c r="K70" s="13">
        <f t="shared" si="8"/>
        <v>19046</v>
      </c>
      <c r="L70" s="13">
        <f t="shared" si="8"/>
        <v>18312</v>
      </c>
      <c r="M70" s="13">
        <f t="shared" si="8"/>
        <v>19355</v>
      </c>
      <c r="N70" s="13">
        <f t="shared" si="8"/>
        <v>20486</v>
      </c>
      <c r="O70" s="15"/>
      <c r="P70" s="8" t="s">
        <v>49</v>
      </c>
      <c r="S70" s="6" t="s">
        <v>44</v>
      </c>
      <c r="T70" s="15"/>
      <c r="U70" s="13">
        <f t="shared" si="9"/>
        <v>-118</v>
      </c>
      <c r="V70" s="13">
        <f t="shared" si="9"/>
        <v>770228</v>
      </c>
      <c r="W70" s="13">
        <f t="shared" si="9"/>
        <v>21576</v>
      </c>
      <c r="X70" s="13">
        <f t="shared" si="9"/>
        <v>19978</v>
      </c>
      <c r="Y70" s="13">
        <f t="shared" si="9"/>
        <v>20854</v>
      </c>
      <c r="Z70" s="13">
        <f t="shared" si="9"/>
        <v>20483</v>
      </c>
      <c r="AA70" s="13">
        <f t="shared" si="9"/>
        <v>20928</v>
      </c>
      <c r="AB70" s="13">
        <f t="shared" si="9"/>
        <v>19071</v>
      </c>
      <c r="AC70" s="13">
        <f t="shared" si="9"/>
        <v>20952</v>
      </c>
      <c r="AD70" s="13">
        <f t="shared" si="9"/>
        <v>22437</v>
      </c>
      <c r="AE70" s="15"/>
      <c r="AF70" s="8" t="s">
        <v>49</v>
      </c>
      <c r="AI70" s="6" t="s">
        <v>44</v>
      </c>
      <c r="AJ70" s="15"/>
      <c r="AK70" s="85">
        <f t="shared" ref="AK70:AT70" si="22">AK58-ROUND(AVERAGE($AK$53:$AK$58),0)</f>
        <v>38</v>
      </c>
      <c r="AL70" s="85">
        <f t="shared" si="22"/>
        <v>801568</v>
      </c>
      <c r="AM70" s="85">
        <f t="shared" si="22"/>
        <v>53036</v>
      </c>
      <c r="AN70" s="85">
        <f t="shared" si="22"/>
        <v>57054</v>
      </c>
      <c r="AO70" s="85">
        <f t="shared" si="22"/>
        <v>68616</v>
      </c>
      <c r="AP70" s="85">
        <f t="shared" si="22"/>
        <v>76259</v>
      </c>
      <c r="AQ70" s="85">
        <f t="shared" si="22"/>
        <v>63237</v>
      </c>
      <c r="AR70" s="85">
        <f t="shared" si="22"/>
        <v>74869</v>
      </c>
      <c r="AS70" s="85">
        <f t="shared" si="22"/>
        <v>75953</v>
      </c>
      <c r="AT70" s="85">
        <f t="shared" si="22"/>
        <v>74907</v>
      </c>
      <c r="AU70" s="15"/>
      <c r="AV70" s="8" t="s">
        <v>49</v>
      </c>
      <c r="AY70" s="6" t="s">
        <v>44</v>
      </c>
      <c r="AZ70" s="15"/>
      <c r="BA70" s="85">
        <f t="shared" ref="BA70:BJ70" si="23">BA58-ROUND(AVERAGE($BA$53:$BA$58),0)</f>
        <v>550</v>
      </c>
      <c r="BB70" s="85">
        <f t="shared" si="23"/>
        <v>798235</v>
      </c>
      <c r="BC70" s="85">
        <f t="shared" si="23"/>
        <v>56523</v>
      </c>
      <c r="BD70" s="85">
        <f t="shared" si="23"/>
        <v>62082</v>
      </c>
      <c r="BE70" s="85">
        <f t="shared" si="23"/>
        <v>67482</v>
      </c>
      <c r="BF70" s="85">
        <f t="shared" si="23"/>
        <v>58620</v>
      </c>
      <c r="BG70" s="85">
        <f t="shared" si="23"/>
        <v>69978</v>
      </c>
      <c r="BH70" s="85">
        <f t="shared" si="23"/>
        <v>65088</v>
      </c>
      <c r="BI70" s="85">
        <f t="shared" si="23"/>
        <v>72807</v>
      </c>
      <c r="BJ70" s="85">
        <f t="shared" si="23"/>
        <v>70502</v>
      </c>
      <c r="BK70" s="15"/>
      <c r="BL70" s="8" t="s">
        <v>49</v>
      </c>
      <c r="BN70" s="84"/>
      <c r="BO70" s="71" t="s">
        <v>44</v>
      </c>
      <c r="BP70" s="72"/>
      <c r="BQ70" s="85">
        <f t="shared" si="12"/>
        <v>-333</v>
      </c>
      <c r="BR70" s="85">
        <f t="shared" si="12"/>
        <v>809093</v>
      </c>
      <c r="BS70" s="85">
        <f t="shared" si="12"/>
        <v>314237</v>
      </c>
      <c r="BT70" s="85">
        <f t="shared" si="12"/>
        <v>330891</v>
      </c>
      <c r="BU70" s="85">
        <f t="shared" si="12"/>
        <v>349682</v>
      </c>
      <c r="BV70" s="85">
        <f t="shared" si="12"/>
        <v>345521</v>
      </c>
      <c r="BW70" s="85">
        <f t="shared" si="12"/>
        <v>311836</v>
      </c>
      <c r="BX70" s="85">
        <f t="shared" si="12"/>
        <v>333586</v>
      </c>
      <c r="BY70" s="85">
        <f t="shared" si="12"/>
        <v>324652</v>
      </c>
      <c r="BZ70" s="85">
        <f t="shared" si="12"/>
        <v>345124</v>
      </c>
      <c r="CA70" s="72"/>
      <c r="CB70" s="73" t="s">
        <v>49</v>
      </c>
      <c r="CC70" s="84"/>
      <c r="CD70" s="84"/>
      <c r="CE70" s="71" t="s">
        <v>44</v>
      </c>
      <c r="CF70" s="72"/>
      <c r="CG70" s="85">
        <f t="shared" si="13"/>
        <v>-384</v>
      </c>
      <c r="CH70" s="85">
        <f t="shared" si="13"/>
        <v>817583</v>
      </c>
      <c r="CI70" s="85">
        <f t="shared" si="13"/>
        <v>66503</v>
      </c>
      <c r="CJ70" s="85">
        <f t="shared" si="13"/>
        <v>49583</v>
      </c>
      <c r="CK70" s="85">
        <f t="shared" si="13"/>
        <v>61236</v>
      </c>
      <c r="CL70" s="85">
        <f t="shared" si="13"/>
        <v>61081</v>
      </c>
      <c r="CM70" s="85">
        <f t="shared" si="13"/>
        <v>58647</v>
      </c>
      <c r="CN70" s="85">
        <f t="shared" si="13"/>
        <v>55652</v>
      </c>
      <c r="CO70" s="85">
        <f t="shared" si="13"/>
        <v>78890</v>
      </c>
      <c r="CP70" s="85">
        <f t="shared" si="13"/>
        <v>68021</v>
      </c>
      <c r="CQ70" s="72"/>
      <c r="CR70" s="73" t="s">
        <v>49</v>
      </c>
      <c r="CT70" s="84"/>
      <c r="CU70" s="71" t="s">
        <v>44</v>
      </c>
      <c r="CV70" s="72"/>
      <c r="CW70" s="85">
        <f t="shared" si="14"/>
        <v>-455</v>
      </c>
      <c r="CX70" s="85">
        <f t="shared" si="14"/>
        <v>788244</v>
      </c>
      <c r="CY70" s="85">
        <f t="shared" si="14"/>
        <v>476149</v>
      </c>
      <c r="CZ70" s="85">
        <f t="shared" si="14"/>
        <v>505705</v>
      </c>
      <c r="DA70" s="85">
        <f t="shared" si="14"/>
        <v>522130</v>
      </c>
      <c r="DB70" s="85">
        <f t="shared" si="14"/>
        <v>521375</v>
      </c>
      <c r="DC70" s="85">
        <f t="shared" si="14"/>
        <v>524757</v>
      </c>
      <c r="DD70" s="85">
        <f t="shared" si="14"/>
        <v>525580</v>
      </c>
      <c r="DE70" s="85">
        <f t="shared" si="14"/>
        <v>517801</v>
      </c>
      <c r="DF70" s="85">
        <f t="shared" si="14"/>
        <v>530454</v>
      </c>
      <c r="DG70" s="72"/>
      <c r="DH70" s="73" t="s">
        <v>49</v>
      </c>
      <c r="DI70" s="84"/>
      <c r="DJ70" s="84"/>
      <c r="DK70" s="71" t="s">
        <v>44</v>
      </c>
      <c r="DL70" s="72"/>
      <c r="DM70" s="85">
        <f t="shared" si="15"/>
        <v>-39</v>
      </c>
      <c r="DN70" s="85">
        <f t="shared" si="15"/>
        <v>790265</v>
      </c>
      <c r="DO70" s="85">
        <f t="shared" si="15"/>
        <v>44612</v>
      </c>
      <c r="DP70" s="85">
        <f t="shared" si="15"/>
        <v>40463</v>
      </c>
      <c r="DQ70" s="85">
        <f t="shared" si="15"/>
        <v>46490</v>
      </c>
      <c r="DR70" s="85">
        <f t="shared" si="15"/>
        <v>63749</v>
      </c>
      <c r="DS70" s="85">
        <f t="shared" si="15"/>
        <v>52848</v>
      </c>
      <c r="DT70" s="85">
        <f t="shared" si="15"/>
        <v>56221</v>
      </c>
      <c r="DU70" s="85">
        <f t="shared" si="15"/>
        <v>55408</v>
      </c>
      <c r="DV70" s="85">
        <f t="shared" si="15"/>
        <v>51357</v>
      </c>
      <c r="DW70" s="72"/>
      <c r="DX70" s="73" t="s">
        <v>49</v>
      </c>
    </row>
    <row r="71" spans="2:128" ht="27" x14ac:dyDescent="0.2">
      <c r="C71" s="6" t="s">
        <v>45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8" t="s">
        <v>49</v>
      </c>
      <c r="S71" s="6" t="s">
        <v>45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8" t="s">
        <v>49</v>
      </c>
      <c r="AI71" s="6" t="s">
        <v>45</v>
      </c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8" t="s">
        <v>49</v>
      </c>
      <c r="AY71" s="6" t="s">
        <v>45</v>
      </c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8" t="s">
        <v>49</v>
      </c>
      <c r="BN71" s="84"/>
      <c r="BO71" s="71" t="s">
        <v>45</v>
      </c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3" t="s">
        <v>49</v>
      </c>
      <c r="CC71" s="84"/>
      <c r="CD71" s="84"/>
      <c r="CE71" s="71" t="s">
        <v>45</v>
      </c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2"/>
      <c r="CR71" s="73" t="s">
        <v>49</v>
      </c>
      <c r="CT71" s="84"/>
      <c r="CU71" s="71" t="s">
        <v>45</v>
      </c>
      <c r="CV71" s="72"/>
      <c r="CW71" s="72"/>
      <c r="CX71" s="72"/>
      <c r="CY71" s="72"/>
      <c r="CZ71" s="72"/>
      <c r="DA71" s="72"/>
      <c r="DB71" s="72"/>
      <c r="DC71" s="72"/>
      <c r="DD71" s="72"/>
      <c r="DE71" s="72"/>
      <c r="DF71" s="72"/>
      <c r="DG71" s="72"/>
      <c r="DH71" s="73" t="s">
        <v>49</v>
      </c>
      <c r="DI71" s="84"/>
      <c r="DJ71" s="84"/>
      <c r="DK71" s="71" t="s">
        <v>45</v>
      </c>
      <c r="DL71" s="72"/>
      <c r="DM71" s="72"/>
      <c r="DN71" s="72"/>
      <c r="DO71" s="72"/>
      <c r="DP71" s="72"/>
      <c r="DQ71" s="72"/>
      <c r="DR71" s="72"/>
      <c r="DS71" s="72"/>
      <c r="DT71" s="72"/>
      <c r="DU71" s="72"/>
      <c r="DV71" s="72"/>
      <c r="DW71" s="72"/>
      <c r="DX71" s="73" t="s">
        <v>49</v>
      </c>
    </row>
    <row r="72" spans="2:128" x14ac:dyDescent="0.2"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</row>
    <row r="73" spans="2:128" x14ac:dyDescent="0.2"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</row>
    <row r="74" spans="2:128" x14ac:dyDescent="0.2">
      <c r="C74">
        <v>0</v>
      </c>
      <c r="D74" t="s">
        <v>78</v>
      </c>
      <c r="E74" t="s">
        <v>79</v>
      </c>
      <c r="F74" t="s">
        <v>80</v>
      </c>
      <c r="G74" t="s">
        <v>81</v>
      </c>
      <c r="H74" t="s">
        <v>82</v>
      </c>
      <c r="I74" t="s">
        <v>64</v>
      </c>
      <c r="S74" t="s">
        <v>83</v>
      </c>
      <c r="T74" t="s">
        <v>84</v>
      </c>
      <c r="U74" t="s">
        <v>85</v>
      </c>
      <c r="V74">
        <v>1</v>
      </c>
      <c r="W74">
        <v>2</v>
      </c>
      <c r="X74">
        <v>5</v>
      </c>
      <c r="Y74" t="s">
        <v>64</v>
      </c>
      <c r="AI74">
        <v>0</v>
      </c>
      <c r="AJ74" t="s">
        <v>78</v>
      </c>
      <c r="AK74" t="s">
        <v>79</v>
      </c>
      <c r="AL74" t="s">
        <v>80</v>
      </c>
      <c r="AM74" t="s">
        <v>81</v>
      </c>
      <c r="AN74" t="s">
        <v>82</v>
      </c>
      <c r="AO74" t="s">
        <v>64</v>
      </c>
      <c r="AY74" t="s">
        <v>83</v>
      </c>
      <c r="AZ74" t="s">
        <v>84</v>
      </c>
      <c r="BA74" t="s">
        <v>85</v>
      </c>
      <c r="BB74">
        <v>1</v>
      </c>
      <c r="BC74">
        <v>2</v>
      </c>
      <c r="BD74">
        <v>5</v>
      </c>
      <c r="BE74" t="s">
        <v>64</v>
      </c>
      <c r="BN74" s="84"/>
      <c r="BO74" s="84">
        <v>0</v>
      </c>
      <c r="BP74" s="84" t="s">
        <v>78</v>
      </c>
      <c r="BQ74" s="84" t="s">
        <v>79</v>
      </c>
      <c r="BR74" s="84" t="s">
        <v>80</v>
      </c>
      <c r="BS74" s="84" t="s">
        <v>81</v>
      </c>
      <c r="BT74" s="84" t="s">
        <v>82</v>
      </c>
      <c r="BU74" s="84" t="s">
        <v>64</v>
      </c>
      <c r="BV74" s="84"/>
      <c r="BW74" s="84"/>
      <c r="BX74" s="84"/>
      <c r="BY74" s="84"/>
      <c r="BZ74" s="84"/>
      <c r="CA74" s="84"/>
      <c r="CB74" s="84"/>
      <c r="CC74" s="84"/>
      <c r="CD74" s="84"/>
      <c r="CE74" s="84" t="s">
        <v>83</v>
      </c>
      <c r="CF74" s="84" t="s">
        <v>84</v>
      </c>
      <c r="CG74" s="84" t="s">
        <v>85</v>
      </c>
      <c r="CH74" s="84">
        <v>1</v>
      </c>
      <c r="CI74" s="84">
        <v>2</v>
      </c>
      <c r="CJ74" s="84">
        <v>5</v>
      </c>
      <c r="CK74" s="84" t="s">
        <v>64</v>
      </c>
      <c r="CL74" s="84"/>
      <c r="CM74" s="84"/>
      <c r="CN74" s="84"/>
      <c r="CO74" s="84"/>
      <c r="CP74" s="84"/>
      <c r="CQ74" s="84"/>
      <c r="CR74" s="84"/>
      <c r="CT74" s="84"/>
      <c r="CU74" s="84">
        <v>0</v>
      </c>
      <c r="CV74" s="84" t="s">
        <v>78</v>
      </c>
      <c r="CW74" s="84" t="s">
        <v>79</v>
      </c>
      <c r="CX74" s="84" t="s">
        <v>80</v>
      </c>
      <c r="CY74" s="84" t="s">
        <v>81</v>
      </c>
      <c r="CZ74" s="84" t="s">
        <v>82</v>
      </c>
      <c r="DA74" s="84" t="s">
        <v>64</v>
      </c>
      <c r="DB74" s="84"/>
      <c r="DC74" s="84"/>
      <c r="DD74" s="84"/>
      <c r="DE74" s="84"/>
      <c r="DF74" s="84"/>
      <c r="DG74" s="84"/>
      <c r="DH74" s="84"/>
      <c r="DI74" s="84"/>
      <c r="DJ74" s="84"/>
      <c r="DK74" s="84" t="s">
        <v>83</v>
      </c>
      <c r="DL74" s="84" t="s">
        <v>84</v>
      </c>
      <c r="DM74" s="84" t="s">
        <v>85</v>
      </c>
      <c r="DN74" s="84">
        <v>1</v>
      </c>
      <c r="DO74" s="84">
        <v>2</v>
      </c>
      <c r="DP74" s="84">
        <v>5</v>
      </c>
      <c r="DQ74" s="84" t="s">
        <v>64</v>
      </c>
      <c r="DR74" s="84"/>
      <c r="DS74" s="84"/>
      <c r="DT74" s="84"/>
      <c r="DU74" s="84"/>
      <c r="DV74" s="84"/>
      <c r="DW74" s="84"/>
      <c r="DX74" s="84"/>
    </row>
    <row r="75" spans="2:128" x14ac:dyDescent="0.2">
      <c r="B75" t="s">
        <v>57</v>
      </c>
      <c r="C75">
        <f xml:space="preserve"> ROUND(AVERAGE(G65:N65),0)</f>
        <v>16430</v>
      </c>
      <c r="D75">
        <f xml:space="preserve"> ROUND(AVERAGE(G66:N66),0)</f>
        <v>19664</v>
      </c>
      <c r="E75">
        <f xml:space="preserve"> ROUND(AVERAGE(G67:N67),0)</f>
        <v>20665</v>
      </c>
      <c r="F75">
        <f xml:space="preserve"> ROUND(AVERAGE(G68:N68),0)</f>
        <v>21382</v>
      </c>
      <c r="G75">
        <f xml:space="preserve"> ROUND(AVERAGE(G69:N69),0)</f>
        <v>19826</v>
      </c>
      <c r="H75">
        <f xml:space="preserve"> ROUND(AVERAGE(G70:N70),0)</f>
        <v>18641</v>
      </c>
      <c r="I75">
        <f xml:space="preserve"> ROUND(AVERAGE(F65:F70),0)</f>
        <v>766077</v>
      </c>
      <c r="R75" t="s">
        <v>57</v>
      </c>
      <c r="S75">
        <f xml:space="preserve"> ROUND(AVERAGE(W65:AD65),0)</f>
        <v>20499</v>
      </c>
      <c r="T75">
        <f xml:space="preserve"> ROUND(AVERAGE(W66:AD66),0)</f>
        <v>21976</v>
      </c>
      <c r="U75">
        <f xml:space="preserve"> ROUND(AVERAGE(W67:AD67),0)</f>
        <v>22410</v>
      </c>
      <c r="V75">
        <f xml:space="preserve"> ROUND(AVERAGE(W68:AD68),0)</f>
        <v>22653</v>
      </c>
      <c r="W75">
        <f xml:space="preserve"> ROUND(AVERAGE(W69:AD69),0)</f>
        <v>22266</v>
      </c>
      <c r="X75">
        <f xml:space="preserve"> ROUND(AVERAGE(W70:AD70),0)</f>
        <v>20785</v>
      </c>
      <c r="Y75">
        <f xml:space="preserve"> ROUND(AVERAGE(V65:V70),0)</f>
        <v>764476</v>
      </c>
      <c r="AH75" t="s">
        <v>57</v>
      </c>
      <c r="AI75">
        <f xml:space="preserve"> ROUND(AVERAGE(AM65:AT65),0)</f>
        <v>67264</v>
      </c>
      <c r="AJ75">
        <f xml:space="preserve"> ROUND(AVERAGE(AM66:AT66),0)</f>
        <v>70631</v>
      </c>
      <c r="AK75">
        <f xml:space="preserve"> ROUND(AVERAGE(AM67:AT67),0)</f>
        <v>81571</v>
      </c>
      <c r="AL75">
        <f xml:space="preserve"> ROUND(AVERAGE(AM68:AT68),0)</f>
        <v>76143</v>
      </c>
      <c r="AM75">
        <f xml:space="preserve"> ROUND(AVERAGE(AM69:AT69),0)</f>
        <v>74132</v>
      </c>
      <c r="AN75">
        <f xml:space="preserve"> ROUND(AVERAGE(AM70:AT70),0)</f>
        <v>67991</v>
      </c>
      <c r="AO75">
        <f xml:space="preserve"> ROUND(AVERAGE(AL65:AL70),0)</f>
        <v>803849</v>
      </c>
      <c r="AX75" t="s">
        <v>57</v>
      </c>
      <c r="AY75">
        <f xml:space="preserve"> ROUND(AVERAGE(BC65:BJ65),0)</f>
        <v>64689</v>
      </c>
      <c r="AZ75">
        <f xml:space="preserve"> ROUND(AVERAGE(BC66:BJ66),0)</f>
        <v>73310</v>
      </c>
      <c r="BA75">
        <f xml:space="preserve"> ROUND(AVERAGE(BC67:BJ67),0)</f>
        <v>81985</v>
      </c>
      <c r="BB75">
        <f xml:space="preserve"> ROUND(AVERAGE(BC68:BJ68),0)</f>
        <v>79074</v>
      </c>
      <c r="BC75">
        <f xml:space="preserve"> ROUND(AVERAGE(BC69:BJ69),0)</f>
        <v>63117</v>
      </c>
      <c r="BD75">
        <f xml:space="preserve"> ROUND(AVERAGE(BC70:BJ70),0)</f>
        <v>65385</v>
      </c>
      <c r="BE75">
        <f xml:space="preserve"> ROUND(AVERAGE(BB65:BB70),0)</f>
        <v>800921</v>
      </c>
      <c r="BN75" s="84" t="s">
        <v>57</v>
      </c>
      <c r="BO75" s="84">
        <f xml:space="preserve"> ROUND(AVERAGE(BS65:BZ65),0)</f>
        <v>400436</v>
      </c>
      <c r="BP75" s="84">
        <f xml:space="preserve"> ROUND(AVERAGE(BS66:BZ66),0)</f>
        <v>441482</v>
      </c>
      <c r="BQ75" s="84">
        <f xml:space="preserve"> ROUND(AVERAGE(BS67:BZ67),0)</f>
        <v>420714</v>
      </c>
      <c r="BR75" s="84">
        <f xml:space="preserve"> ROUND(AVERAGE(BS68:BZ68),0)</f>
        <v>402377</v>
      </c>
      <c r="BS75" s="84">
        <f xml:space="preserve"> ROUND(AVERAGE(BS69:BZ69),0)</f>
        <v>357565</v>
      </c>
      <c r="BT75" s="84">
        <f xml:space="preserve"> ROUND(AVERAGE(BS70:BZ70),0)</f>
        <v>331941</v>
      </c>
      <c r="BU75" s="84">
        <f xml:space="preserve"> ROUND(AVERAGE(BR65:BR70),0)</f>
        <v>807022</v>
      </c>
      <c r="BV75" s="84"/>
      <c r="BW75" s="84"/>
      <c r="BX75" s="84"/>
      <c r="BY75" s="84"/>
      <c r="BZ75" s="84"/>
      <c r="CA75" s="84"/>
      <c r="CB75" s="84"/>
      <c r="CC75" s="84"/>
      <c r="CD75" s="84" t="s">
        <v>57</v>
      </c>
      <c r="CE75" s="84">
        <f xml:space="preserve"> ROUND(AVERAGE(CI65:CP65),0)</f>
        <v>253958</v>
      </c>
      <c r="CF75" s="84">
        <f xml:space="preserve"> ROUND(AVERAGE(CI66:CP66),0)</f>
        <v>264489</v>
      </c>
      <c r="CG75" s="84">
        <f xml:space="preserve"> ROUND(AVERAGE(CI67:CP67),0)</f>
        <v>267265</v>
      </c>
      <c r="CH75" s="84">
        <f xml:space="preserve"> ROUND(AVERAGE(CI68:CP68),0)</f>
        <v>273149</v>
      </c>
      <c r="CI75" s="84">
        <f xml:space="preserve"> ROUND(AVERAGE(CI69:CP69),0)</f>
        <v>140713</v>
      </c>
      <c r="CJ75" s="84">
        <f xml:space="preserve"> ROUND(AVERAGE(CI70:CP70),0)</f>
        <v>62452</v>
      </c>
      <c r="CK75" s="84">
        <f xml:space="preserve"> ROUND(AVERAGE(CH65:CH70),0)</f>
        <v>810965</v>
      </c>
      <c r="CL75" s="84"/>
      <c r="CM75" s="84"/>
      <c r="CN75" s="84"/>
      <c r="CO75" s="84"/>
      <c r="CP75" s="84"/>
      <c r="CQ75" s="84"/>
      <c r="CR75" s="84"/>
      <c r="CT75" s="84" t="s">
        <v>57</v>
      </c>
      <c r="CU75" s="84">
        <f xml:space="preserve"> ROUND(AVERAGE(CY65:DF65),0)</f>
        <v>549614</v>
      </c>
      <c r="CV75" s="84">
        <f xml:space="preserve"> ROUND(AVERAGE(CY66:DF66),0)</f>
        <v>553540</v>
      </c>
      <c r="CW75" s="84">
        <f xml:space="preserve"> ROUND(AVERAGE(CY67:DF67),0)</f>
        <v>550303</v>
      </c>
      <c r="CX75" s="84">
        <f xml:space="preserve"> ROUND(AVERAGE(CY68:DF68),0)</f>
        <v>532436</v>
      </c>
      <c r="CY75" s="84">
        <f xml:space="preserve"> ROUND(AVERAGE(CY69:DF69),0)</f>
        <v>513694</v>
      </c>
      <c r="CZ75" s="84">
        <f xml:space="preserve"> ROUND(AVERAGE(CY70:DF70),0)</f>
        <v>515494</v>
      </c>
      <c r="DA75" s="84">
        <f xml:space="preserve"> ROUND(AVERAGE(CX65:CX70),0)</f>
        <v>790932</v>
      </c>
      <c r="DB75" s="84"/>
      <c r="DC75" s="84"/>
      <c r="DD75" s="84"/>
      <c r="DE75" s="84"/>
      <c r="DF75" s="84"/>
      <c r="DG75" s="84"/>
      <c r="DH75" s="84"/>
      <c r="DI75" s="84"/>
      <c r="DJ75" s="84" t="s">
        <v>57</v>
      </c>
      <c r="DK75" s="84">
        <f xml:space="preserve"> ROUND(AVERAGE(DO65:DV65),0)</f>
        <v>448739</v>
      </c>
      <c r="DL75" s="84">
        <f xml:space="preserve"> ROUND(AVERAGE(DO66:DV66),0)</f>
        <v>483461</v>
      </c>
      <c r="DM75" s="84">
        <f xml:space="preserve"> ROUND(AVERAGE(DO67:DV67),0)</f>
        <v>461110</v>
      </c>
      <c r="DN75" s="84">
        <f xml:space="preserve"> ROUND(AVERAGE(DO68:DV68),0)</f>
        <v>409234</v>
      </c>
      <c r="DO75" s="84">
        <f xml:space="preserve"> ROUND(AVERAGE(DO69:DV69),0)</f>
        <v>229617</v>
      </c>
      <c r="DP75" s="84">
        <f xml:space="preserve"> ROUND(AVERAGE(DO70:DV70),0)</f>
        <v>51394</v>
      </c>
      <c r="DQ75" s="84">
        <f xml:space="preserve"> ROUND(AVERAGE(DN65:DN70),0)</f>
        <v>782320</v>
      </c>
      <c r="DR75" s="84"/>
      <c r="DS75" s="84"/>
      <c r="DT75" s="84"/>
      <c r="DU75" s="84"/>
      <c r="DV75" s="84"/>
      <c r="DW75" s="84"/>
      <c r="DX75" s="84"/>
    </row>
    <row r="76" spans="2:128" x14ac:dyDescent="0.2">
      <c r="B76" t="s">
        <v>56</v>
      </c>
      <c r="C76">
        <f>ROUND(_xlfn.STDEV.P(G65:N65),0)</f>
        <v>527</v>
      </c>
      <c r="D76">
        <f>ROUND(_xlfn.STDEV.P(G66:N66),0)</f>
        <v>1034</v>
      </c>
      <c r="E76">
        <f>ROUND(_xlfn.STDEV.P(G67:N67),0)</f>
        <v>1349</v>
      </c>
      <c r="F76">
        <f>ROUND(_xlfn.STDEV.P(G68:N68),0)</f>
        <v>1724</v>
      </c>
      <c r="G76">
        <f>ROUND(_xlfn.STDEV.P(G69:N69),0)</f>
        <v>1744</v>
      </c>
      <c r="H76">
        <f>ROUND(_xlfn.STDEV.P(G70:N70),0)</f>
        <v>951</v>
      </c>
      <c r="I76">
        <f>ROUND(_xlfn.STDEV.P(F65:F70),0)</f>
        <v>4527</v>
      </c>
      <c r="R76" t="s">
        <v>56</v>
      </c>
      <c r="S76">
        <f>ROUND(_xlfn.STDEV.P(W65:AD65),0)</f>
        <v>1106</v>
      </c>
      <c r="T76">
        <f>ROUND(_xlfn.STDEV.P(W66:AD66),0)</f>
        <v>782</v>
      </c>
      <c r="U76">
        <f>ROUND(_xlfn.STDEV.P(W67:AD67),0)</f>
        <v>2110</v>
      </c>
      <c r="V76">
        <f>ROUND(_xlfn.STDEV.P(W68:AD68),0)</f>
        <v>2059</v>
      </c>
      <c r="W76">
        <f>ROUND(_xlfn.STDEV.P(W69:AD69),0)</f>
        <v>1510</v>
      </c>
      <c r="X76">
        <f>ROUND(_xlfn.STDEV.P(W70:AD70),0)</f>
        <v>941</v>
      </c>
      <c r="Y76">
        <f>ROUND(_xlfn.STDEV.P(V65:V70),0)</f>
        <v>4944</v>
      </c>
      <c r="AH76" t="s">
        <v>56</v>
      </c>
      <c r="AI76">
        <f>ROUND(_xlfn.STDEV.P(AM65:AT65),0)</f>
        <v>6297</v>
      </c>
      <c r="AJ76">
        <f>ROUND(_xlfn.STDEV.P(AM66:AT66),0)</f>
        <v>6377</v>
      </c>
      <c r="AK76">
        <f>ROUND(_xlfn.STDEV.P(AM67:AT67),0)</f>
        <v>12360</v>
      </c>
      <c r="AL76">
        <f>ROUND(_xlfn.STDEV.P(AM68:AT68),0)</f>
        <v>5607</v>
      </c>
      <c r="AM76">
        <f>ROUND(_xlfn.STDEV.P(AM69:AT69),0)</f>
        <v>7095</v>
      </c>
      <c r="AN76">
        <f>ROUND(_xlfn.STDEV.P(AM70:AT70),0)</f>
        <v>8611</v>
      </c>
      <c r="AO76">
        <f>ROUND(_xlfn.STDEV.P(AL65:AL70),0)</f>
        <v>1804</v>
      </c>
      <c r="AX76" t="s">
        <v>56</v>
      </c>
      <c r="AY76">
        <f>ROUND(_xlfn.STDEV.P(BC65:BJ65),0)</f>
        <v>9516</v>
      </c>
      <c r="AZ76">
        <f>ROUND(_xlfn.STDEV.P(BC66:BJ66),0)</f>
        <v>6785</v>
      </c>
      <c r="BA76">
        <f>ROUND(_xlfn.STDEV.P(BC67:BJ67),0)</f>
        <v>7788</v>
      </c>
      <c r="BB76">
        <f>ROUND(_xlfn.STDEV.P(BC68:BJ68),0)</f>
        <v>7602</v>
      </c>
      <c r="BC76">
        <f>ROUND(_xlfn.STDEV.P(BC69:BJ69),0)</f>
        <v>7300</v>
      </c>
      <c r="BD76">
        <f>ROUND(_xlfn.STDEV.P(BC70:BJ70),0)</f>
        <v>5501</v>
      </c>
      <c r="BE76">
        <f>ROUND(_xlfn.STDEV.P(BB65:BB70),0)</f>
        <v>4675</v>
      </c>
      <c r="BN76" s="84" t="s">
        <v>56</v>
      </c>
      <c r="BO76" s="84">
        <f>ROUND(_xlfn.STDEV.P(BS65:BZ65),0)</f>
        <v>62311</v>
      </c>
      <c r="BP76" s="84">
        <f>ROUND(_xlfn.STDEV.P(BS66:BZ66),0)</f>
        <v>46267</v>
      </c>
      <c r="BQ76" s="84">
        <f>ROUND(_xlfn.STDEV.P(BS67:BZ67),0)</f>
        <v>52075</v>
      </c>
      <c r="BR76" s="84">
        <f>ROUND(_xlfn.STDEV.P(BS68:BZ68),0)</f>
        <v>47856</v>
      </c>
      <c r="BS76" s="84">
        <f>ROUND(_xlfn.STDEV.P(BS69:BZ69),0)</f>
        <v>22046</v>
      </c>
      <c r="BT76" s="84">
        <f>ROUND(_xlfn.STDEV.P(BS70:BZ70),0)</f>
        <v>13451</v>
      </c>
      <c r="BU76" s="84">
        <f>ROUND(_xlfn.STDEV.P(BR65:BR70),0)</f>
        <v>2770</v>
      </c>
      <c r="BV76" s="84"/>
      <c r="BW76" s="84"/>
      <c r="BX76" s="84"/>
      <c r="BY76" s="84"/>
      <c r="BZ76" s="84"/>
      <c r="CA76" s="84"/>
      <c r="CB76" s="84"/>
      <c r="CC76" s="84"/>
      <c r="CD76" s="84" t="s">
        <v>56</v>
      </c>
      <c r="CE76" s="84">
        <f>ROUND(_xlfn.STDEV.P(CI65:CP65),0)</f>
        <v>34354</v>
      </c>
      <c r="CF76" s="84">
        <f>ROUND(_xlfn.STDEV.P(CI66:CP66),0)</f>
        <v>14204</v>
      </c>
      <c r="CG76" s="84">
        <f>ROUND(_xlfn.STDEV.P(CI67:CP67),0)</f>
        <v>27828</v>
      </c>
      <c r="CH76" s="84">
        <f>ROUND(_xlfn.STDEV.P(CI68:CP68),0)</f>
        <v>25568</v>
      </c>
      <c r="CI76" s="84">
        <f>ROUND(_xlfn.STDEV.P(CI69:CP69),0)</f>
        <v>16147</v>
      </c>
      <c r="CJ76" s="84">
        <f>ROUND(_xlfn.STDEV.P(CI70:CP70),0)</f>
        <v>8271</v>
      </c>
      <c r="CK76" s="84">
        <f>ROUND(_xlfn.STDEV.P(CH65:CH70),0)</f>
        <v>6034</v>
      </c>
      <c r="CL76" s="84"/>
      <c r="CM76" s="84"/>
      <c r="CN76" s="84"/>
      <c r="CO76" s="84"/>
      <c r="CP76" s="84"/>
      <c r="CQ76" s="84"/>
      <c r="CR76" s="84"/>
      <c r="CT76" s="84" t="s">
        <v>56</v>
      </c>
      <c r="CU76" s="84">
        <f>ROUND(_xlfn.STDEV.P(CY65:DF65),0)</f>
        <v>29683</v>
      </c>
      <c r="CV76" s="84">
        <f>ROUND(_xlfn.STDEV.P(CY66:DF66),0)</f>
        <v>16899</v>
      </c>
      <c r="CW76" s="84">
        <f>ROUND(_xlfn.STDEV.P(CY67:DF67),0)</f>
        <v>17345</v>
      </c>
      <c r="CX76" s="84">
        <f>ROUND(_xlfn.STDEV.P(CY68:DF68),0)</f>
        <v>20810</v>
      </c>
      <c r="CY76" s="84">
        <f>ROUND(_xlfn.STDEV.P(CY69:DF69),0)</f>
        <v>15885</v>
      </c>
      <c r="CZ76" s="84">
        <f>ROUND(_xlfn.STDEV.P(CY70:DF70),0)</f>
        <v>16352</v>
      </c>
      <c r="DA76" s="84">
        <f>ROUND(_xlfn.STDEV.P(CX65:CX70),0)</f>
        <v>3051</v>
      </c>
      <c r="DB76" s="84"/>
      <c r="DC76" s="84"/>
      <c r="DD76" s="84"/>
      <c r="DE76" s="84"/>
      <c r="DF76" s="84"/>
      <c r="DG76" s="84"/>
      <c r="DH76" s="84"/>
      <c r="DI76" s="84"/>
      <c r="DJ76" s="84" t="s">
        <v>56</v>
      </c>
      <c r="DK76" s="84">
        <f>ROUND(_xlfn.STDEV.P(DO65:DV65),0)</f>
        <v>47789</v>
      </c>
      <c r="DL76" s="84">
        <f>ROUND(_xlfn.STDEV.P(DO66:DV66),0)</f>
        <v>23566</v>
      </c>
      <c r="DM76" s="84">
        <f>ROUND(_xlfn.STDEV.P(DO67:DV67),0)</f>
        <v>30150</v>
      </c>
      <c r="DN76" s="84">
        <f>ROUND(_xlfn.STDEV.P(DO68:DV68),0)</f>
        <v>16677</v>
      </c>
      <c r="DO76" s="84">
        <f>ROUND(_xlfn.STDEV.P(DO69:DV69),0)</f>
        <v>28529</v>
      </c>
      <c r="DP76" s="84">
        <f>ROUND(_xlfn.STDEV.P(DO70:DV70),0)</f>
        <v>6926</v>
      </c>
      <c r="DQ76" s="84">
        <f>ROUND(_xlfn.STDEV.P(DN65:DN70),0)</f>
        <v>8114</v>
      </c>
      <c r="DR76" s="84"/>
      <c r="DS76" s="84"/>
      <c r="DT76" s="84"/>
      <c r="DU76" s="84"/>
      <c r="DV76" s="84"/>
      <c r="DW76" s="84"/>
      <c r="DX76" s="84"/>
    </row>
    <row r="77" spans="2:128" x14ac:dyDescent="0.2"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</row>
    <row r="78" spans="2:128" x14ac:dyDescent="0.2">
      <c r="L78" t="s">
        <v>73</v>
      </c>
      <c r="M78">
        <v>0</v>
      </c>
      <c r="N78">
        <v>2.5000000000000001E-2</v>
      </c>
      <c r="O78">
        <v>0.05</v>
      </c>
      <c r="P78">
        <v>0.1</v>
      </c>
      <c r="Q78">
        <v>0.2</v>
      </c>
      <c r="R78">
        <v>0.3</v>
      </c>
      <c r="S78">
        <v>0.4</v>
      </c>
      <c r="T78">
        <v>0.6</v>
      </c>
      <c r="U78">
        <v>0.8</v>
      </c>
      <c r="V78">
        <v>1</v>
      </c>
      <c r="W78">
        <v>2</v>
      </c>
      <c r="X78">
        <v>5</v>
      </c>
      <c r="AR78" t="s">
        <v>73</v>
      </c>
      <c r="AS78">
        <v>0</v>
      </c>
      <c r="AT78">
        <v>2.5000000000000001E-2</v>
      </c>
      <c r="AU78">
        <v>0.05</v>
      </c>
      <c r="AV78">
        <v>0.1</v>
      </c>
      <c r="AW78">
        <v>0.2</v>
      </c>
      <c r="AX78">
        <v>0.3</v>
      </c>
      <c r="AY78">
        <v>0.4</v>
      </c>
      <c r="AZ78">
        <v>0.6</v>
      </c>
      <c r="BA78">
        <v>0.8</v>
      </c>
      <c r="BB78">
        <v>1</v>
      </c>
      <c r="BC78">
        <v>2</v>
      </c>
      <c r="BD78">
        <v>5</v>
      </c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 t="s">
        <v>73</v>
      </c>
      <c r="BY78" s="84">
        <v>0</v>
      </c>
      <c r="BZ78" s="84">
        <v>2.5000000000000001E-2</v>
      </c>
      <c r="CA78" s="84">
        <v>0.05</v>
      </c>
      <c r="CB78" s="84">
        <v>0.1</v>
      </c>
      <c r="CC78" s="84">
        <v>0.2</v>
      </c>
      <c r="CD78" s="84">
        <v>0.3</v>
      </c>
      <c r="CE78" s="84">
        <v>0.4</v>
      </c>
      <c r="CF78" s="84">
        <v>0.6</v>
      </c>
      <c r="CG78" s="84">
        <v>0.8</v>
      </c>
      <c r="CH78" s="84">
        <v>1</v>
      </c>
      <c r="CI78" s="84">
        <v>2</v>
      </c>
      <c r="CJ78" s="84">
        <v>5</v>
      </c>
      <c r="CK78" s="84"/>
      <c r="CL78" s="84"/>
      <c r="CM78" s="84"/>
      <c r="CN78" s="84"/>
      <c r="CO78" s="84"/>
      <c r="CP78" s="84"/>
      <c r="CQ78" s="84"/>
      <c r="CR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 t="s">
        <v>73</v>
      </c>
      <c r="DE78" s="84">
        <v>0</v>
      </c>
      <c r="DF78" s="84">
        <v>2.5000000000000001E-2</v>
      </c>
      <c r="DG78" s="84">
        <v>0.05</v>
      </c>
      <c r="DH78" s="84">
        <v>0.1</v>
      </c>
      <c r="DI78" s="84">
        <v>0.2</v>
      </c>
      <c r="DJ78" s="84">
        <v>0.3</v>
      </c>
      <c r="DK78" s="84">
        <v>0.4</v>
      </c>
      <c r="DL78" s="84">
        <v>0.6</v>
      </c>
      <c r="DM78" s="84">
        <v>0.8</v>
      </c>
      <c r="DN78" s="84">
        <v>1</v>
      </c>
      <c r="DO78" s="84">
        <v>2</v>
      </c>
      <c r="DP78" s="84">
        <v>5</v>
      </c>
      <c r="DQ78" s="84"/>
      <c r="DR78" s="84"/>
      <c r="DS78" s="84"/>
      <c r="DT78" s="84"/>
      <c r="DU78" s="84"/>
      <c r="DV78" s="84"/>
      <c r="DW78" s="84"/>
      <c r="DX78" s="84"/>
    </row>
    <row r="79" spans="2:128" x14ac:dyDescent="0.2">
      <c r="L79" t="s">
        <v>57</v>
      </c>
      <c r="M79">
        <f t="shared" ref="M79:R80" si="24">C75/$I$75</f>
        <v>2.1446930269411562E-2</v>
      </c>
      <c r="N79">
        <f t="shared" si="24"/>
        <v>2.5668438029075407E-2</v>
      </c>
      <c r="O79">
        <f t="shared" si="24"/>
        <v>2.6975095192780883E-2</v>
      </c>
      <c r="P79">
        <f t="shared" si="24"/>
        <v>2.7911032441908581E-2</v>
      </c>
      <c r="Q79">
        <f t="shared" si="24"/>
        <v>2.5879905022602168E-2</v>
      </c>
      <c r="R79">
        <f t="shared" si="24"/>
        <v>2.4333063125508272E-2</v>
      </c>
      <c r="S79">
        <f>S75/$Y$75</f>
        <v>2.681444545021688E-2</v>
      </c>
      <c r="T79">
        <f t="shared" ref="T79:X80" si="25">T75/$Y$75</f>
        <v>2.8746487790329584E-2</v>
      </c>
      <c r="U79">
        <f t="shared" si="25"/>
        <v>2.9314196913964599E-2</v>
      </c>
      <c r="V79">
        <f t="shared" si="25"/>
        <v>2.963206169977867E-2</v>
      </c>
      <c r="W79">
        <f t="shared" si="25"/>
        <v>2.9125832596445148E-2</v>
      </c>
      <c r="X79">
        <f t="shared" si="25"/>
        <v>2.7188557914179123E-2</v>
      </c>
      <c r="AR79" t="s">
        <v>57</v>
      </c>
      <c r="AS79">
        <f>AI75/$AO$75</f>
        <v>8.3677407075209403E-2</v>
      </c>
      <c r="AT79" s="84">
        <f t="shared" ref="AT79:AX79" si="26">AJ75/$AO$75</f>
        <v>8.7866004684959489E-2</v>
      </c>
      <c r="AU79" s="84">
        <f t="shared" si="26"/>
        <v>0.10147552587612847</v>
      </c>
      <c r="AV79" s="84">
        <f t="shared" si="26"/>
        <v>9.4723013899376624E-2</v>
      </c>
      <c r="AW79" s="84">
        <f t="shared" si="26"/>
        <v>9.2221300269080389E-2</v>
      </c>
      <c r="AX79" s="84">
        <f t="shared" si="26"/>
        <v>8.4581805786907743E-2</v>
      </c>
      <c r="AY79">
        <f>AY75/$BE$75</f>
        <v>8.0768265534303635E-2</v>
      </c>
      <c r="AZ79" s="84">
        <f t="shared" ref="AZ79:BD79" si="27">AZ75/$BE$75</f>
        <v>9.1532123642656393E-2</v>
      </c>
      <c r="BA79" s="84">
        <f t="shared" si="27"/>
        <v>0.10236340413099419</v>
      </c>
      <c r="BB79" s="84">
        <f t="shared" si="27"/>
        <v>9.8728838424763488E-2</v>
      </c>
      <c r="BC79" s="84">
        <f t="shared" si="27"/>
        <v>7.8805525139183513E-2</v>
      </c>
      <c r="BD79" s="84">
        <f t="shared" si="27"/>
        <v>8.1637265098555289E-2</v>
      </c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 t="s">
        <v>57</v>
      </c>
      <c r="BY79" s="84">
        <f>BO75/$BU$75</f>
        <v>0.49618969495255394</v>
      </c>
      <c r="BZ79" s="84">
        <f t="shared" ref="BZ79:CD79" si="28">BP75/$BU$75</f>
        <v>0.54705076193709712</v>
      </c>
      <c r="CA79" s="84">
        <f t="shared" si="28"/>
        <v>0.52131664316462256</v>
      </c>
      <c r="CB79" s="84">
        <f t="shared" si="28"/>
        <v>0.49859483384591746</v>
      </c>
      <c r="CC79" s="84">
        <f t="shared" si="28"/>
        <v>0.44306722741139648</v>
      </c>
      <c r="CD79" s="84">
        <f t="shared" si="28"/>
        <v>0.4113159244729388</v>
      </c>
      <c r="CE79" s="84">
        <f>CE75/$CK$75</f>
        <v>0.31315531496427096</v>
      </c>
      <c r="CF79" s="84">
        <f t="shared" ref="CF79:CI79" si="29">CF75/$CK$75</f>
        <v>0.32614107883817428</v>
      </c>
      <c r="CG79" s="84">
        <f t="shared" si="29"/>
        <v>0.32956416121534221</v>
      </c>
      <c r="CH79" s="84">
        <f t="shared" si="29"/>
        <v>0.33681971478423856</v>
      </c>
      <c r="CI79" s="84">
        <f t="shared" si="29"/>
        <v>0.17351303693747572</v>
      </c>
      <c r="CJ79" s="84">
        <f t="shared" ref="CJ79" si="30">CJ75/$CK$75</f>
        <v>7.7009488695566397E-2</v>
      </c>
      <c r="CK79" s="84"/>
      <c r="CL79" s="84"/>
      <c r="CM79" s="84"/>
      <c r="CN79" s="84"/>
      <c r="CO79" s="84"/>
      <c r="CP79" s="84"/>
      <c r="CQ79" s="84"/>
      <c r="CR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 t="s">
        <v>57</v>
      </c>
      <c r="DE79" s="84">
        <f>CU75/$DA$75</f>
        <v>0.69489412490580738</v>
      </c>
      <c r="DF79" s="84">
        <f t="shared" ref="DF79:DJ80" si="31">CV75/$DA$75</f>
        <v>0.69985788917378489</v>
      </c>
      <c r="DG79" s="84">
        <f t="shared" si="31"/>
        <v>0.69576524909853188</v>
      </c>
      <c r="DH79" s="84">
        <f t="shared" si="31"/>
        <v>0.67317544365381599</v>
      </c>
      <c r="DI79" s="84">
        <f t="shared" si="31"/>
        <v>0.64947934841427579</v>
      </c>
      <c r="DJ79" s="84">
        <f t="shared" si="31"/>
        <v>0.65175514456362871</v>
      </c>
      <c r="DK79" s="84">
        <f>DK75/$DQ$75</f>
        <v>0.57360031700582881</v>
      </c>
      <c r="DL79" s="84">
        <f t="shared" ref="DL79:DP80" si="32">DL75/$DQ$75</f>
        <v>0.61798368953880767</v>
      </c>
      <c r="DM79" s="84">
        <f t="shared" si="32"/>
        <v>0.58941353921668882</v>
      </c>
      <c r="DN79" s="84">
        <f t="shared" si="32"/>
        <v>0.52310307802433786</v>
      </c>
      <c r="DO79" s="84">
        <f t="shared" si="32"/>
        <v>0.29350777175580323</v>
      </c>
      <c r="DP79" s="84">
        <f t="shared" si="32"/>
        <v>6.5694345025053683E-2</v>
      </c>
      <c r="DQ79" s="84"/>
      <c r="DR79" s="84"/>
      <c r="DS79" s="84"/>
      <c r="DT79" s="84"/>
      <c r="DU79" s="84"/>
      <c r="DV79" s="84"/>
      <c r="DW79" s="84"/>
      <c r="DX79" s="84"/>
    </row>
    <row r="80" spans="2:128" x14ac:dyDescent="0.2">
      <c r="L80" t="s">
        <v>56</v>
      </c>
      <c r="M80">
        <f t="shared" si="24"/>
        <v>6.8792040486791801E-4</v>
      </c>
      <c r="N80">
        <f t="shared" si="24"/>
        <v>1.3497337734979643E-3</v>
      </c>
      <c r="O80">
        <f t="shared" si="24"/>
        <v>1.7609195942444428E-3</v>
      </c>
      <c r="P80">
        <f t="shared" si="24"/>
        <v>2.2504265237045361E-3</v>
      </c>
      <c r="Q80">
        <f t="shared" si="24"/>
        <v>2.2765335599424078E-3</v>
      </c>
      <c r="R80">
        <f t="shared" si="24"/>
        <v>1.241389573110797E-3</v>
      </c>
      <c r="S80">
        <f>S76/$Y$75</f>
        <v>1.4467426053924519E-3</v>
      </c>
      <c r="T80">
        <f t="shared" si="25"/>
        <v>1.0229228909736866E-3</v>
      </c>
      <c r="U80">
        <f t="shared" si="25"/>
        <v>2.7600604858752922E-3</v>
      </c>
      <c r="V80">
        <f t="shared" si="25"/>
        <v>2.6933481234204869E-3</v>
      </c>
      <c r="W80">
        <f t="shared" si="25"/>
        <v>1.975209162877579E-3</v>
      </c>
      <c r="X80">
        <f t="shared" si="25"/>
        <v>1.2309084915680807E-3</v>
      </c>
      <c r="AR80" t="s">
        <v>56</v>
      </c>
      <c r="AS80" s="84">
        <f>AI76/$AO$75</f>
        <v>7.8335607806938861E-3</v>
      </c>
      <c r="AT80" s="84">
        <f t="shared" ref="AT80:AX80" si="33">AJ76/$AO$75</f>
        <v>7.9330819594227268E-3</v>
      </c>
      <c r="AU80" s="84">
        <f t="shared" si="33"/>
        <v>1.5376022113605914E-2</v>
      </c>
      <c r="AV80" s="84">
        <f t="shared" si="33"/>
        <v>6.9751906141576345E-3</v>
      </c>
      <c r="AW80" s="84">
        <f t="shared" si="33"/>
        <v>8.8262845385140738E-3</v>
      </c>
      <c r="AX80" s="84">
        <f t="shared" si="33"/>
        <v>1.0712210875425609E-2</v>
      </c>
      <c r="AY80" s="84">
        <f>AY76/$BE$75</f>
        <v>1.1881321628475218E-2</v>
      </c>
      <c r="AZ80" s="84">
        <f t="shared" ref="AZ80:BD80" si="34">AZ76/$BE$75</f>
        <v>8.4714971888613239E-3</v>
      </c>
      <c r="BA80" s="84">
        <f t="shared" si="34"/>
        <v>9.7238054689538674E-3</v>
      </c>
      <c r="BB80" s="84">
        <f t="shared" si="34"/>
        <v>9.4915728267831664E-3</v>
      </c>
      <c r="BC80" s="84">
        <f t="shared" si="34"/>
        <v>9.1145069239038558E-3</v>
      </c>
      <c r="BD80" s="84">
        <f t="shared" si="34"/>
        <v>6.8683428203280975E-3</v>
      </c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 t="s">
        <v>56</v>
      </c>
      <c r="BY80" s="84">
        <f>BO76/$BU$75</f>
        <v>7.7211030182572471E-2</v>
      </c>
      <c r="BZ80" s="84">
        <f t="shared" ref="BZ80:CD80" si="35">BP76/$BU$75</f>
        <v>5.7330531261849123E-2</v>
      </c>
      <c r="CA80" s="84">
        <f t="shared" si="35"/>
        <v>6.4527361088049642E-2</v>
      </c>
      <c r="CB80" s="84">
        <f t="shared" si="35"/>
        <v>5.9299498650594411E-2</v>
      </c>
      <c r="CC80" s="84">
        <f t="shared" si="35"/>
        <v>2.7317718723900958E-2</v>
      </c>
      <c r="CD80" s="84">
        <f t="shared" si="35"/>
        <v>1.6667451444942021E-2</v>
      </c>
      <c r="CE80" s="84">
        <f>CE76/$CK$75</f>
        <v>4.2361877516292321E-2</v>
      </c>
      <c r="CF80" s="84">
        <f t="shared" ref="CF80:CI80" si="36">CF76/$CK$75</f>
        <v>1.7514935909687841E-2</v>
      </c>
      <c r="CG80" s="84">
        <f t="shared" si="36"/>
        <v>3.4314674492733968E-2</v>
      </c>
      <c r="CH80" s="84">
        <f t="shared" si="36"/>
        <v>3.1527871116509343E-2</v>
      </c>
      <c r="CI80" s="84">
        <f t="shared" si="36"/>
        <v>1.9910846953937592E-2</v>
      </c>
      <c r="CJ80" s="84">
        <f t="shared" ref="CJ80" si="37">CJ76/$CK$75</f>
        <v>1.0198960497678692E-2</v>
      </c>
      <c r="CK80" s="84"/>
      <c r="CL80" s="84"/>
      <c r="CM80" s="84"/>
      <c r="CN80" s="84"/>
      <c r="CO80" s="84"/>
      <c r="CP80" s="84"/>
      <c r="CQ80" s="84"/>
      <c r="CR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 t="s">
        <v>56</v>
      </c>
      <c r="DE80" s="84">
        <f>CU76/$DA$75</f>
        <v>3.7529142834023657E-2</v>
      </c>
      <c r="DF80" s="84">
        <f t="shared" si="31"/>
        <v>2.1365932848841619E-2</v>
      </c>
      <c r="DG80" s="84">
        <f t="shared" si="31"/>
        <v>2.1929824561403508E-2</v>
      </c>
      <c r="DH80" s="84">
        <f t="shared" si="31"/>
        <v>2.6310732148907872E-2</v>
      </c>
      <c r="DI80" s="84">
        <f t="shared" si="31"/>
        <v>2.0083901018039477E-2</v>
      </c>
      <c r="DJ80" s="84">
        <f t="shared" si="31"/>
        <v>2.0674343685677152E-2</v>
      </c>
      <c r="DK80" s="84">
        <f>DK76/$DQ$75</f>
        <v>6.1086256263421616E-2</v>
      </c>
      <c r="DL80" s="84">
        <f t="shared" si="32"/>
        <v>3.0123223233459454E-2</v>
      </c>
      <c r="DM80" s="84">
        <f t="shared" si="32"/>
        <v>3.8539216688822986E-2</v>
      </c>
      <c r="DN80" s="84">
        <f t="shared" si="32"/>
        <v>2.1317363738623581E-2</v>
      </c>
      <c r="DO80" s="84">
        <f t="shared" si="32"/>
        <v>3.6467174557725739E-2</v>
      </c>
      <c r="DP80" s="84">
        <f t="shared" si="32"/>
        <v>8.8531547192964508E-3</v>
      </c>
      <c r="DQ80" s="84"/>
      <c r="DR80" s="84"/>
      <c r="DS80" s="84"/>
      <c r="DT80" s="84"/>
      <c r="DU80" s="84"/>
      <c r="DV80" s="84"/>
      <c r="DW80" s="84"/>
      <c r="DX80" s="84"/>
    </row>
    <row r="81" spans="1:128" x14ac:dyDescent="0.2"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</row>
    <row r="82" spans="1:128" x14ac:dyDescent="0.2">
      <c r="L82" t="s">
        <v>100</v>
      </c>
      <c r="M82">
        <v>0</v>
      </c>
      <c r="N82">
        <v>2.5000000000000001E-2</v>
      </c>
      <c r="O82">
        <v>0.05</v>
      </c>
      <c r="P82">
        <v>0.1</v>
      </c>
      <c r="Q82">
        <v>0.2</v>
      </c>
      <c r="R82">
        <v>0.3</v>
      </c>
      <c r="S82">
        <v>0.4</v>
      </c>
      <c r="T82">
        <v>0.6</v>
      </c>
      <c r="U82">
        <v>0.8</v>
      </c>
      <c r="V82">
        <v>1</v>
      </c>
      <c r="W82">
        <v>2</v>
      </c>
      <c r="X82">
        <v>5</v>
      </c>
      <c r="AR82" t="s">
        <v>100</v>
      </c>
      <c r="AS82">
        <v>0</v>
      </c>
      <c r="AT82">
        <v>2.5000000000000001E-2</v>
      </c>
      <c r="AU82">
        <v>0.05</v>
      </c>
      <c r="AV82">
        <v>0.1</v>
      </c>
      <c r="AW82">
        <v>0.2</v>
      </c>
      <c r="AX82">
        <v>0.3</v>
      </c>
      <c r="AY82">
        <v>0.4</v>
      </c>
      <c r="AZ82">
        <v>0.6</v>
      </c>
      <c r="BA82">
        <v>0.8</v>
      </c>
      <c r="BB82">
        <v>1</v>
      </c>
      <c r="BC82">
        <v>2</v>
      </c>
      <c r="BD82">
        <v>5</v>
      </c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 t="s">
        <v>100</v>
      </c>
      <c r="BY82" s="84">
        <v>0</v>
      </c>
      <c r="BZ82" s="84">
        <v>2.5000000000000001E-2</v>
      </c>
      <c r="CA82" s="84">
        <v>0.05</v>
      </c>
      <c r="CB82" s="84">
        <v>0.1</v>
      </c>
      <c r="CC82" s="84">
        <v>0.2</v>
      </c>
      <c r="CD82" s="84">
        <v>0.3</v>
      </c>
      <c r="CE82" s="84">
        <v>0.4</v>
      </c>
      <c r="CF82" s="84">
        <v>0.6</v>
      </c>
      <c r="CG82" s="84">
        <v>0.8</v>
      </c>
      <c r="CH82" s="84">
        <v>1</v>
      </c>
      <c r="CI82" s="84">
        <v>2</v>
      </c>
      <c r="CJ82" s="84">
        <v>5</v>
      </c>
      <c r="CK82" s="84"/>
      <c r="CL82" s="84"/>
      <c r="CM82" s="84"/>
      <c r="CN82" s="84"/>
      <c r="CO82" s="84"/>
      <c r="CP82" s="84"/>
      <c r="CQ82" s="84"/>
      <c r="CR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 t="s">
        <v>100</v>
      </c>
      <c r="DE82" s="84">
        <v>0</v>
      </c>
      <c r="DF82" s="84">
        <v>2.5000000000000001E-2</v>
      </c>
      <c r="DG82" s="84">
        <v>0.05</v>
      </c>
      <c r="DH82" s="84">
        <v>0.1</v>
      </c>
      <c r="DI82" s="84">
        <v>0.2</v>
      </c>
      <c r="DJ82" s="84">
        <v>0.3</v>
      </c>
      <c r="DK82" s="84">
        <v>0.4</v>
      </c>
      <c r="DL82" s="84">
        <v>0.6</v>
      </c>
      <c r="DM82" s="84">
        <v>0.8</v>
      </c>
      <c r="DN82" s="84">
        <v>1</v>
      </c>
      <c r="DO82" s="84">
        <v>2</v>
      </c>
      <c r="DP82" s="84">
        <v>5</v>
      </c>
      <c r="DQ82" s="84"/>
      <c r="DR82" s="84"/>
      <c r="DS82" s="84"/>
      <c r="DT82" s="84"/>
      <c r="DU82" s="84"/>
      <c r="DV82" s="84"/>
      <c r="DW82" s="84"/>
      <c r="DX82" s="84"/>
    </row>
    <row r="83" spans="1:128" x14ac:dyDescent="0.2">
      <c r="L83" t="s">
        <v>57</v>
      </c>
      <c r="M83">
        <f xml:space="preserve"> M79 *'Calibration Plates'!$AQ$103</f>
        <v>1224.8389645580562</v>
      </c>
      <c r="N83">
        <f xml:space="preserve"> N79 *'Calibration Plates'!$AQ$103</f>
        <v>1465.9302129683272</v>
      </c>
      <c r="O83">
        <f xml:space="preserve"> O79 *'Calibration Plates'!$AQ$103</f>
        <v>1540.5536946191253</v>
      </c>
      <c r="P83">
        <f xml:space="preserve"> P79 *'Calibration Plates'!$AQ$103</f>
        <v>1594.0052793779887</v>
      </c>
      <c r="Q83">
        <f xml:space="preserve"> Q79 *'Calibration Plates'!$AQ$103</f>
        <v>1478.0071400686561</v>
      </c>
      <c r="R83">
        <f xml:space="preserve"> R79 *'Calibration Plates'!$AQ$103</f>
        <v>1389.6666547977311</v>
      </c>
      <c r="S83">
        <f xml:space="preserve"> S79 *'Calibration Plates'!$AQ$103</f>
        <v>1531.3789520397991</v>
      </c>
      <c r="T83">
        <f xml:space="preserve"> T79 *'Calibration Plates'!$AQ$103</f>
        <v>1641.7183204071721</v>
      </c>
      <c r="U83">
        <f xml:space="preserve"> U79 *'Calibration Plates'!$AQ$103</f>
        <v>1674.1403149037465</v>
      </c>
      <c r="V83">
        <f xml:space="preserve"> V79 *'Calibration Plates'!$AQ$103</f>
        <v>1692.29364361957</v>
      </c>
      <c r="W83">
        <f xml:space="preserve"> W79 *'Calibration Plates'!$AQ$103</f>
        <v>1663.3827867758509</v>
      </c>
      <c r="X83">
        <f xml:space="preserve"> X79 *'Calibration Plates'!$AQ$103</f>
        <v>1552.7445981827027</v>
      </c>
      <c r="AR83" t="s">
        <v>57</v>
      </c>
      <c r="AS83">
        <f xml:space="preserve"> AS79 *'Calibration Plates'!$AQ$103</f>
        <v>4778.835355523096</v>
      </c>
      <c r="AT83">
        <f xml:space="preserve"> AT79 *'Calibration Plates'!$AQ$103</f>
        <v>5018.0470979417187</v>
      </c>
      <c r="AU83">
        <f xml:space="preserve"> AU79 *'Calibration Plates'!$AQ$103</f>
        <v>5795.2898844162464</v>
      </c>
      <c r="AV83">
        <f xml:space="preserve"> AV79 *'Calibration Plates'!$AQ$103</f>
        <v>5409.6524214378423</v>
      </c>
      <c r="AW83">
        <f xml:space="preserve"> AW79 *'Calibration Plates'!$AQ$103</f>
        <v>5266.7789988052764</v>
      </c>
      <c r="AX83">
        <f xml:space="preserve"> AX79 *'Calibration Plates'!$AQ$103</f>
        <v>4830.4857673847946</v>
      </c>
      <c r="AY83">
        <f xml:space="preserve"> AY79 *'Calibration Plates'!$AQ$103</f>
        <v>4612.6936341692544</v>
      </c>
      <c r="AZ83">
        <f xml:space="preserve"> AZ79 *'Calibration Plates'!$AQ$103</f>
        <v>5227.4199681699829</v>
      </c>
      <c r="BA83">
        <f xml:space="preserve"> BA79 *'Calibration Plates'!$AQ$103</f>
        <v>5845.9968093086345</v>
      </c>
      <c r="BB83">
        <f xml:space="preserve"> BB79 *'Calibration Plates'!$AQ$103</f>
        <v>5638.4259522994571</v>
      </c>
      <c r="BC83">
        <f xml:space="preserve"> BC79 *'Calibration Plates'!$AQ$103</f>
        <v>4500.6010930430339</v>
      </c>
      <c r="BD83">
        <f xml:space="preserve"> BD79 *'Calibration Plates'!$AQ$103</f>
        <v>4662.3223928358248</v>
      </c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 t="s">
        <v>57</v>
      </c>
      <c r="BY83" s="84">
        <f xml:space="preserve"> BY79 *'Calibration Plates'!$AQ$103</f>
        <v>28337.503995005936</v>
      </c>
      <c r="BZ83" s="84">
        <f xml:space="preserve"> BZ79 *'Calibration Plates'!$AQ$103</f>
        <v>31242.190858771966</v>
      </c>
      <c r="CA83" s="84">
        <f xml:space="preserve"> CA79 *'Calibration Plates'!$AQ$103</f>
        <v>29772.50960391905</v>
      </c>
      <c r="CB83" s="84">
        <f xml:space="preserve"> CB79 *'Calibration Plates'!$AQ$103</f>
        <v>28474.862012902198</v>
      </c>
      <c r="CC83" s="84">
        <f xml:space="preserve"> CC79 *'Calibration Plates'!$AQ$103</f>
        <v>25303.668041770215</v>
      </c>
      <c r="CD83" s="84">
        <f xml:space="preserve"> CD79 *'Calibration Plates'!$AQ$103</f>
        <v>23490.344058991366</v>
      </c>
      <c r="CE83" s="84">
        <f xml:space="preserve"> CE79 *'Calibration Plates'!$AQ$103</f>
        <v>17884.369786651681</v>
      </c>
      <c r="CF83" s="84">
        <f xml:space="preserve"> CF79 *'Calibration Plates'!$AQ$103</f>
        <v>18625.989653807785</v>
      </c>
      <c r="CG83" s="84">
        <f xml:space="preserve"> CG79 *'Calibration Plates'!$AQ$103</f>
        <v>18821.482650790531</v>
      </c>
      <c r="CH83" s="84">
        <f xml:space="preserve"> CH79 *'Calibration Plates'!$AQ$103</f>
        <v>19235.848931138695</v>
      </c>
      <c r="CI83" s="84">
        <f xml:space="preserve"> CI79 *'Calibration Plates'!$AQ$103</f>
        <v>9909.3681860351644</v>
      </c>
      <c r="CJ83" s="84">
        <f xml:space="preserve"> CJ79 *'Calibration Plates'!$AQ$103</f>
        <v>4398.0290517170988</v>
      </c>
      <c r="CK83" s="84"/>
      <c r="CL83" s="84"/>
      <c r="CM83" s="84"/>
      <c r="CN83" s="84"/>
      <c r="CO83" s="84"/>
      <c r="CP83" s="84"/>
      <c r="CQ83" s="84"/>
      <c r="CR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 t="s">
        <v>57</v>
      </c>
      <c r="DE83" s="84">
        <f xml:space="preserve"> DE79 *'Calibration Plates'!$AQ$103</f>
        <v>39685.558247047826</v>
      </c>
      <c r="DF83" s="84">
        <f xml:space="preserve"> DF79 *'Calibration Plates'!$AQ$103</f>
        <v>39969.039929970582</v>
      </c>
      <c r="DG83" s="84">
        <f xml:space="preserve"> DG79 *'Calibration Plates'!$AQ$103</f>
        <v>39735.308343719698</v>
      </c>
      <c r="DH83" s="84">
        <f xml:space="preserve"> DH79 *'Calibration Plates'!$AQ$103</f>
        <v>38445.199523347575</v>
      </c>
      <c r="DI83" s="84">
        <f xml:space="preserve"> DI79 *'Calibration Plates'!$AQ$103</f>
        <v>37091.910246389256</v>
      </c>
      <c r="DJ83" s="84">
        <f xml:space="preserve"> DJ79 *'Calibration Plates'!$AQ$103</f>
        <v>37221.881471366578</v>
      </c>
      <c r="DK83" s="84">
        <f xml:space="preserve"> DK79 *'Calibration Plates'!$AQ$103</f>
        <v>32758.441862126147</v>
      </c>
      <c r="DL83" s="84">
        <f xml:space="preserve"> DL79 *'Calibration Plates'!$AQ$103</f>
        <v>35293.186152987306</v>
      </c>
      <c r="DM83" s="84">
        <f xml:space="preserve"> DM79 *'Calibration Plates'!$AQ$103</f>
        <v>33661.538504665266</v>
      </c>
      <c r="DN83" s="84">
        <f xml:space="preserve"> DN79 *'Calibration Plates'!$AQ$103</f>
        <v>29874.533296649792</v>
      </c>
      <c r="DO83" s="84">
        <f xml:space="preserve"> DO79 *'Calibration Plates'!$AQ$103</f>
        <v>16762.294217921371</v>
      </c>
      <c r="DP83" s="84">
        <f xml:space="preserve"> DP79 *'Calibration Plates'!$AQ$103</f>
        <v>3751.8186764736543</v>
      </c>
      <c r="DQ83" s="84"/>
      <c r="DR83" s="84"/>
      <c r="DS83" s="84"/>
      <c r="DT83" s="84"/>
      <c r="DU83" s="84"/>
      <c r="DV83" s="84"/>
      <c r="DW83" s="84"/>
      <c r="DX83" s="84"/>
    </row>
    <row r="84" spans="1:128" x14ac:dyDescent="0.2">
      <c r="L84" t="s">
        <v>56</v>
      </c>
      <c r="M84">
        <f xml:space="preserve"> M80 *'Calibration Plates'!$AQ$103</f>
        <v>39.287287542428217</v>
      </c>
      <c r="N84">
        <f xml:space="preserve"> N80 *'Calibration Plates'!$AQ$103</f>
        <v>77.083596430494822</v>
      </c>
      <c r="O84">
        <f xml:space="preserve"> O80 *'Calibration Plates'!$AQ$103</f>
        <v>100.56651023669005</v>
      </c>
      <c r="P84">
        <f xml:space="preserve"> P80 *'Calibration Plates'!$AQ$103</f>
        <v>128.52236000597009</v>
      </c>
      <c r="Q84">
        <f xml:space="preserve"> Q80 *'Calibration Plates'!$AQ$103</f>
        <v>130.0133386603317</v>
      </c>
      <c r="R84">
        <f xml:space="preserve"> R80 *'Calibration Plates'!$AQ$103</f>
        <v>70.896035014894181</v>
      </c>
      <c r="S84">
        <f xml:space="preserve"> S80 *'Calibration Plates'!$AQ$103</f>
        <v>82.623792426753397</v>
      </c>
      <c r="T84">
        <f xml:space="preserve"> T80 *'Calibration Plates'!$AQ$103</f>
        <v>58.419354138988389</v>
      </c>
      <c r="U84">
        <f xml:space="preserve"> U80 *'Calibration Plates'!$AQ$103</f>
        <v>157.62766909624742</v>
      </c>
      <c r="V84">
        <f xml:space="preserve"> V80 *'Calibration Plates'!$AQ$103</f>
        <v>153.81771121761776</v>
      </c>
      <c r="W84">
        <f xml:space="preserve"> W80 *'Calibration Plates'!$AQ$103</f>
        <v>112.80463523001593</v>
      </c>
      <c r="X84">
        <f xml:space="preserve"> X80 *'Calibration Plates'!$AQ$103</f>
        <v>70.297458113539733</v>
      </c>
      <c r="AR84" t="s">
        <v>56</v>
      </c>
      <c r="AS84">
        <f xml:space="preserve"> AS80 *'Calibration Plates'!$AQ$103</f>
        <v>447.37640095339157</v>
      </c>
      <c r="AT84">
        <f xml:space="preserve"> AT80 *'Calibration Plates'!$AQ$103</f>
        <v>453.06007763693475</v>
      </c>
      <c r="AU84">
        <f xml:space="preserve"> AU80 *'Calibration Plates'!$AQ$103</f>
        <v>878.12804760741949</v>
      </c>
      <c r="AV84">
        <f xml:space="preserve"> AV80 *'Calibration Plates'!$AQ$103</f>
        <v>398.35468955783182</v>
      </c>
      <c r="AW84">
        <f xml:space="preserve"> AW80 *'Calibration Plates'!$AQ$103</f>
        <v>504.07107587173465</v>
      </c>
      <c r="AX84">
        <f xml:space="preserve"> AX80 *'Calibration Plates'!$AQ$103</f>
        <v>611.77674902487774</v>
      </c>
      <c r="AY84">
        <f xml:space="preserve"> AY80 *'Calibration Plates'!$AQ$103</f>
        <v>678.54492452742545</v>
      </c>
      <c r="AZ84">
        <f xml:space="preserve"> AZ80 *'Calibration Plates'!$AQ$103</f>
        <v>483.80909131132631</v>
      </c>
      <c r="BA84">
        <f xml:space="preserve"> BA80 *'Calibration Plates'!$AQ$103</f>
        <v>555.32869611387025</v>
      </c>
      <c r="BB84">
        <f xml:space="preserve"> BB80 *'Calibration Plates'!$AQ$103</f>
        <v>542.06583819435559</v>
      </c>
      <c r="BC84">
        <f xml:space="preserve"> BC80 *'Calibration Plates'!$AQ$103</f>
        <v>520.53152049707921</v>
      </c>
      <c r="BD84">
        <f xml:space="preserve"> BD80 *'Calibration Plates'!$AQ$103</f>
        <v>392.25258825403188</v>
      </c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 t="s">
        <v>56</v>
      </c>
      <c r="BY84" s="84">
        <f xml:space="preserve"> BY80 *'Calibration Plates'!$AQ$103</f>
        <v>4409.5391309293245</v>
      </c>
      <c r="BZ84" s="84">
        <f xml:space="preserve"> BZ80 *'Calibration Plates'!$AQ$103</f>
        <v>3274.1594095859009</v>
      </c>
      <c r="CA84" s="84">
        <f xml:space="preserve"> CA80 *'Calibration Plates'!$AQ$103</f>
        <v>3685.1719639091743</v>
      </c>
      <c r="CB84" s="84">
        <f xml:space="preserve"> CB80 *'Calibration Plates'!$AQ$103</f>
        <v>3386.6075757049921</v>
      </c>
      <c r="CC84" s="84">
        <f xml:space="preserve"> CC80 *'Calibration Plates'!$AQ$103</f>
        <v>1560.1210007938869</v>
      </c>
      <c r="CD84" s="84">
        <f xml:space="preserve"> CD80 *'Calibration Plates'!$AQ$103</f>
        <v>951.88186435990986</v>
      </c>
      <c r="CE84" s="84">
        <f xml:space="preserve"> CE80 *'Calibration Plates'!$AQ$103</f>
        <v>2419.2962602108691</v>
      </c>
      <c r="CF84" s="84">
        <f xml:space="preserve"> CF80 *'Calibration Plates'!$AQ$103</f>
        <v>1000.2818909016472</v>
      </c>
      <c r="CG84" s="84">
        <f xml:space="preserve"> CG80 *'Calibration Plates'!$AQ$103</f>
        <v>1959.7187031829794</v>
      </c>
      <c r="CH84" s="84">
        <f xml:space="preserve"> CH80 *'Calibration Plates'!$AQ$103</f>
        <v>1800.5637416624411</v>
      </c>
      <c r="CI84" s="84">
        <f xml:space="preserve"> CI80 *'Calibration Plates'!$AQ$103</f>
        <v>1137.1129042797027</v>
      </c>
      <c r="CJ84" s="84">
        <f xml:space="preserve"> CJ80 *'Calibration Plates'!$AQ$103</f>
        <v>582.4649056355621</v>
      </c>
      <c r="CK84" s="84"/>
      <c r="CL84" s="84"/>
      <c r="CM84" s="84"/>
      <c r="CN84" s="84"/>
      <c r="CO84" s="84"/>
      <c r="CP84" s="84"/>
      <c r="CQ84" s="84"/>
      <c r="CR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 t="s">
        <v>56</v>
      </c>
      <c r="DE84" s="84">
        <f xml:space="preserve"> DE80 *'Calibration Plates'!$AQ$103</f>
        <v>2143.2977061121451</v>
      </c>
      <c r="DF84" s="84">
        <f xml:space="preserve"> DF80 *'Calibration Plates'!$AQ$103</f>
        <v>1220.2131838287619</v>
      </c>
      <c r="DG84" s="84">
        <f xml:space="preserve"> DG80 *'Calibration Plates'!$AQ$103</f>
        <v>1252.4171651286983</v>
      </c>
      <c r="DH84" s="84">
        <f xml:space="preserve"> DH80 *'Calibration Plates'!$AQ$103</f>
        <v>1502.6117732100442</v>
      </c>
      <c r="DI84" s="84">
        <f xml:space="preserve"> DI80 *'Calibration Plates'!$AQ$103</f>
        <v>1146.9960604248702</v>
      </c>
      <c r="DJ84" s="84">
        <f xml:space="preserve"> DJ80 *'Calibration Plates'!$AQ$103</f>
        <v>1180.7163726828755</v>
      </c>
      <c r="DK84" s="84">
        <f xml:space="preserve"> DK80 *'Calibration Plates'!$AQ$103</f>
        <v>3488.6497009378422</v>
      </c>
      <c r="DL84" s="84">
        <f xml:space="preserve"> DL80 *'Calibration Plates'!$AQ$103</f>
        <v>1720.3439882044236</v>
      </c>
      <c r="DM84" s="84">
        <f xml:space="preserve"> DM80 *'Calibration Plates'!$AQ$103</f>
        <v>2200.9832489333517</v>
      </c>
      <c r="DN84" s="84">
        <f xml:space="preserve"> DN80 *'Calibration Plates'!$AQ$103</f>
        <v>1217.4393911264181</v>
      </c>
      <c r="DO84" s="84">
        <f xml:space="preserve"> DO80 *'Calibration Plates'!$AQ$103</f>
        <v>2082.6484613207163</v>
      </c>
      <c r="DP84" s="84">
        <f xml:space="preserve"> DP80 *'Calibration Plates'!$AQ$103</f>
        <v>505.60563788100808</v>
      </c>
      <c r="DQ84" s="84"/>
      <c r="DR84" s="84"/>
      <c r="DS84" s="84"/>
      <c r="DT84" s="84"/>
      <c r="DU84" s="84"/>
      <c r="DV84" s="84"/>
      <c r="DW84" s="84"/>
      <c r="DX84" s="84"/>
    </row>
    <row r="85" spans="1:128" x14ac:dyDescent="0.2"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</row>
    <row r="86" spans="1:128" x14ac:dyDescent="0.2"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</row>
    <row r="87" spans="1:128" x14ac:dyDescent="0.2"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</row>
    <row r="88" spans="1:128" x14ac:dyDescent="0.2"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</row>
    <row r="89" spans="1:128" x14ac:dyDescent="0.2"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</row>
    <row r="90" spans="1:128" x14ac:dyDescent="0.2"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</row>
    <row r="91" spans="1:128" x14ac:dyDescent="0.2"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</row>
    <row r="92" spans="1:128" x14ac:dyDescent="0.2">
      <c r="A92" s="84"/>
      <c r="B92" s="84"/>
      <c r="C92" s="84" t="s">
        <v>124</v>
      </c>
      <c r="D92" s="84" t="s">
        <v>185</v>
      </c>
      <c r="E92" s="84" t="s">
        <v>186</v>
      </c>
      <c r="F92" s="84" t="s">
        <v>187</v>
      </c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 t="s">
        <v>124</v>
      </c>
      <c r="T92" s="84" t="s">
        <v>185</v>
      </c>
      <c r="U92" s="84" t="s">
        <v>186</v>
      </c>
      <c r="V92" s="84" t="s">
        <v>187</v>
      </c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 t="s">
        <v>124</v>
      </c>
      <c r="AJ92" s="84" t="s">
        <v>185</v>
      </c>
      <c r="AK92" s="84" t="s">
        <v>186</v>
      </c>
      <c r="AL92" s="84" t="s">
        <v>187</v>
      </c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 t="s">
        <v>124</v>
      </c>
      <c r="AZ92" s="84" t="s">
        <v>185</v>
      </c>
      <c r="BA92" s="84" t="s">
        <v>186</v>
      </c>
      <c r="BB92" s="84" t="s">
        <v>187</v>
      </c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 t="s">
        <v>124</v>
      </c>
      <c r="BP92" s="84" t="s">
        <v>185</v>
      </c>
      <c r="BQ92" s="84" t="s">
        <v>186</v>
      </c>
      <c r="BR92" s="84" t="s">
        <v>187</v>
      </c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 t="s">
        <v>124</v>
      </c>
      <c r="CF92" s="84" t="s">
        <v>185</v>
      </c>
      <c r="CG92" s="84" t="s">
        <v>186</v>
      </c>
      <c r="CH92" s="84" t="s">
        <v>187</v>
      </c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T92" s="84"/>
      <c r="CU92" s="84" t="s">
        <v>124</v>
      </c>
      <c r="CV92" s="84" t="s">
        <v>185</v>
      </c>
      <c r="CW92" s="84" t="s">
        <v>186</v>
      </c>
      <c r="CX92" s="84" t="s">
        <v>187</v>
      </c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 t="s">
        <v>124</v>
      </c>
      <c r="DL92" s="84" t="s">
        <v>185</v>
      </c>
      <c r="DM92" s="84" t="s">
        <v>186</v>
      </c>
      <c r="DN92" s="84" t="s">
        <v>187</v>
      </c>
      <c r="DO92" s="84"/>
      <c r="DP92" s="84"/>
      <c r="DQ92" s="84"/>
      <c r="DR92" s="84"/>
      <c r="DS92" s="84"/>
      <c r="DT92" s="84"/>
      <c r="DU92" s="84"/>
      <c r="DV92" s="84"/>
      <c r="DW92" s="84"/>
      <c r="DX92" s="84"/>
    </row>
    <row r="93" spans="1:128" x14ac:dyDescent="0.2">
      <c r="A93" s="84"/>
      <c r="B93" s="84"/>
      <c r="C93" s="84" t="s">
        <v>125</v>
      </c>
      <c r="D93" s="84">
        <f>E53</f>
        <v>19147</v>
      </c>
      <c r="E93" s="84">
        <f>D93-AVERAGE($D$93,$D$103,$D$113,$D$123,$D$133,$D$143)</f>
        <v>39.5</v>
      </c>
      <c r="F93" s="84">
        <f>E93/AVERAGE($D$94,$D$104,$D$114,$D$124,$D$134,$D$144)</f>
        <v>5.0306626316648585E-5</v>
      </c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 t="s">
        <v>125</v>
      </c>
      <c r="T93" s="84">
        <f>U53</f>
        <v>19026</v>
      </c>
      <c r="U93" s="84">
        <f>ROUND(T93-AVERAGE($T$93,$T$103,$T$113,$T$123,$T$133,$T$143),0)</f>
        <v>170</v>
      </c>
      <c r="V93" s="84">
        <f>U93/AVERAGE($T$94,$T$104,$T$114,$T$124,$T$134,$T$144)</f>
        <v>2.1702159981940399E-4</v>
      </c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 t="s">
        <v>125</v>
      </c>
      <c r="AJ93" s="84">
        <f>AK53</f>
        <v>23564</v>
      </c>
      <c r="AK93" s="84">
        <f>ROUND(AJ93-AVERAGE($AJ$93,$AJ$103,$AJ$113,$AJ$123,$AJ$133,$AJ$143),0)</f>
        <v>1006</v>
      </c>
      <c r="AL93" s="84">
        <f>AK93/AVERAGE($AJ$94,$AJ$104,$AJ$114,$AJ$124,$AJ$134,$AJ$144)</f>
        <v>1.2173173681098344E-3</v>
      </c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 t="s">
        <v>125</v>
      </c>
      <c r="AZ93" s="84">
        <f>BA53</f>
        <v>23142</v>
      </c>
      <c r="BA93" s="84">
        <f>ROUND(AZ93-AVERAGE($AZ$93,$AZ$103,$AZ$113,$AZ$123,$AZ$133,$AZ$143),0)</f>
        <v>296</v>
      </c>
      <c r="BB93" s="84">
        <f>BA93/AVERAGE($AZ$94,$AZ$104,$AZ$114,$AZ$124,$AZ$134,$AZ$144)</f>
        <v>3.5932512429189581E-4</v>
      </c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 t="s">
        <v>125</v>
      </c>
      <c r="BP93" s="84">
        <f>BQ53</f>
        <v>23661</v>
      </c>
      <c r="BQ93" s="84">
        <f>ROUND(BP93-AVERAGE($BP$93,$BP$103,$BP$113,$BP$123,$BP$133,$BP$143),0)</f>
        <v>-170</v>
      </c>
      <c r="BR93" s="84">
        <f>BQ93/AVERAGE($BP$94,$BP$104,$BP$114,$BP$124,$BP$134,$BP$144)</f>
        <v>-2.0460908031026762E-4</v>
      </c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 t="s">
        <v>125</v>
      </c>
      <c r="CF93" s="84">
        <f>CG53</f>
        <v>24476</v>
      </c>
      <c r="CG93" s="84">
        <f>ROUND(CF93-AVERAGE($CF$93,$CF$103,$CF$113,$CF$123,$CF$133,$CF$143),0)</f>
        <v>-40</v>
      </c>
      <c r="CH93" s="84">
        <f>CG93/AVERAGE($CF$94,$CF$104,$CF$114,$CF$124,$CF$134,$CF$144)</f>
        <v>-4.7876593293127633E-5</v>
      </c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T93" s="84"/>
      <c r="CU93" s="84" t="s">
        <v>125</v>
      </c>
      <c r="CV93" s="84">
        <f>CW53</f>
        <v>23105</v>
      </c>
      <c r="CW93" s="84">
        <f>ROUND(CV93-AVERAGE($CV$93,$CV$103,$CV$113,$CV$123,$CV$133,$CV$143),0)</f>
        <v>-937</v>
      </c>
      <c r="CX93" s="84">
        <f>CW93/AVERAGE($CV$94,$CV$104,$CV$114,$CV$124,$CV$134,$CV$144)</f>
        <v>-1.149730165160722E-3</v>
      </c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 t="s">
        <v>125</v>
      </c>
      <c r="DL93" s="84">
        <f>DM53</f>
        <v>24851</v>
      </c>
      <c r="DM93" s="84">
        <f>ROUND(DL93-AVERAGE($DL$93,$DL$103,$DL$113,$DL$123,$DL$133,$DL$143),0)</f>
        <v>721</v>
      </c>
      <c r="DN93" s="84">
        <f>DM93/AVERAGE($DL$94,$DL$104,$DL$114,$DL$124,$DL$134,$DL$144)</f>
        <v>8.9404234239093706E-4</v>
      </c>
      <c r="DO93" s="84"/>
      <c r="DP93" s="84"/>
      <c r="DQ93" s="84"/>
      <c r="DR93" s="84"/>
      <c r="DS93" s="84"/>
      <c r="DT93" s="84"/>
      <c r="DU93" s="84"/>
      <c r="DV93" s="84"/>
      <c r="DW93" s="84"/>
      <c r="DX93" s="84"/>
    </row>
    <row r="94" spans="1:128" x14ac:dyDescent="0.2">
      <c r="A94" s="84"/>
      <c r="B94" s="84"/>
      <c r="C94" s="84" t="s">
        <v>126</v>
      </c>
      <c r="D94" s="84">
        <f>F53</f>
        <v>784295</v>
      </c>
      <c r="E94" s="84">
        <f t="shared" ref="E94:E152" si="38">D94-AVERAGE($D$93,$D$103,$D$113,$D$123,$D$133,$D$143)</f>
        <v>765187.5</v>
      </c>
      <c r="F94" s="84">
        <f t="shared" ref="F94:F152" si="39">E94/AVERAGE($D$94,$D$104,$D$114,$D$124,$D$134,$D$144)</f>
        <v>0.97453168670051993</v>
      </c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 t="s">
        <v>126</v>
      </c>
      <c r="T94" s="84">
        <f>V53</f>
        <v>775447</v>
      </c>
      <c r="U94" s="84">
        <f t="shared" ref="U94:U152" si="40">ROUND(T94-AVERAGE($T$93,$T$103,$T$113,$T$123,$T$133,$T$143),0)</f>
        <v>756591</v>
      </c>
      <c r="V94" s="84">
        <f t="shared" ref="V94:V152" si="41">U94/AVERAGE($T$94,$T$104,$T$114,$T$124,$T$134,$T$144)</f>
        <v>0.96586228958213349</v>
      </c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 t="s">
        <v>126</v>
      </c>
      <c r="AJ94" s="84">
        <f>AL53</f>
        <v>827376</v>
      </c>
      <c r="AK94" s="84">
        <f t="shared" ref="AK94:AK152" si="42">ROUND(AJ94-AVERAGE($AJ$93,$AJ$103,$AJ$113,$AJ$123,$AJ$133,$AJ$143),0)</f>
        <v>804818</v>
      </c>
      <c r="AL94" s="84">
        <f t="shared" ref="AL94:AL152" si="43">AK94/AVERAGE($AJ$94,$AJ$104,$AJ$114,$AJ$124,$AJ$134,$AJ$144)</f>
        <v>0.97387567551433474</v>
      </c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 t="s">
        <v>126</v>
      </c>
      <c r="AZ94" s="84">
        <f>BB53</f>
        <v>823357</v>
      </c>
      <c r="BA94" s="84">
        <f t="shared" ref="BA94:BA152" si="44">ROUND(AZ94-AVERAGE($AZ$93,$AZ$103,$AZ$113,$AZ$123,$AZ$133,$AZ$143),0)</f>
        <v>800511</v>
      </c>
      <c r="BB94" s="84">
        <f t="shared" ref="BB94:BB152" si="45">BA94/AVERAGE($AZ$94,$AZ$104,$AZ$114,$AZ$124,$AZ$134,$AZ$144)</f>
        <v>0.97176930598658717</v>
      </c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 t="s">
        <v>126</v>
      </c>
      <c r="BP94" s="84">
        <f>BR53</f>
        <v>829314</v>
      </c>
      <c r="BQ94" s="84">
        <f t="shared" ref="BQ94:BQ152" si="46">ROUND(BP94-AVERAGE($BP$93,$BP$103,$BP$113,$BP$123,$BP$133,$BP$143),0)</f>
        <v>805483</v>
      </c>
      <c r="BR94" s="84">
        <f t="shared" ref="BR94:BR152" si="47">BQ94/AVERAGE($BP$94,$BP$104,$BP$114,$BP$124,$BP$134,$BP$144)</f>
        <v>0.96946550491503114</v>
      </c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 t="s">
        <v>126</v>
      </c>
      <c r="CF94" s="84">
        <f>CH53</f>
        <v>828680</v>
      </c>
      <c r="CG94" s="84">
        <f t="shared" ref="CG94:CG152" si="48">ROUND(CF94-AVERAGE($CF$93,$CF$103,$CF$113,$CF$123,$CF$133,$CF$143),0)</f>
        <v>804164</v>
      </c>
      <c r="CH94" s="84">
        <f t="shared" ref="CH94:CH152" si="49">CG94/AVERAGE($CF$94,$CF$104,$CF$114,$CF$124,$CF$134,$CF$144)</f>
        <v>0.96251581922436724</v>
      </c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T94" s="84"/>
      <c r="CU94" s="84" t="s">
        <v>126</v>
      </c>
      <c r="CV94" s="84">
        <f>CX53</f>
        <v>820306</v>
      </c>
      <c r="CW94" s="84">
        <f t="shared" ref="CW94:CW152" si="50">ROUND(CV94-AVERAGE($CV$93,$CV$103,$CV$113,$CV$123,$CV$133,$CV$143),0)</f>
        <v>796264</v>
      </c>
      <c r="CX94" s="84">
        <f t="shared" ref="CX94:CX152" si="51">CW94/AVERAGE($CV$94,$CV$104,$CV$114,$CV$124,$CV$134,$CV$144)</f>
        <v>0.9770424122001462</v>
      </c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 t="s">
        <v>126</v>
      </c>
      <c r="DL94" s="84">
        <f>DN53</f>
        <v>806958</v>
      </c>
      <c r="DM94" s="84">
        <f t="shared" ref="DM94:DM152" si="52">ROUND(DL94-AVERAGE($DL$93,$DL$103,$DL$113,$DL$123,$DL$133,$DL$143),0)</f>
        <v>782828</v>
      </c>
      <c r="DN94" s="84">
        <f t="shared" ref="DN94:DN152" si="53">DM94/AVERAGE($DL$94,$DL$104,$DL$114,$DL$124,$DL$134,$DL$144)</f>
        <v>0.97070926325826978</v>
      </c>
      <c r="DO94" s="84"/>
      <c r="DP94" s="84"/>
      <c r="DQ94" s="84"/>
      <c r="DR94" s="84"/>
      <c r="DS94" s="84"/>
      <c r="DT94" s="84"/>
      <c r="DU94" s="84"/>
      <c r="DV94" s="84"/>
      <c r="DW94" s="84"/>
      <c r="DX94" s="84"/>
    </row>
    <row r="95" spans="1:128" x14ac:dyDescent="0.2">
      <c r="A95" s="84"/>
      <c r="B95" s="84"/>
      <c r="C95" s="84" t="s">
        <v>127</v>
      </c>
      <c r="D95" s="84">
        <f>G53</f>
        <v>35967</v>
      </c>
      <c r="E95" s="84">
        <f t="shared" si="38"/>
        <v>16859.5</v>
      </c>
      <c r="F95" s="84">
        <f t="shared" si="39"/>
        <v>2.147201433887435E-2</v>
      </c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 t="s">
        <v>127</v>
      </c>
      <c r="T95" s="84">
        <f>W53</f>
        <v>37605</v>
      </c>
      <c r="U95" s="84">
        <f t="shared" si="40"/>
        <v>18749</v>
      </c>
      <c r="V95" s="84">
        <f>U95/AVERAGE($T$94,$T$104,$T$114,$T$124,$T$134,$T$144)</f>
        <v>2.3934929264788268E-2</v>
      </c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 t="s">
        <v>127</v>
      </c>
      <c r="AJ95" s="84">
        <f>AM53</f>
        <v>82906</v>
      </c>
      <c r="AK95" s="84">
        <f t="shared" si="42"/>
        <v>60348</v>
      </c>
      <c r="AL95" s="84">
        <f t="shared" si="43"/>
        <v>7.3024521402278608E-2</v>
      </c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 t="s">
        <v>127</v>
      </c>
      <c r="AZ95" s="84">
        <f>BC53</f>
        <v>71873</v>
      </c>
      <c r="BA95" s="84">
        <f t="shared" si="44"/>
        <v>49027</v>
      </c>
      <c r="BB95" s="84">
        <f t="shared" si="45"/>
        <v>5.9515651583306677E-2</v>
      </c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 t="s">
        <v>127</v>
      </c>
      <c r="BP95" s="84">
        <f>BS53</f>
        <v>323929</v>
      </c>
      <c r="BQ95" s="84">
        <f t="shared" si="46"/>
        <v>300098</v>
      </c>
      <c r="BR95" s="84">
        <f t="shared" si="47"/>
        <v>0.36119279872323934</v>
      </c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 t="s">
        <v>127</v>
      </c>
      <c r="CF95" s="84">
        <f>CI53</f>
        <v>209531</v>
      </c>
      <c r="CG95" s="84">
        <f t="shared" si="48"/>
        <v>185015</v>
      </c>
      <c r="CH95" s="84">
        <f t="shared" si="49"/>
        <v>0.22144719770320023</v>
      </c>
      <c r="CT95" s="84"/>
      <c r="CU95" s="84" t="s">
        <v>127</v>
      </c>
      <c r="CV95" s="84">
        <f>CY53</f>
        <v>516691</v>
      </c>
      <c r="CW95" s="84">
        <f t="shared" si="50"/>
        <v>492649</v>
      </c>
      <c r="CX95" s="84">
        <f t="shared" si="51"/>
        <v>0.60449670879003681</v>
      </c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 t="s">
        <v>127</v>
      </c>
      <c r="DL95" s="84">
        <f>DO53</f>
        <v>371899</v>
      </c>
      <c r="DM95" s="84">
        <f t="shared" si="52"/>
        <v>347769</v>
      </c>
      <c r="DN95" s="84">
        <f t="shared" si="53"/>
        <v>0.43123468983488739</v>
      </c>
      <c r="DO95" s="84"/>
      <c r="DP95" s="84"/>
      <c r="DQ95" s="84"/>
      <c r="DR95" s="84"/>
      <c r="DS95" s="84"/>
      <c r="DT95" s="84"/>
      <c r="DU95" s="84"/>
      <c r="DV95" s="84"/>
      <c r="DW95" s="84"/>
      <c r="DX95" s="84"/>
    </row>
    <row r="96" spans="1:128" x14ac:dyDescent="0.2">
      <c r="A96" s="84"/>
      <c r="B96" s="84"/>
      <c r="C96" s="84" t="s">
        <v>128</v>
      </c>
      <c r="D96" s="84">
        <f>H53</f>
        <v>35290</v>
      </c>
      <c r="E96" s="84">
        <f t="shared" si="38"/>
        <v>16182.5</v>
      </c>
      <c r="F96" s="84">
        <f t="shared" si="39"/>
        <v>2.0609796971371282E-2</v>
      </c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 t="s">
        <v>128</v>
      </c>
      <c r="T96" s="84">
        <f>X53</f>
        <v>38643</v>
      </c>
      <c r="U96" s="84">
        <f t="shared" si="40"/>
        <v>19787</v>
      </c>
      <c r="V96" s="84">
        <f t="shared" si="41"/>
        <v>2.526003762133263E-2</v>
      </c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 t="s">
        <v>128</v>
      </c>
      <c r="AJ96" s="84">
        <f>AN53</f>
        <v>87171</v>
      </c>
      <c r="AK96" s="84">
        <f t="shared" si="42"/>
        <v>64613</v>
      </c>
      <c r="AL96" s="84">
        <f t="shared" si="43"/>
        <v>7.818541461797289E-2</v>
      </c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 t="s">
        <v>128</v>
      </c>
      <c r="AZ96" s="84">
        <f>BD53</f>
        <v>79521</v>
      </c>
      <c r="BA96" s="84">
        <f t="shared" si="44"/>
        <v>56675</v>
      </c>
      <c r="BB96" s="84">
        <f t="shared" si="45"/>
        <v>6.8799835875821613E-2</v>
      </c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 t="s">
        <v>128</v>
      </c>
      <c r="BP96" s="84">
        <f>BT53</f>
        <v>381374</v>
      </c>
      <c r="BQ96" s="84">
        <f t="shared" si="46"/>
        <v>357543</v>
      </c>
      <c r="BR96" s="84">
        <f t="shared" si="47"/>
        <v>0.43033261412572948</v>
      </c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 t="s">
        <v>128</v>
      </c>
      <c r="CF96" s="84">
        <f>CJ53</f>
        <v>247305</v>
      </c>
      <c r="CG96" s="84">
        <f t="shared" si="48"/>
        <v>222789</v>
      </c>
      <c r="CH96" s="84">
        <f t="shared" si="49"/>
        <v>0.2666594585795653</v>
      </c>
      <c r="CT96" s="84"/>
      <c r="CU96" s="84" t="s">
        <v>128</v>
      </c>
      <c r="CV96" s="84">
        <f>CZ53</f>
        <v>569137</v>
      </c>
      <c r="CW96" s="84">
        <f t="shared" si="50"/>
        <v>545095</v>
      </c>
      <c r="CX96" s="84">
        <f t="shared" si="51"/>
        <v>0.66884969517426218</v>
      </c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 t="s">
        <v>128</v>
      </c>
      <c r="DL96" s="84">
        <f>DP53</f>
        <v>430053</v>
      </c>
      <c r="DM96" s="84">
        <f t="shared" si="52"/>
        <v>405923</v>
      </c>
      <c r="DN96" s="84">
        <f t="shared" si="53"/>
        <v>0.50334583876609762</v>
      </c>
      <c r="DO96" s="84"/>
      <c r="DP96" s="84"/>
      <c r="DQ96" s="84"/>
      <c r="DR96" s="84"/>
      <c r="DS96" s="84"/>
      <c r="DT96" s="84"/>
      <c r="DU96" s="84"/>
      <c r="DV96" s="84"/>
      <c r="DW96" s="84"/>
      <c r="DX96" s="84"/>
    </row>
    <row r="97" spans="1:128" x14ac:dyDescent="0.2">
      <c r="A97" s="84"/>
      <c r="B97" s="84"/>
      <c r="C97" s="84" t="s">
        <v>129</v>
      </c>
      <c r="D97" s="84">
        <f>I53</f>
        <v>34867</v>
      </c>
      <c r="E97" s="84">
        <f t="shared" si="38"/>
        <v>15759.5</v>
      </c>
      <c r="F97" s="84">
        <f t="shared" si="39"/>
        <v>2.0071070314866414E-2</v>
      </c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 t="s">
        <v>129</v>
      </c>
      <c r="T97" s="84">
        <f>Y53</f>
        <v>40703</v>
      </c>
      <c r="U97" s="84">
        <f t="shared" si="40"/>
        <v>21847</v>
      </c>
      <c r="V97" s="84">
        <f t="shared" si="41"/>
        <v>2.7889828772085408E-2</v>
      </c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 t="s">
        <v>129</v>
      </c>
      <c r="AJ97" s="84">
        <f>AO53</f>
        <v>82174</v>
      </c>
      <c r="AK97" s="84">
        <f t="shared" si="42"/>
        <v>59616</v>
      </c>
      <c r="AL97" s="84">
        <f t="shared" si="43"/>
        <v>7.2138759659280211E-2</v>
      </c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 t="s">
        <v>129</v>
      </c>
      <c r="AZ97" s="84">
        <f>BE53</f>
        <v>86380</v>
      </c>
      <c r="BA97" s="84">
        <f t="shared" si="44"/>
        <v>63534</v>
      </c>
      <c r="BB97" s="84">
        <f t="shared" si="45"/>
        <v>7.712622448230172E-2</v>
      </c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 t="s">
        <v>129</v>
      </c>
      <c r="BP97" s="84">
        <f>BU53</f>
        <v>385904</v>
      </c>
      <c r="BQ97" s="84">
        <f t="shared" si="46"/>
        <v>362073</v>
      </c>
      <c r="BR97" s="84">
        <f t="shared" si="47"/>
        <v>0.43578484432458542</v>
      </c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 t="s">
        <v>129</v>
      </c>
      <c r="CF97" s="84">
        <f>CK53</f>
        <v>306203</v>
      </c>
      <c r="CG97" s="84">
        <f t="shared" si="48"/>
        <v>281687</v>
      </c>
      <c r="CH97" s="84">
        <f t="shared" si="49"/>
        <v>0.33715534837403111</v>
      </c>
      <c r="CT97" s="84"/>
      <c r="CU97" s="84" t="s">
        <v>129</v>
      </c>
      <c r="CV97" s="84">
        <f>DA53</f>
        <v>594108</v>
      </c>
      <c r="CW97" s="84">
        <f t="shared" si="50"/>
        <v>570066</v>
      </c>
      <c r="CX97" s="84">
        <f t="shared" si="51"/>
        <v>0.69948994272413245</v>
      </c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 t="s">
        <v>129</v>
      </c>
      <c r="DL97" s="84">
        <f>DQ53</f>
        <v>463560</v>
      </c>
      <c r="DM97" s="84">
        <f t="shared" si="52"/>
        <v>439430</v>
      </c>
      <c r="DN97" s="84">
        <f t="shared" si="53"/>
        <v>0.54489462762392438</v>
      </c>
      <c r="DO97" s="84"/>
      <c r="DP97" s="84"/>
      <c r="DQ97" s="84"/>
      <c r="DR97" s="84"/>
      <c r="DS97" s="84"/>
      <c r="DT97" s="84"/>
      <c r="DU97" s="84"/>
      <c r="DV97" s="84"/>
      <c r="DW97" s="84"/>
      <c r="DX97" s="84"/>
    </row>
    <row r="98" spans="1:128" x14ac:dyDescent="0.2">
      <c r="A98" s="84"/>
      <c r="B98" s="84"/>
      <c r="C98" s="84" t="s">
        <v>130</v>
      </c>
      <c r="D98" s="84">
        <f>J53</f>
        <v>35332</v>
      </c>
      <c r="E98" s="84">
        <f t="shared" si="38"/>
        <v>16224.5</v>
      </c>
      <c r="F98" s="84">
        <f t="shared" si="39"/>
        <v>2.0663287561378859E-2</v>
      </c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 t="s">
        <v>130</v>
      </c>
      <c r="T98" s="84">
        <f>Z53</f>
        <v>40483</v>
      </c>
      <c r="U98" s="84">
        <f t="shared" si="40"/>
        <v>21627</v>
      </c>
      <c r="V98" s="84">
        <f t="shared" si="41"/>
        <v>2.7608977289966179E-2</v>
      </c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 t="s">
        <v>130</v>
      </c>
      <c r="AJ98" s="84">
        <f>AP53</f>
        <v>91555</v>
      </c>
      <c r="AK98" s="84">
        <f t="shared" si="42"/>
        <v>68997</v>
      </c>
      <c r="AL98" s="84">
        <f t="shared" si="43"/>
        <v>8.3490304619755706E-2</v>
      </c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 t="s">
        <v>130</v>
      </c>
      <c r="AZ98" s="84">
        <f>BF53</f>
        <v>83480</v>
      </c>
      <c r="BA98" s="84">
        <f t="shared" si="44"/>
        <v>60634</v>
      </c>
      <c r="BB98" s="84">
        <f t="shared" si="45"/>
        <v>7.3605809413225712E-2</v>
      </c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 t="s">
        <v>130</v>
      </c>
      <c r="BP98" s="84">
        <f>BV53</f>
        <v>380518</v>
      </c>
      <c r="BQ98" s="84">
        <f t="shared" si="46"/>
        <v>356687</v>
      </c>
      <c r="BR98" s="84">
        <f t="shared" si="47"/>
        <v>0.42930234722722604</v>
      </c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 t="s">
        <v>130</v>
      </c>
      <c r="CF98" s="84">
        <f>CL53</f>
        <v>272133</v>
      </c>
      <c r="CG98" s="84">
        <f t="shared" si="48"/>
        <v>247617</v>
      </c>
      <c r="CH98" s="84">
        <f t="shared" si="49"/>
        <v>0.29637646003660961</v>
      </c>
      <c r="CT98" s="84"/>
      <c r="CU98" s="84" t="s">
        <v>130</v>
      </c>
      <c r="CV98" s="84">
        <f>DB53</f>
        <v>617885</v>
      </c>
      <c r="CW98" s="84">
        <f t="shared" si="50"/>
        <v>593843</v>
      </c>
      <c r="CX98" s="84">
        <f t="shared" si="51"/>
        <v>0.72866511256087363</v>
      </c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 t="s">
        <v>130</v>
      </c>
      <c r="DL98" s="84">
        <f>DR53</f>
        <v>485918</v>
      </c>
      <c r="DM98" s="84">
        <f t="shared" si="52"/>
        <v>461788</v>
      </c>
      <c r="DN98" s="84">
        <f t="shared" si="53"/>
        <v>0.57261862026078514</v>
      </c>
      <c r="DO98" s="84"/>
      <c r="DP98" s="84"/>
      <c r="DQ98" s="84"/>
      <c r="DR98" s="84"/>
      <c r="DS98" s="84"/>
      <c r="DT98" s="84"/>
      <c r="DU98" s="84"/>
      <c r="DV98" s="84"/>
      <c r="DW98" s="84"/>
      <c r="DX98" s="84"/>
    </row>
    <row r="99" spans="1:128" x14ac:dyDescent="0.2">
      <c r="A99" s="84"/>
      <c r="B99" s="84"/>
      <c r="C99" s="84" t="s">
        <v>131</v>
      </c>
      <c r="D99" s="84">
        <f>K53</f>
        <v>35517</v>
      </c>
      <c r="E99" s="84">
        <f t="shared" si="38"/>
        <v>16409.5</v>
      </c>
      <c r="F99" s="84">
        <f t="shared" si="39"/>
        <v>2.0898900874507468E-2</v>
      </c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 t="s">
        <v>131</v>
      </c>
      <c r="T99" s="84">
        <f>AA53</f>
        <v>38467</v>
      </c>
      <c r="U99" s="84">
        <f t="shared" si="40"/>
        <v>19611</v>
      </c>
      <c r="V99" s="84">
        <f t="shared" si="41"/>
        <v>2.5035356435637247E-2</v>
      </c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 t="s">
        <v>131</v>
      </c>
      <c r="AJ99" s="84">
        <f>AQ53</f>
        <v>102977</v>
      </c>
      <c r="AK99" s="84">
        <f t="shared" si="42"/>
        <v>80419</v>
      </c>
      <c r="AL99" s="84">
        <f t="shared" si="43"/>
        <v>9.7311575970203554E-2</v>
      </c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 t="s">
        <v>131</v>
      </c>
      <c r="AZ99" s="84">
        <f>BG53</f>
        <v>83629</v>
      </c>
      <c r="BA99" s="84">
        <f t="shared" si="44"/>
        <v>60783</v>
      </c>
      <c r="BB99" s="84">
        <f t="shared" si="45"/>
        <v>7.3786685911602382E-2</v>
      </c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 t="s">
        <v>131</v>
      </c>
      <c r="BP99" s="84">
        <f>BW53</f>
        <v>503604</v>
      </c>
      <c r="BQ99" s="84">
        <f t="shared" si="46"/>
        <v>479773</v>
      </c>
      <c r="BR99" s="84">
        <f t="shared" si="47"/>
        <v>0.57744654286881192</v>
      </c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 t="s">
        <v>131</v>
      </c>
      <c r="CF99" s="84">
        <f>CM53</f>
        <v>275944</v>
      </c>
      <c r="CG99" s="84">
        <f t="shared" si="48"/>
        <v>251428</v>
      </c>
      <c r="CH99" s="84">
        <f t="shared" si="49"/>
        <v>0.30093790246261237</v>
      </c>
      <c r="CT99" s="84"/>
      <c r="CU99" s="84" t="s">
        <v>131</v>
      </c>
      <c r="CV99" s="84">
        <f>DC53</f>
        <v>542728</v>
      </c>
      <c r="CW99" s="84">
        <f t="shared" si="50"/>
        <v>518686</v>
      </c>
      <c r="CX99" s="84">
        <f t="shared" si="51"/>
        <v>0.63644497379568221</v>
      </c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 t="s">
        <v>131</v>
      </c>
      <c r="DL99" s="84">
        <f>DS53</f>
        <v>482950</v>
      </c>
      <c r="DM99" s="84">
        <f t="shared" si="52"/>
        <v>458820</v>
      </c>
      <c r="DN99" s="84">
        <f t="shared" si="53"/>
        <v>0.56893829061832146</v>
      </c>
      <c r="DO99" s="84"/>
      <c r="DP99" s="84"/>
      <c r="DQ99" s="84"/>
      <c r="DR99" s="84"/>
      <c r="DS99" s="84"/>
      <c r="DT99" s="84"/>
      <c r="DU99" s="84"/>
      <c r="DV99" s="84"/>
      <c r="DW99" s="84"/>
      <c r="DX99" s="84"/>
    </row>
    <row r="100" spans="1:128" x14ac:dyDescent="0.2">
      <c r="A100" s="84"/>
      <c r="B100" s="84"/>
      <c r="C100" s="84" t="s">
        <v>132</v>
      </c>
      <c r="D100" s="84">
        <f>L53</f>
        <v>34972</v>
      </c>
      <c r="E100" s="84">
        <f t="shared" si="38"/>
        <v>15864.5</v>
      </c>
      <c r="F100" s="84">
        <f t="shared" si="39"/>
        <v>2.0204796789885352E-2</v>
      </c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 t="s">
        <v>132</v>
      </c>
      <c r="T100" s="84">
        <f>AB53</f>
        <v>39493</v>
      </c>
      <c r="U100" s="84">
        <f t="shared" si="40"/>
        <v>20637</v>
      </c>
      <c r="V100" s="84">
        <f t="shared" si="41"/>
        <v>2.6345145620429649E-2</v>
      </c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 t="s">
        <v>132</v>
      </c>
      <c r="AJ100" s="84">
        <f>AR53</f>
        <v>86613</v>
      </c>
      <c r="AK100" s="84">
        <f t="shared" si="42"/>
        <v>64055</v>
      </c>
      <c r="AL100" s="84">
        <f t="shared" si="43"/>
        <v>7.7510202797490504E-2</v>
      </c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 t="s">
        <v>132</v>
      </c>
      <c r="AZ100" s="84">
        <f>BH53</f>
        <v>94637</v>
      </c>
      <c r="BA100" s="84">
        <f t="shared" si="44"/>
        <v>71791</v>
      </c>
      <c r="BB100" s="84">
        <f t="shared" si="45"/>
        <v>8.7149695939322605E-2</v>
      </c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 t="s">
        <v>132</v>
      </c>
      <c r="BP100" s="84">
        <f>BX53</f>
        <v>491662</v>
      </c>
      <c r="BQ100" s="84">
        <f t="shared" si="46"/>
        <v>467831</v>
      </c>
      <c r="BR100" s="84">
        <f t="shared" si="47"/>
        <v>0.56307335676842829</v>
      </c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 t="s">
        <v>132</v>
      </c>
      <c r="CF100" s="84">
        <f>CN53</f>
        <v>288302</v>
      </c>
      <c r="CG100" s="84">
        <f t="shared" si="48"/>
        <v>263786</v>
      </c>
      <c r="CH100" s="84">
        <f t="shared" si="49"/>
        <v>0.31572937596052414</v>
      </c>
      <c r="CT100" s="84"/>
      <c r="CU100" s="84" t="s">
        <v>132</v>
      </c>
      <c r="CV100" s="84">
        <f>DD53</f>
        <v>571834</v>
      </c>
      <c r="CW100" s="84">
        <f t="shared" si="50"/>
        <v>547792</v>
      </c>
      <c r="CX100" s="84">
        <f t="shared" si="51"/>
        <v>0.67215900387803862</v>
      </c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 t="s">
        <v>132</v>
      </c>
      <c r="DL100" s="84">
        <f>DT53</f>
        <v>504136</v>
      </c>
      <c r="DM100" s="84">
        <f t="shared" si="52"/>
        <v>480006</v>
      </c>
      <c r="DN100" s="84">
        <f t="shared" si="53"/>
        <v>0.59520899944757855</v>
      </c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</row>
    <row r="101" spans="1:128" x14ac:dyDescent="0.2">
      <c r="A101" s="84"/>
      <c r="B101" s="84"/>
      <c r="C101" s="84" t="s">
        <v>133</v>
      </c>
      <c r="D101" s="84">
        <f>M53</f>
        <v>35773</v>
      </c>
      <c r="E101" s="84">
        <f t="shared" si="38"/>
        <v>16665.5</v>
      </c>
      <c r="F101" s="84">
        <f t="shared" si="39"/>
        <v>2.1224938756458405E-2</v>
      </c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 t="s">
        <v>133</v>
      </c>
      <c r="T101" s="84">
        <f>AC53</f>
        <v>38710</v>
      </c>
      <c r="U101" s="84">
        <f t="shared" si="40"/>
        <v>19854</v>
      </c>
      <c r="V101" s="84">
        <f t="shared" si="41"/>
        <v>2.5345569663614394E-2</v>
      </c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 t="s">
        <v>133</v>
      </c>
      <c r="AJ101" s="84">
        <f>AS53</f>
        <v>93637</v>
      </c>
      <c r="AK101" s="84">
        <f t="shared" si="42"/>
        <v>71079</v>
      </c>
      <c r="AL101" s="84">
        <f t="shared" si="43"/>
        <v>8.6009643347792167E-2</v>
      </c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 t="s">
        <v>133</v>
      </c>
      <c r="AZ101" s="84">
        <f>BI53</f>
        <v>99497</v>
      </c>
      <c r="BA101" s="84">
        <f t="shared" si="44"/>
        <v>76651</v>
      </c>
      <c r="BB101" s="84">
        <f t="shared" si="45"/>
        <v>9.3049426020601705E-2</v>
      </c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 t="s">
        <v>133</v>
      </c>
      <c r="BP101" s="84">
        <f>BY53</f>
        <v>493922</v>
      </c>
      <c r="BQ101" s="84">
        <f t="shared" si="46"/>
        <v>470091</v>
      </c>
      <c r="BR101" s="84">
        <f t="shared" si="47"/>
        <v>0.56579345395372949</v>
      </c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 t="s">
        <v>133</v>
      </c>
      <c r="CF101" s="84">
        <f>CO53</f>
        <v>302915</v>
      </c>
      <c r="CG101" s="84">
        <f t="shared" si="48"/>
        <v>278399</v>
      </c>
      <c r="CH101" s="84">
        <f t="shared" si="49"/>
        <v>0.333219892405336</v>
      </c>
      <c r="CT101" s="84"/>
      <c r="CU101" s="84" t="s">
        <v>133</v>
      </c>
      <c r="CV101" s="84">
        <f>DE53</f>
        <v>590899</v>
      </c>
      <c r="CW101" s="84">
        <f t="shared" si="50"/>
        <v>566857</v>
      </c>
      <c r="CX101" s="84">
        <f t="shared" si="51"/>
        <v>0.69555239299094063</v>
      </c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 t="s">
        <v>133</v>
      </c>
      <c r="DL101" s="84">
        <f>DU53</f>
        <v>518032</v>
      </c>
      <c r="DM101" s="84">
        <f t="shared" si="52"/>
        <v>493902</v>
      </c>
      <c r="DN101" s="84">
        <f t="shared" si="53"/>
        <v>0.61244008459302168</v>
      </c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</row>
    <row r="102" spans="1:128" x14ac:dyDescent="0.2">
      <c r="A102" s="84"/>
      <c r="B102" s="84"/>
      <c r="C102" s="84" t="s">
        <v>134</v>
      </c>
      <c r="D102" s="84">
        <f>N53</f>
        <v>36589</v>
      </c>
      <c r="E102" s="84">
        <f t="shared" si="38"/>
        <v>17481.5</v>
      </c>
      <c r="F102" s="84">
        <f t="shared" si="39"/>
        <v>2.2264184505177018E-2</v>
      </c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 t="s">
        <v>134</v>
      </c>
      <c r="T102" s="84">
        <f>AD53</f>
        <v>40737</v>
      </c>
      <c r="U102" s="84">
        <f t="shared" si="40"/>
        <v>21881</v>
      </c>
      <c r="V102" s="84">
        <f t="shared" si="41"/>
        <v>2.7933233092049287E-2</v>
      </c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 t="s">
        <v>134</v>
      </c>
      <c r="AJ102" s="84">
        <f>AT53</f>
        <v>91542</v>
      </c>
      <c r="AK102" s="84">
        <f t="shared" si="42"/>
        <v>68984</v>
      </c>
      <c r="AL102" s="84">
        <f t="shared" si="43"/>
        <v>8.3474573878418307E-2</v>
      </c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 t="s">
        <v>134</v>
      </c>
      <c r="AZ102" s="84">
        <f>BJ53</f>
        <v>101259</v>
      </c>
      <c r="BA102" s="84">
        <f t="shared" si="44"/>
        <v>78413</v>
      </c>
      <c r="BB102" s="84">
        <f t="shared" si="45"/>
        <v>9.5188381659123064E-2</v>
      </c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 t="s">
        <v>134</v>
      </c>
      <c r="BP102" s="84">
        <f>BZ53</f>
        <v>433221</v>
      </c>
      <c r="BQ102" s="84">
        <f t="shared" si="46"/>
        <v>409390</v>
      </c>
      <c r="BR102" s="84">
        <f t="shared" si="47"/>
        <v>0.49273477287188505</v>
      </c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 t="s">
        <v>134</v>
      </c>
      <c r="CF102" s="84">
        <f>CP53</f>
        <v>325456</v>
      </c>
      <c r="CG102" s="84">
        <f t="shared" si="48"/>
        <v>300940</v>
      </c>
      <c r="CH102" s="84">
        <f t="shared" si="49"/>
        <v>0.36019954964084572</v>
      </c>
      <c r="CT102" s="84"/>
      <c r="CU102" s="84" t="s">
        <v>134</v>
      </c>
      <c r="CV102" s="84">
        <f>DF53</f>
        <v>585963</v>
      </c>
      <c r="CW102" s="84">
        <f t="shared" si="50"/>
        <v>561921</v>
      </c>
      <c r="CX102" s="84">
        <f t="shared" si="51"/>
        <v>0.68949575681673214</v>
      </c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 t="s">
        <v>134</v>
      </c>
      <c r="DL102" s="84">
        <f>DV53</f>
        <v>526405</v>
      </c>
      <c r="DM102" s="84">
        <f t="shared" si="52"/>
        <v>502275</v>
      </c>
      <c r="DN102" s="84">
        <f t="shared" si="53"/>
        <v>0.62282263179529529</v>
      </c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</row>
    <row r="103" spans="1:128" x14ac:dyDescent="0.2">
      <c r="A103" s="84"/>
      <c r="B103" s="84"/>
      <c r="C103" s="84" t="s">
        <v>135</v>
      </c>
      <c r="D103" s="84">
        <f>E54</f>
        <v>19305</v>
      </c>
      <c r="E103" s="84">
        <f t="shared" si="38"/>
        <v>197.5</v>
      </c>
      <c r="F103" s="84">
        <f t="shared" si="39"/>
        <v>2.5153313158324291E-4</v>
      </c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 t="s">
        <v>135</v>
      </c>
      <c r="T103" s="84">
        <f>U54</f>
        <v>18883</v>
      </c>
      <c r="U103" s="84">
        <f t="shared" si="40"/>
        <v>27</v>
      </c>
      <c r="V103" s="84">
        <f t="shared" si="41"/>
        <v>3.4468136441905343E-5</v>
      </c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 t="s">
        <v>135</v>
      </c>
      <c r="AJ103" s="84">
        <f>AK54</f>
        <v>22719</v>
      </c>
      <c r="AK103" s="84">
        <f t="shared" si="42"/>
        <v>161</v>
      </c>
      <c r="AL103" s="84">
        <f t="shared" si="43"/>
        <v>1.9481918117861166E-4</v>
      </c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 t="s">
        <v>135</v>
      </c>
      <c r="AZ103" s="84">
        <f>BA54</f>
        <v>22152</v>
      </c>
      <c r="BA103" s="84">
        <f t="shared" si="44"/>
        <v>-694</v>
      </c>
      <c r="BB103" s="84">
        <f t="shared" si="45"/>
        <v>-8.4247174411680975E-4</v>
      </c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 t="s">
        <v>135</v>
      </c>
      <c r="BP103" s="84">
        <f>BQ54</f>
        <v>24973</v>
      </c>
      <c r="BQ103" s="84">
        <f t="shared" si="46"/>
        <v>1142</v>
      </c>
      <c r="BR103" s="84">
        <f t="shared" si="47"/>
        <v>1.3744915865548566E-3</v>
      </c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 t="s">
        <v>135</v>
      </c>
      <c r="CF103" s="84">
        <f>CG54</f>
        <v>24386</v>
      </c>
      <c r="CG103" s="84">
        <f t="shared" si="48"/>
        <v>-130</v>
      </c>
      <c r="CH103" s="84">
        <f t="shared" si="49"/>
        <v>-1.555989282026648E-4</v>
      </c>
      <c r="CT103" s="84"/>
      <c r="CU103" s="84" t="s">
        <v>135</v>
      </c>
      <c r="CV103" s="84">
        <f>CW54</f>
        <v>25159</v>
      </c>
      <c r="CW103" s="84">
        <f t="shared" si="50"/>
        <v>1117</v>
      </c>
      <c r="CX103" s="84">
        <f t="shared" si="51"/>
        <v>1.3705961520645959E-3</v>
      </c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 t="s">
        <v>135</v>
      </c>
      <c r="DL103" s="84">
        <f>DM54</f>
        <v>24056</v>
      </c>
      <c r="DM103" s="84">
        <f t="shared" si="52"/>
        <v>-74</v>
      </c>
      <c r="DN103" s="84">
        <f t="shared" si="53"/>
        <v>-9.1760240411829878E-5</v>
      </c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</row>
    <row r="104" spans="1:128" x14ac:dyDescent="0.2">
      <c r="A104" s="84"/>
      <c r="B104" s="84"/>
      <c r="C104" s="84" t="s">
        <v>136</v>
      </c>
      <c r="D104" s="84">
        <f>F54</f>
        <v>776161</v>
      </c>
      <c r="E104" s="84">
        <f t="shared" si="38"/>
        <v>757053.5</v>
      </c>
      <c r="F104" s="84">
        <f t="shared" si="39"/>
        <v>0.96417234243571948</v>
      </c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 t="s">
        <v>136</v>
      </c>
      <c r="T104" s="84">
        <f>V54</f>
        <v>779370</v>
      </c>
      <c r="U104" s="84">
        <f t="shared" si="40"/>
        <v>760514</v>
      </c>
      <c r="V104" s="84">
        <f t="shared" si="41"/>
        <v>0.97087038214737775</v>
      </c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 t="s">
        <v>136</v>
      </c>
      <c r="AJ104" s="84">
        <f>AL54</f>
        <v>823888</v>
      </c>
      <c r="AK104" s="84">
        <f t="shared" si="42"/>
        <v>801330</v>
      </c>
      <c r="AL104" s="84">
        <f t="shared" si="43"/>
        <v>0.96965499660780674</v>
      </c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 t="s">
        <v>136</v>
      </c>
      <c r="AZ104" s="84">
        <f>BB54</f>
        <v>825853</v>
      </c>
      <c r="BA104" s="84">
        <f t="shared" si="44"/>
        <v>803007</v>
      </c>
      <c r="BB104" s="84">
        <f t="shared" si="45"/>
        <v>0.97479929081845407</v>
      </c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 t="s">
        <v>136</v>
      </c>
      <c r="BP104" s="84">
        <f>BR54</f>
        <v>834711</v>
      </c>
      <c r="BQ104" s="84">
        <f t="shared" si="46"/>
        <v>810880</v>
      </c>
      <c r="BR104" s="84">
        <f t="shared" si="47"/>
        <v>0.97596124142346941</v>
      </c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 t="s">
        <v>136</v>
      </c>
      <c r="CF104" s="84">
        <f>CH54</f>
        <v>840869</v>
      </c>
      <c r="CG104" s="84">
        <f t="shared" si="48"/>
        <v>816353</v>
      </c>
      <c r="CH104" s="84">
        <f t="shared" si="49"/>
        <v>0.97710501411561557</v>
      </c>
      <c r="CT104" s="84"/>
      <c r="CU104" s="84" t="s">
        <v>136</v>
      </c>
      <c r="CV104" s="84">
        <f>CX54</f>
        <v>812352</v>
      </c>
      <c r="CW104" s="84">
        <f t="shared" si="50"/>
        <v>788310</v>
      </c>
      <c r="CX104" s="84">
        <f t="shared" si="51"/>
        <v>0.96728258964551617</v>
      </c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 t="s">
        <v>136</v>
      </c>
      <c r="DL104" s="84">
        <f>DN54</f>
        <v>801468</v>
      </c>
      <c r="DM104" s="84">
        <f t="shared" si="52"/>
        <v>777338</v>
      </c>
      <c r="DN104" s="84">
        <f t="shared" si="53"/>
        <v>0.96390164542231105</v>
      </c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</row>
    <row r="105" spans="1:128" x14ac:dyDescent="0.2">
      <c r="A105" s="84"/>
      <c r="B105" s="84"/>
      <c r="C105" s="84" t="s">
        <v>137</v>
      </c>
      <c r="D105" s="84">
        <f>G54</f>
        <v>37398</v>
      </c>
      <c r="E105" s="84">
        <f t="shared" si="38"/>
        <v>18290.5</v>
      </c>
      <c r="F105" s="84">
        <f t="shared" si="39"/>
        <v>2.3294515155561035E-2</v>
      </c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 t="s">
        <v>137</v>
      </c>
      <c r="T105" s="84">
        <f>W54</f>
        <v>40913</v>
      </c>
      <c r="U105" s="84">
        <f t="shared" si="40"/>
        <v>22057</v>
      </c>
      <c r="V105" s="84">
        <f t="shared" si="41"/>
        <v>2.815791427774467E-2</v>
      </c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 t="s">
        <v>137</v>
      </c>
      <c r="AJ105" s="84">
        <f>AM54</f>
        <v>84659</v>
      </c>
      <c r="AK105" s="84">
        <f t="shared" si="42"/>
        <v>62101</v>
      </c>
      <c r="AL105" s="84">
        <f t="shared" si="43"/>
        <v>7.5145751368776173E-2</v>
      </c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 t="s">
        <v>137</v>
      </c>
      <c r="AZ105" s="84">
        <f>BC54</f>
        <v>102328</v>
      </c>
      <c r="BA105" s="84">
        <f t="shared" si="44"/>
        <v>79482</v>
      </c>
      <c r="BB105" s="84">
        <f t="shared" si="45"/>
        <v>9.648607948975832E-2</v>
      </c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 t="s">
        <v>137</v>
      </c>
      <c r="BP105" s="84">
        <f>BS54</f>
        <v>447288</v>
      </c>
      <c r="BQ105" s="84">
        <f t="shared" si="46"/>
        <v>423457</v>
      </c>
      <c r="BR105" s="84">
        <f t="shared" si="47"/>
        <v>0.50966557247614697</v>
      </c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 t="s">
        <v>137</v>
      </c>
      <c r="CF105" s="84">
        <f>CI54</f>
        <v>300936</v>
      </c>
      <c r="CG105" s="84">
        <f t="shared" si="48"/>
        <v>276420</v>
      </c>
      <c r="CH105" s="84">
        <f t="shared" si="49"/>
        <v>0.3308511979521585</v>
      </c>
      <c r="CT105" s="84"/>
      <c r="CU105" s="84" t="s">
        <v>137</v>
      </c>
      <c r="CV105" s="84">
        <f>CY54</f>
        <v>594739</v>
      </c>
      <c r="CW105" s="84">
        <f t="shared" si="50"/>
        <v>570697</v>
      </c>
      <c r="CX105" s="84">
        <f t="shared" si="51"/>
        <v>0.70026420071155659</v>
      </c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 t="s">
        <v>137</v>
      </c>
      <c r="DL105" s="84">
        <f>DO54</f>
        <v>512126</v>
      </c>
      <c r="DM105" s="84">
        <f t="shared" si="52"/>
        <v>487996</v>
      </c>
      <c r="DN105" s="84">
        <f t="shared" si="53"/>
        <v>0.60511662540555855</v>
      </c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</row>
    <row r="106" spans="1:128" x14ac:dyDescent="0.2">
      <c r="A106" s="84"/>
      <c r="B106" s="84"/>
      <c r="C106" s="84" t="s">
        <v>138</v>
      </c>
      <c r="D106" s="84">
        <f>H54</f>
        <v>38563</v>
      </c>
      <c r="E106" s="84">
        <f t="shared" si="38"/>
        <v>19455.5</v>
      </c>
      <c r="F106" s="84">
        <f t="shared" si="39"/>
        <v>2.4778242235533075E-2</v>
      </c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 t="s">
        <v>138</v>
      </c>
      <c r="T106" s="84">
        <f>X54</f>
        <v>39562</v>
      </c>
      <c r="U106" s="84">
        <f t="shared" si="40"/>
        <v>20706</v>
      </c>
      <c r="V106" s="84">
        <f t="shared" si="41"/>
        <v>2.6433230858003406E-2</v>
      </c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 t="s">
        <v>138</v>
      </c>
      <c r="AJ106" s="84">
        <f>AN54</f>
        <v>96759</v>
      </c>
      <c r="AK106" s="84">
        <f t="shared" si="42"/>
        <v>74201</v>
      </c>
      <c r="AL106" s="84">
        <f t="shared" si="43"/>
        <v>8.9787441382820896E-2</v>
      </c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 t="s">
        <v>138</v>
      </c>
      <c r="AZ106" s="84">
        <f>BD54</f>
        <v>97186</v>
      </c>
      <c r="BA106" s="84">
        <f t="shared" si="44"/>
        <v>74340</v>
      </c>
      <c r="BB106" s="84">
        <f t="shared" si="45"/>
        <v>9.0244019391417352E-2</v>
      </c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 t="s">
        <v>138</v>
      </c>
      <c r="BP106" s="84">
        <f>BT54</f>
        <v>425258</v>
      </c>
      <c r="BQ106" s="84">
        <f t="shared" si="46"/>
        <v>401427</v>
      </c>
      <c r="BR106" s="84">
        <f t="shared" si="47"/>
        <v>0.48315064283358705</v>
      </c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 t="s">
        <v>138</v>
      </c>
      <c r="CF106" s="84">
        <f>CJ54</f>
        <v>293644</v>
      </c>
      <c r="CG106" s="84">
        <f t="shared" si="48"/>
        <v>269128</v>
      </c>
      <c r="CH106" s="84">
        <f t="shared" si="49"/>
        <v>0.32212329499482134</v>
      </c>
      <c r="CT106" s="84"/>
      <c r="CU106" s="84" t="s">
        <v>138</v>
      </c>
      <c r="CV106" s="84">
        <f>CZ54</f>
        <v>605354</v>
      </c>
      <c r="CW106" s="84">
        <f t="shared" si="50"/>
        <v>581312</v>
      </c>
      <c r="CX106" s="84">
        <f t="shared" si="51"/>
        <v>0.71328915877258225</v>
      </c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 t="s">
        <v>138</v>
      </c>
      <c r="DL106" s="84">
        <f>DP54</f>
        <v>492592</v>
      </c>
      <c r="DM106" s="84">
        <f t="shared" si="52"/>
        <v>468462</v>
      </c>
      <c r="DN106" s="84">
        <f t="shared" si="53"/>
        <v>0.58089440194333308</v>
      </c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</row>
    <row r="107" spans="1:128" x14ac:dyDescent="0.2">
      <c r="A107" s="84"/>
      <c r="B107" s="84"/>
      <c r="C107" s="84" t="s">
        <v>139</v>
      </c>
      <c r="D107" s="84">
        <f>I54</f>
        <v>39607</v>
      </c>
      <c r="E107" s="84">
        <f t="shared" si="38"/>
        <v>20499.5</v>
      </c>
      <c r="F107" s="84">
        <f t="shared" si="39"/>
        <v>2.6107865472864245E-2</v>
      </c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 t="s">
        <v>139</v>
      </c>
      <c r="T107" s="84">
        <f>Y54</f>
        <v>39845</v>
      </c>
      <c r="U107" s="84">
        <f t="shared" si="40"/>
        <v>20989</v>
      </c>
      <c r="V107" s="84">
        <f t="shared" si="41"/>
        <v>2.6794507991820416E-2</v>
      </c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 t="s">
        <v>139</v>
      </c>
      <c r="AJ107" s="84">
        <f>AO54</f>
        <v>89611</v>
      </c>
      <c r="AK107" s="84">
        <f t="shared" si="42"/>
        <v>67053</v>
      </c>
      <c r="AL107" s="84">
        <f t="shared" si="43"/>
        <v>8.1137953761300924E-2</v>
      </c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 t="s">
        <v>139</v>
      </c>
      <c r="AZ107" s="84">
        <f>BE54</f>
        <v>83298</v>
      </c>
      <c r="BA107" s="84">
        <f t="shared" si="44"/>
        <v>60452</v>
      </c>
      <c r="BB107" s="84">
        <f t="shared" si="45"/>
        <v>7.3384873019235422E-2</v>
      </c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 t="s">
        <v>139</v>
      </c>
      <c r="BP107" s="84">
        <f>BU54</f>
        <v>399380</v>
      </c>
      <c r="BQ107" s="84">
        <f t="shared" si="46"/>
        <v>375549</v>
      </c>
      <c r="BR107" s="84">
        <f t="shared" si="47"/>
        <v>0.45200432647906291</v>
      </c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 t="s">
        <v>139</v>
      </c>
      <c r="CF107" s="84">
        <f>CK54</f>
        <v>257148</v>
      </c>
      <c r="CG107" s="84">
        <f t="shared" si="48"/>
        <v>232632</v>
      </c>
      <c r="CH107" s="84">
        <f t="shared" si="49"/>
        <v>0.2784406912741717</v>
      </c>
      <c r="CT107" s="84"/>
      <c r="CU107" s="84" t="s">
        <v>139</v>
      </c>
      <c r="CV107" s="84">
        <f>DA54</f>
        <v>558330</v>
      </c>
      <c r="CW107" s="84">
        <f t="shared" si="50"/>
        <v>534288</v>
      </c>
      <c r="CX107" s="84">
        <f t="shared" si="51"/>
        <v>0.6555891467272057</v>
      </c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 t="s">
        <v>139</v>
      </c>
      <c r="DL107" s="84">
        <f>DQ54</f>
        <v>467390</v>
      </c>
      <c r="DM107" s="84">
        <f t="shared" si="52"/>
        <v>443260</v>
      </c>
      <c r="DN107" s="84">
        <f t="shared" si="53"/>
        <v>0.54964384006686096</v>
      </c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</row>
    <row r="108" spans="1:128" x14ac:dyDescent="0.2">
      <c r="A108" s="84"/>
      <c r="B108" s="84"/>
      <c r="C108" s="84" t="s">
        <v>140</v>
      </c>
      <c r="D108" s="84">
        <f>J54</f>
        <v>39861</v>
      </c>
      <c r="E108" s="84">
        <f t="shared" si="38"/>
        <v>20753.5</v>
      </c>
      <c r="F108" s="84">
        <f t="shared" si="39"/>
        <v>2.6431356183862439E-2</v>
      </c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 t="s">
        <v>140</v>
      </c>
      <c r="T108" s="84">
        <f>Z54</f>
        <v>41880</v>
      </c>
      <c r="U108" s="84">
        <f t="shared" si="40"/>
        <v>23024</v>
      </c>
      <c r="V108" s="84">
        <f t="shared" si="41"/>
        <v>2.9392384201423281E-2</v>
      </c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 t="s">
        <v>140</v>
      </c>
      <c r="AJ108" s="84">
        <f>AP54</f>
        <v>96955</v>
      </c>
      <c r="AK108" s="84">
        <f t="shared" si="42"/>
        <v>74397</v>
      </c>
      <c r="AL108" s="84">
        <f t="shared" si="43"/>
        <v>9.0024612559907902E-2</v>
      </c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 t="s">
        <v>140</v>
      </c>
      <c r="AZ108" s="84">
        <f>BF54</f>
        <v>100306</v>
      </c>
      <c r="BA108" s="84">
        <f t="shared" si="44"/>
        <v>77460</v>
      </c>
      <c r="BB108" s="84">
        <f t="shared" si="45"/>
        <v>9.4031500431250845E-2</v>
      </c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 t="s">
        <v>140</v>
      </c>
      <c r="BP108" s="84">
        <f>BV54</f>
        <v>424125</v>
      </c>
      <c r="BQ108" s="84">
        <f t="shared" si="46"/>
        <v>400294</v>
      </c>
      <c r="BR108" s="84">
        <f t="shared" si="47"/>
        <v>0.48178698349246035</v>
      </c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 t="s">
        <v>140</v>
      </c>
      <c r="CF108" s="84">
        <f>CL54</f>
        <v>283149</v>
      </c>
      <c r="CG108" s="84">
        <f t="shared" si="48"/>
        <v>258633</v>
      </c>
      <c r="CH108" s="84">
        <f t="shared" si="49"/>
        <v>0.30956167382953698</v>
      </c>
      <c r="CT108" s="84"/>
      <c r="CU108" s="84" t="s">
        <v>140</v>
      </c>
      <c r="CV108" s="84">
        <f>DB54</f>
        <v>551962</v>
      </c>
      <c r="CW108" s="84">
        <f t="shared" si="50"/>
        <v>527920</v>
      </c>
      <c r="CX108" s="84">
        <f t="shared" si="51"/>
        <v>0.64777539892385094</v>
      </c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 t="s">
        <v>140</v>
      </c>
      <c r="DL108" s="84">
        <f>DR54</f>
        <v>495756</v>
      </c>
      <c r="DM108" s="84">
        <f t="shared" si="52"/>
        <v>471626</v>
      </c>
      <c r="DN108" s="84">
        <f t="shared" si="53"/>
        <v>0.58481777222256326</v>
      </c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</row>
    <row r="109" spans="1:128" x14ac:dyDescent="0.2">
      <c r="A109" s="84"/>
      <c r="B109" s="84"/>
      <c r="C109" s="84" t="s">
        <v>141</v>
      </c>
      <c r="D109" s="84">
        <f>K54</f>
        <v>40068</v>
      </c>
      <c r="E109" s="84">
        <f t="shared" si="38"/>
        <v>20960.5</v>
      </c>
      <c r="F109" s="84">
        <f t="shared" si="39"/>
        <v>2.6694988377471206E-2</v>
      </c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 t="s">
        <v>141</v>
      </c>
      <c r="T109" s="84">
        <f>AA54</f>
        <v>41718</v>
      </c>
      <c r="U109" s="84">
        <f t="shared" si="40"/>
        <v>22862</v>
      </c>
      <c r="V109" s="84">
        <f t="shared" si="41"/>
        <v>2.9185575382771847E-2</v>
      </c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 t="s">
        <v>141</v>
      </c>
      <c r="AJ109" s="84">
        <f>AQ54</f>
        <v>84201</v>
      </c>
      <c r="AK109" s="84">
        <f t="shared" si="42"/>
        <v>61643</v>
      </c>
      <c r="AL109" s="84">
        <f t="shared" si="43"/>
        <v>7.4591545250889194E-2</v>
      </c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 t="s">
        <v>141</v>
      </c>
      <c r="AZ109" s="84">
        <f>BG54</f>
        <v>97212</v>
      </c>
      <c r="BA109" s="84">
        <f t="shared" si="44"/>
        <v>74366</v>
      </c>
      <c r="BB109" s="84">
        <f t="shared" si="45"/>
        <v>9.027558173341596E-2</v>
      </c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 t="s">
        <v>141</v>
      </c>
      <c r="BP109" s="84">
        <f>BW54</f>
        <v>478292</v>
      </c>
      <c r="BQ109" s="84">
        <f t="shared" si="46"/>
        <v>454461</v>
      </c>
      <c r="BR109" s="84">
        <f t="shared" si="47"/>
        <v>0.54698145439343837</v>
      </c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 t="s">
        <v>141</v>
      </c>
      <c r="CF109" s="84">
        <f>CM54</f>
        <v>288977</v>
      </c>
      <c r="CG109" s="84">
        <f t="shared" si="48"/>
        <v>264461</v>
      </c>
      <c r="CH109" s="84">
        <f t="shared" si="49"/>
        <v>0.31653729347234566</v>
      </c>
      <c r="CT109" s="84"/>
      <c r="CU109" s="84" t="s">
        <v>141</v>
      </c>
      <c r="CV109" s="84">
        <f>DC54</f>
        <v>576148</v>
      </c>
      <c r="CW109" s="84">
        <f t="shared" si="50"/>
        <v>552106</v>
      </c>
      <c r="CX109" s="84">
        <f t="shared" si="51"/>
        <v>0.67745242536416805</v>
      </c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 t="s">
        <v>141</v>
      </c>
      <c r="DL109" s="84">
        <f>DS54</f>
        <v>547624</v>
      </c>
      <c r="DM109" s="84">
        <f t="shared" si="52"/>
        <v>523494</v>
      </c>
      <c r="DN109" s="84">
        <f t="shared" si="53"/>
        <v>0.64913426073176317</v>
      </c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</row>
    <row r="110" spans="1:128" x14ac:dyDescent="0.2">
      <c r="A110" s="84"/>
      <c r="B110" s="84"/>
      <c r="C110" s="84" t="s">
        <v>142</v>
      </c>
      <c r="D110" s="84">
        <f>L54</f>
        <v>39403</v>
      </c>
      <c r="E110" s="84">
        <f t="shared" si="38"/>
        <v>20295.5</v>
      </c>
      <c r="F110" s="84">
        <f t="shared" si="39"/>
        <v>2.5848054035684589E-2</v>
      </c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 t="s">
        <v>142</v>
      </c>
      <c r="T110" s="84">
        <f>AB54</f>
        <v>40493</v>
      </c>
      <c r="U110" s="84">
        <f t="shared" si="40"/>
        <v>21637</v>
      </c>
      <c r="V110" s="84">
        <f t="shared" si="41"/>
        <v>2.7621743266426142E-2</v>
      </c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 t="s">
        <v>142</v>
      </c>
      <c r="AJ110" s="84">
        <f>AR54</f>
        <v>91510</v>
      </c>
      <c r="AK110" s="84">
        <f t="shared" si="42"/>
        <v>68952</v>
      </c>
      <c r="AL110" s="84">
        <f t="shared" si="43"/>
        <v>8.3435852053587778E-2</v>
      </c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 t="s">
        <v>142</v>
      </c>
      <c r="AZ110" s="84">
        <f>BH54</f>
        <v>86491</v>
      </c>
      <c r="BA110" s="84">
        <f t="shared" si="44"/>
        <v>63645</v>
      </c>
      <c r="BB110" s="84">
        <f t="shared" si="45"/>
        <v>7.726097140391118E-2</v>
      </c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 t="s">
        <v>142</v>
      </c>
      <c r="BP110" s="84">
        <f>BX54</f>
        <v>489336</v>
      </c>
      <c r="BQ110" s="84">
        <f t="shared" si="46"/>
        <v>465505</v>
      </c>
      <c r="BR110" s="84">
        <f t="shared" si="47"/>
        <v>0.56027382311665364</v>
      </c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 t="s">
        <v>142</v>
      </c>
      <c r="CF110" s="84">
        <f>CN54</f>
        <v>284192</v>
      </c>
      <c r="CG110" s="84">
        <f t="shared" si="48"/>
        <v>259676</v>
      </c>
      <c r="CH110" s="84">
        <f t="shared" si="49"/>
        <v>0.31081005599965528</v>
      </c>
      <c r="CT110" s="84"/>
      <c r="CU110" s="84" t="s">
        <v>142</v>
      </c>
      <c r="CV110" s="84">
        <f>DD54</f>
        <v>572442</v>
      </c>
      <c r="CW110" s="84">
        <f t="shared" si="50"/>
        <v>548400</v>
      </c>
      <c r="CX110" s="84">
        <f t="shared" si="51"/>
        <v>0.67290504010046948</v>
      </c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 t="s">
        <v>142</v>
      </c>
      <c r="DL110" s="84">
        <f>DT54</f>
        <v>508808</v>
      </c>
      <c r="DM110" s="84">
        <f t="shared" si="52"/>
        <v>484678</v>
      </c>
      <c r="DN110" s="84">
        <f t="shared" si="53"/>
        <v>0.60100229462601196</v>
      </c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</row>
    <row r="111" spans="1:128" x14ac:dyDescent="0.2">
      <c r="A111" s="84"/>
      <c r="B111" s="84"/>
      <c r="C111" s="84" t="s">
        <v>143</v>
      </c>
      <c r="D111" s="84">
        <f>M54</f>
        <v>37418</v>
      </c>
      <c r="E111" s="84">
        <f t="shared" si="38"/>
        <v>18310.5</v>
      </c>
      <c r="F111" s="84">
        <f t="shared" si="39"/>
        <v>2.3319986865088453E-2</v>
      </c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 t="s">
        <v>143</v>
      </c>
      <c r="T111" s="84">
        <f>AC54</f>
        <v>41384</v>
      </c>
      <c r="U111" s="84">
        <f t="shared" si="40"/>
        <v>22528</v>
      </c>
      <c r="V111" s="84">
        <f t="shared" si="41"/>
        <v>2.875919176900902E-2</v>
      </c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 t="s">
        <v>143</v>
      </c>
      <c r="AJ111" s="84">
        <f>AS54</f>
        <v>98668</v>
      </c>
      <c r="AK111" s="84">
        <f t="shared" si="42"/>
        <v>76110</v>
      </c>
      <c r="AL111" s="84">
        <f t="shared" si="43"/>
        <v>9.2097440245367299E-2</v>
      </c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 t="s">
        <v>143</v>
      </c>
      <c r="AZ111" s="84">
        <f>BI54</f>
        <v>101889</v>
      </c>
      <c r="BA111" s="84">
        <f t="shared" si="44"/>
        <v>79043</v>
      </c>
      <c r="BB111" s="84">
        <f t="shared" si="45"/>
        <v>9.5953161484474053E-2</v>
      </c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 t="s">
        <v>143</v>
      </c>
      <c r="BP111" s="84">
        <f>BY54</f>
        <v>539151</v>
      </c>
      <c r="BQ111" s="84">
        <f t="shared" si="46"/>
        <v>515320</v>
      </c>
      <c r="BR111" s="84">
        <f t="shared" si="47"/>
        <v>0.6202303015616889</v>
      </c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 t="s">
        <v>143</v>
      </c>
      <c r="CF111" s="84">
        <f>CO54</f>
        <v>297521</v>
      </c>
      <c r="CG111" s="84">
        <f t="shared" si="48"/>
        <v>273005</v>
      </c>
      <c r="CH111" s="84">
        <f t="shared" si="49"/>
        <v>0.32676373379975771</v>
      </c>
      <c r="CT111" s="84"/>
      <c r="CU111" s="84" t="s">
        <v>143</v>
      </c>
      <c r="CV111" s="84">
        <f>DE54</f>
        <v>572402</v>
      </c>
      <c r="CW111" s="84">
        <f t="shared" si="50"/>
        <v>548360</v>
      </c>
      <c r="CX111" s="84">
        <f t="shared" si="51"/>
        <v>0.67285595877004634</v>
      </c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 t="s">
        <v>143</v>
      </c>
      <c r="DL111" s="84">
        <f>DU54</f>
        <v>500732</v>
      </c>
      <c r="DM111" s="84">
        <f t="shared" si="52"/>
        <v>476602</v>
      </c>
      <c r="DN111" s="84">
        <f t="shared" si="53"/>
        <v>0.5909880283886344</v>
      </c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</row>
    <row r="112" spans="1:128" x14ac:dyDescent="0.2">
      <c r="A112" s="84"/>
      <c r="B112" s="84"/>
      <c r="C112" s="84" t="s">
        <v>144</v>
      </c>
      <c r="D112" s="84">
        <f>N54</f>
        <v>37860</v>
      </c>
      <c r="E112" s="84">
        <f t="shared" si="38"/>
        <v>18752.5</v>
      </c>
      <c r="F112" s="84">
        <f t="shared" si="39"/>
        <v>2.3882911645644368E-2</v>
      </c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 t="s">
        <v>144</v>
      </c>
      <c r="T112" s="84">
        <f>AD54</f>
        <v>40859</v>
      </c>
      <c r="U112" s="84">
        <f t="shared" si="40"/>
        <v>22003</v>
      </c>
      <c r="V112" s="84">
        <f t="shared" si="41"/>
        <v>2.8088978004860859E-2</v>
      </c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 t="s">
        <v>144</v>
      </c>
      <c r="AJ112" s="84">
        <f>AT54</f>
        <v>103148</v>
      </c>
      <c r="AK112" s="84">
        <f t="shared" si="42"/>
        <v>80590</v>
      </c>
      <c r="AL112" s="84">
        <f t="shared" si="43"/>
        <v>9.7518495721641701E-2</v>
      </c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 t="s">
        <v>144</v>
      </c>
      <c r="AZ112" s="84">
        <f>BJ54</f>
        <v>100539</v>
      </c>
      <c r="BA112" s="84">
        <f t="shared" si="44"/>
        <v>77693</v>
      </c>
      <c r="BB112" s="84">
        <f t="shared" si="45"/>
        <v>9.4314347573007648E-2</v>
      </c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 t="s">
        <v>144</v>
      </c>
      <c r="BP112" s="84">
        <f>BZ54</f>
        <v>519670</v>
      </c>
      <c r="BQ112" s="84">
        <f t="shared" si="46"/>
        <v>495839</v>
      </c>
      <c r="BR112" s="84">
        <f t="shared" si="47"/>
        <v>0.59678330454095752</v>
      </c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 t="s">
        <v>144</v>
      </c>
      <c r="CF112" s="84">
        <f>CP54</f>
        <v>306475</v>
      </c>
      <c r="CG112" s="84">
        <f t="shared" si="48"/>
        <v>281959</v>
      </c>
      <c r="CH112" s="84">
        <f t="shared" si="49"/>
        <v>0.33748090920842433</v>
      </c>
      <c r="CT112" s="84"/>
      <c r="CU112" s="84" t="s">
        <v>144</v>
      </c>
      <c r="CV112" s="84">
        <f>DF54</f>
        <v>589275</v>
      </c>
      <c r="CW112" s="84">
        <f t="shared" si="50"/>
        <v>565233</v>
      </c>
      <c r="CX112" s="84">
        <f t="shared" si="51"/>
        <v>0.69355969097576342</v>
      </c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 t="s">
        <v>144</v>
      </c>
      <c r="DL112" s="84">
        <f>DV54</f>
        <v>535696</v>
      </c>
      <c r="DM112" s="84">
        <f t="shared" si="52"/>
        <v>511566</v>
      </c>
      <c r="DN112" s="84">
        <f t="shared" si="53"/>
        <v>0.63434350197997513</v>
      </c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</row>
    <row r="113" spans="1:128" x14ac:dyDescent="0.2">
      <c r="A113" s="84"/>
      <c r="B113" s="84"/>
      <c r="C113" s="84" t="s">
        <v>145</v>
      </c>
      <c r="D113" s="84">
        <f>E55</f>
        <v>18796</v>
      </c>
      <c r="E113" s="84">
        <f t="shared" si="38"/>
        <v>-311.5</v>
      </c>
      <c r="F113" s="84">
        <f t="shared" si="39"/>
        <v>-3.9672187588951982E-4</v>
      </c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 t="s">
        <v>145</v>
      </c>
      <c r="T113" s="84">
        <f>U55</f>
        <v>18846</v>
      </c>
      <c r="U113" s="84">
        <f t="shared" si="40"/>
        <v>-10</v>
      </c>
      <c r="V113" s="84">
        <f t="shared" si="41"/>
        <v>-1.276597645996494E-5</v>
      </c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 t="s">
        <v>145</v>
      </c>
      <c r="AJ113" s="84">
        <f>AK55</f>
        <v>21510</v>
      </c>
      <c r="AK113" s="84">
        <f t="shared" si="42"/>
        <v>-1048</v>
      </c>
      <c r="AL113" s="84">
        <f t="shared" si="43"/>
        <v>-1.2681397631999071E-3</v>
      </c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 t="s">
        <v>145</v>
      </c>
      <c r="AZ113" s="84">
        <f>BA55</f>
        <v>22325</v>
      </c>
      <c r="BA113" s="84">
        <f t="shared" si="44"/>
        <v>-521</v>
      </c>
      <c r="BB113" s="84">
        <f t="shared" si="45"/>
        <v>-6.3246077620296524E-4</v>
      </c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 t="s">
        <v>145</v>
      </c>
      <c r="BP113" s="84">
        <f>BQ55</f>
        <v>23473</v>
      </c>
      <c r="BQ113" s="84">
        <f t="shared" si="46"/>
        <v>-358</v>
      </c>
      <c r="BR113" s="84">
        <f t="shared" si="47"/>
        <v>-4.3088265147691652E-4</v>
      </c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 t="s">
        <v>145</v>
      </c>
      <c r="CF113" s="84">
        <f>CG55</f>
        <v>24918</v>
      </c>
      <c r="CG113" s="84">
        <f t="shared" si="48"/>
        <v>402</v>
      </c>
      <c r="CH113" s="84">
        <f t="shared" si="49"/>
        <v>4.8115976259593268E-4</v>
      </c>
      <c r="CT113" s="84"/>
      <c r="CU113" s="84" t="s">
        <v>145</v>
      </c>
      <c r="CV113" s="84">
        <f>CW55</f>
        <v>24370</v>
      </c>
      <c r="CW113" s="84">
        <f t="shared" si="50"/>
        <v>328</v>
      </c>
      <c r="CX113" s="84">
        <f t="shared" si="51"/>
        <v>4.0246690946928149E-4</v>
      </c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 t="s">
        <v>145</v>
      </c>
      <c r="DL113" s="84">
        <f>DM55</f>
        <v>23788</v>
      </c>
      <c r="DM113" s="84">
        <f t="shared" si="52"/>
        <v>-342</v>
      </c>
      <c r="DN113" s="84">
        <f t="shared" si="53"/>
        <v>-4.2408111109251104E-4</v>
      </c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</row>
    <row r="114" spans="1:128" x14ac:dyDescent="0.2">
      <c r="A114" s="84"/>
      <c r="B114" s="84"/>
      <c r="C114" s="84" t="s">
        <v>146</v>
      </c>
      <c r="D114" s="84">
        <f>F55</f>
        <v>788953</v>
      </c>
      <c r="E114" s="84">
        <f t="shared" si="38"/>
        <v>769845.5</v>
      </c>
      <c r="F114" s="84">
        <f t="shared" si="39"/>
        <v>0.9804640478494554</v>
      </c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 t="s">
        <v>146</v>
      </c>
      <c r="T114" s="84">
        <f>V55</f>
        <v>788362</v>
      </c>
      <c r="U114" s="84">
        <f t="shared" si="40"/>
        <v>769506</v>
      </c>
      <c r="V114" s="84">
        <f t="shared" si="41"/>
        <v>0.98234954818017817</v>
      </c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 t="s">
        <v>146</v>
      </c>
      <c r="AJ114" s="84">
        <f>AL55</f>
        <v>828764</v>
      </c>
      <c r="AK114" s="84">
        <f t="shared" si="42"/>
        <v>806206</v>
      </c>
      <c r="AL114" s="84">
        <f t="shared" si="43"/>
        <v>0.97555523466635896</v>
      </c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 t="s">
        <v>146</v>
      </c>
      <c r="AZ114" s="84">
        <f>BB55</f>
        <v>828533</v>
      </c>
      <c r="BA114" s="84">
        <f t="shared" si="44"/>
        <v>805687</v>
      </c>
      <c r="BB114" s="84">
        <f t="shared" si="45"/>
        <v>0.97805263991677249</v>
      </c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 t="s">
        <v>146</v>
      </c>
      <c r="BP114" s="84">
        <f>BR55</f>
        <v>827166</v>
      </c>
      <c r="BQ114" s="84">
        <f t="shared" si="46"/>
        <v>803335</v>
      </c>
      <c r="BR114" s="84">
        <f t="shared" si="47"/>
        <v>0.96688020900616956</v>
      </c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 t="s">
        <v>146</v>
      </c>
      <c r="CF114" s="84">
        <f>CH55</f>
        <v>836154</v>
      </c>
      <c r="CG114" s="84">
        <f t="shared" si="48"/>
        <v>811638</v>
      </c>
      <c r="CH114" s="84">
        <f t="shared" si="49"/>
        <v>0.97146156068118816</v>
      </c>
      <c r="CT114" s="84"/>
      <c r="CU114" s="84" t="s">
        <v>146</v>
      </c>
      <c r="CV114" s="84">
        <f>CX55</f>
        <v>816669</v>
      </c>
      <c r="CW114" s="84">
        <f t="shared" si="50"/>
        <v>792627</v>
      </c>
      <c r="CX114" s="84">
        <f t="shared" si="51"/>
        <v>0.97257969223142737</v>
      </c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 t="s">
        <v>146</v>
      </c>
      <c r="DL114" s="84">
        <f>DN55</f>
        <v>818534</v>
      </c>
      <c r="DM114" s="84">
        <f t="shared" si="52"/>
        <v>794404</v>
      </c>
      <c r="DN114" s="84">
        <f t="shared" si="53"/>
        <v>0.98506354086647707</v>
      </c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</row>
    <row r="115" spans="1:128" x14ac:dyDescent="0.2">
      <c r="A115" s="84"/>
      <c r="B115" s="84"/>
      <c r="C115" s="84" t="s">
        <v>147</v>
      </c>
      <c r="D115" s="84">
        <f>G55</f>
        <v>40848</v>
      </c>
      <c r="E115" s="84">
        <f t="shared" si="38"/>
        <v>21740.5</v>
      </c>
      <c r="F115" s="84">
        <f t="shared" si="39"/>
        <v>2.7688385049040469E-2</v>
      </c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 t="s">
        <v>147</v>
      </c>
      <c r="T115" s="84">
        <f>W55</f>
        <v>44379</v>
      </c>
      <c r="U115" s="84">
        <f t="shared" si="40"/>
        <v>25523</v>
      </c>
      <c r="V115" s="84">
        <f t="shared" si="41"/>
        <v>3.258260171876852E-2</v>
      </c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 t="s">
        <v>147</v>
      </c>
      <c r="AJ115" s="84">
        <f>AM55</f>
        <v>101226</v>
      </c>
      <c r="AK115" s="84">
        <f t="shared" si="42"/>
        <v>78668</v>
      </c>
      <c r="AL115" s="84">
        <f t="shared" si="43"/>
        <v>9.5192766117757899E-2</v>
      </c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 t="s">
        <v>147</v>
      </c>
      <c r="AZ115" s="84">
        <f>BC55</f>
        <v>104807</v>
      </c>
      <c r="BA115" s="84">
        <f t="shared" si="44"/>
        <v>81961</v>
      </c>
      <c r="BB115" s="84">
        <f t="shared" si="45"/>
        <v>9.9495427405702955E-2</v>
      </c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 t="s">
        <v>147</v>
      </c>
      <c r="BP115" s="84">
        <f>BS55</f>
        <v>547039</v>
      </c>
      <c r="BQ115" s="84">
        <f t="shared" si="46"/>
        <v>523208</v>
      </c>
      <c r="BR115" s="84">
        <f t="shared" si="47"/>
        <v>0.6297241628880853</v>
      </c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 t="s">
        <v>147</v>
      </c>
      <c r="CF115" s="84">
        <f>CI55</f>
        <v>301897</v>
      </c>
      <c r="CG115" s="84">
        <f t="shared" si="48"/>
        <v>277381</v>
      </c>
      <c r="CH115" s="84">
        <f t="shared" si="49"/>
        <v>0.33200143310602587</v>
      </c>
      <c r="CT115" s="84"/>
      <c r="CU115" s="84" t="s">
        <v>147</v>
      </c>
      <c r="CV115" s="84">
        <f>CY55</f>
        <v>593242</v>
      </c>
      <c r="CW115" s="84">
        <f t="shared" si="50"/>
        <v>569200</v>
      </c>
      <c r="CX115" s="84">
        <f t="shared" si="51"/>
        <v>0.69842733192047268</v>
      </c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 t="s">
        <v>147</v>
      </c>
      <c r="DL115" s="84">
        <f>DO55</f>
        <v>458296</v>
      </c>
      <c r="DM115" s="84">
        <f t="shared" si="52"/>
        <v>434166</v>
      </c>
      <c r="DN115" s="84">
        <f t="shared" si="53"/>
        <v>0.53836725052219636</v>
      </c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</row>
    <row r="116" spans="1:128" x14ac:dyDescent="0.2">
      <c r="A116" s="84"/>
      <c r="B116" s="84"/>
      <c r="C116" s="84" t="s">
        <v>148</v>
      </c>
      <c r="D116" s="84">
        <f>H55</f>
        <v>39342</v>
      </c>
      <c r="E116" s="84">
        <f t="shared" si="38"/>
        <v>20234.5</v>
      </c>
      <c r="F116" s="84">
        <f t="shared" si="39"/>
        <v>2.5770365321625969E-2</v>
      </c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 t="s">
        <v>148</v>
      </c>
      <c r="T116" s="84">
        <f>X55</f>
        <v>39301</v>
      </c>
      <c r="U116" s="84">
        <f t="shared" si="40"/>
        <v>20445</v>
      </c>
      <c r="V116" s="84">
        <f t="shared" si="41"/>
        <v>2.6100038872398323E-2</v>
      </c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 t="s">
        <v>148</v>
      </c>
      <c r="AJ116" s="84">
        <f>AN55</f>
        <v>81989</v>
      </c>
      <c r="AK116" s="84">
        <f t="shared" si="42"/>
        <v>59431</v>
      </c>
      <c r="AL116" s="84">
        <f t="shared" si="43"/>
        <v>7.1914899109478694E-2</v>
      </c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 t="s">
        <v>148</v>
      </c>
      <c r="AZ116" s="84">
        <f>BD55</f>
        <v>105528</v>
      </c>
      <c r="BA116" s="84">
        <f t="shared" si="44"/>
        <v>82682</v>
      </c>
      <c r="BB116" s="84">
        <f t="shared" si="45"/>
        <v>0.10037067542804909</v>
      </c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 t="s">
        <v>148</v>
      </c>
      <c r="BP116" s="84">
        <f>BT55</f>
        <v>389155</v>
      </c>
      <c r="BQ116" s="84">
        <f t="shared" si="46"/>
        <v>365324</v>
      </c>
      <c r="BR116" s="84">
        <f t="shared" si="47"/>
        <v>0.43969769208981296</v>
      </c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 t="s">
        <v>148</v>
      </c>
      <c r="CF116" s="84">
        <f>CJ55</f>
        <v>240873</v>
      </c>
      <c r="CG116" s="84">
        <f t="shared" si="48"/>
        <v>216357</v>
      </c>
      <c r="CH116" s="84">
        <f t="shared" si="49"/>
        <v>0.25896090237803038</v>
      </c>
      <c r="CT116" s="84"/>
      <c r="CU116" s="84" t="s">
        <v>148</v>
      </c>
      <c r="CV116" s="84">
        <f>CZ55</f>
        <v>587556</v>
      </c>
      <c r="CW116" s="84">
        <f t="shared" si="50"/>
        <v>563514</v>
      </c>
      <c r="CX116" s="84">
        <f t="shared" si="51"/>
        <v>0.69145042080083141</v>
      </c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 t="s">
        <v>148</v>
      </c>
      <c r="DL116" s="84">
        <f>DP55</f>
        <v>483667</v>
      </c>
      <c r="DM116" s="84">
        <f t="shared" si="52"/>
        <v>459537</v>
      </c>
      <c r="DN116" s="84">
        <f t="shared" si="53"/>
        <v>0.56982737294771713</v>
      </c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</row>
    <row r="117" spans="1:128" x14ac:dyDescent="0.2">
      <c r="A117" s="84"/>
      <c r="B117" s="84"/>
      <c r="C117" s="84" t="s">
        <v>149</v>
      </c>
      <c r="D117" s="84">
        <f>I55</f>
        <v>39023</v>
      </c>
      <c r="E117" s="84">
        <f t="shared" si="38"/>
        <v>19915.5</v>
      </c>
      <c r="F117" s="84">
        <f t="shared" si="39"/>
        <v>2.5364091554663667E-2</v>
      </c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 t="s">
        <v>149</v>
      </c>
      <c r="T117" s="84">
        <f>Y55</f>
        <v>40046</v>
      </c>
      <c r="U117" s="84">
        <f t="shared" si="40"/>
        <v>21190</v>
      </c>
      <c r="V117" s="84">
        <f t="shared" si="41"/>
        <v>2.7051104118665709E-2</v>
      </c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 t="s">
        <v>149</v>
      </c>
      <c r="AJ117" s="84">
        <f>AO55</f>
        <v>94587</v>
      </c>
      <c r="AK117" s="84">
        <f t="shared" si="42"/>
        <v>72029</v>
      </c>
      <c r="AL117" s="84">
        <f t="shared" si="43"/>
        <v>8.7159197522448564E-2</v>
      </c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 t="s">
        <v>149</v>
      </c>
      <c r="AZ117" s="84">
        <f>BE55</f>
        <v>96950</v>
      </c>
      <c r="BA117" s="84">
        <f t="shared" si="44"/>
        <v>74104</v>
      </c>
      <c r="BB117" s="84">
        <f t="shared" si="45"/>
        <v>8.9957530440968408E-2</v>
      </c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 t="s">
        <v>149</v>
      </c>
      <c r="BP117" s="84">
        <f>BU55</f>
        <v>377287</v>
      </c>
      <c r="BQ117" s="84">
        <f t="shared" si="46"/>
        <v>353456</v>
      </c>
      <c r="BR117" s="84">
        <f t="shared" si="47"/>
        <v>0.42541357111850558</v>
      </c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 t="s">
        <v>149</v>
      </c>
      <c r="CF117" s="84">
        <f>CK55</f>
        <v>271249</v>
      </c>
      <c r="CG117" s="84">
        <f t="shared" si="48"/>
        <v>246733</v>
      </c>
      <c r="CH117" s="84">
        <f t="shared" si="49"/>
        <v>0.29531838732483151</v>
      </c>
      <c r="CT117" s="84"/>
      <c r="CU117" s="84" t="s">
        <v>149</v>
      </c>
      <c r="CV117" s="84">
        <f>DA55</f>
        <v>555514</v>
      </c>
      <c r="CW117" s="84">
        <f t="shared" si="50"/>
        <v>531472</v>
      </c>
      <c r="CX117" s="84">
        <f t="shared" si="51"/>
        <v>0.65213382106542073</v>
      </c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 t="s">
        <v>149</v>
      </c>
      <c r="DL117" s="84">
        <f>DQ55</f>
        <v>464503</v>
      </c>
      <c r="DM117" s="84">
        <f t="shared" si="52"/>
        <v>440373</v>
      </c>
      <c r="DN117" s="84">
        <f t="shared" si="53"/>
        <v>0.54606395068755076</v>
      </c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</row>
    <row r="118" spans="1:128" x14ac:dyDescent="0.2">
      <c r="A118" s="84"/>
      <c r="B118" s="84"/>
      <c r="C118" s="84" t="s">
        <v>150</v>
      </c>
      <c r="D118" s="84">
        <f>J55</f>
        <v>41337</v>
      </c>
      <c r="E118" s="84">
        <f t="shared" si="38"/>
        <v>22229.5</v>
      </c>
      <c r="F118" s="84">
        <f t="shared" si="39"/>
        <v>2.8311168346985813E-2</v>
      </c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 t="s">
        <v>150</v>
      </c>
      <c r="T118" s="84">
        <f>Z55</f>
        <v>38919</v>
      </c>
      <c r="U118" s="84">
        <f t="shared" si="40"/>
        <v>20063</v>
      </c>
      <c r="V118" s="84">
        <f t="shared" si="41"/>
        <v>2.561237857162766E-2</v>
      </c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 t="s">
        <v>150</v>
      </c>
      <c r="AJ118" s="84">
        <f>AP55</f>
        <v>104342</v>
      </c>
      <c r="AK118" s="84">
        <f t="shared" si="42"/>
        <v>81784</v>
      </c>
      <c r="AL118" s="84">
        <f t="shared" si="43"/>
        <v>9.8963303810630912E-2</v>
      </c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 t="s">
        <v>150</v>
      </c>
      <c r="AZ118" s="84">
        <f>BF55</f>
        <v>106519</v>
      </c>
      <c r="BA118" s="84">
        <f t="shared" si="44"/>
        <v>83673</v>
      </c>
      <c r="BB118" s="84">
        <f t="shared" si="45"/>
        <v>0.1015736862326885</v>
      </c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 t="s">
        <v>150</v>
      </c>
      <c r="BP118" s="84">
        <f>BV55</f>
        <v>401011</v>
      </c>
      <c r="BQ118" s="84">
        <f t="shared" si="46"/>
        <v>377180</v>
      </c>
      <c r="BR118" s="84">
        <f t="shared" si="47"/>
        <v>0.4539673700672161</v>
      </c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 t="s">
        <v>150</v>
      </c>
      <c r="CF118" s="84">
        <f>CL55</f>
        <v>295584</v>
      </c>
      <c r="CG118" s="84">
        <f t="shared" si="48"/>
        <v>271068</v>
      </c>
      <c r="CH118" s="84">
        <f t="shared" si="49"/>
        <v>0.324445309769538</v>
      </c>
      <c r="CT118" s="84"/>
      <c r="CU118" s="84" t="s">
        <v>150</v>
      </c>
      <c r="CV118" s="84">
        <f>DB55</f>
        <v>555712</v>
      </c>
      <c r="CW118" s="84">
        <f t="shared" si="50"/>
        <v>531670</v>
      </c>
      <c r="CX118" s="84">
        <f t="shared" si="51"/>
        <v>0.65237677365101499</v>
      </c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 t="s">
        <v>150</v>
      </c>
      <c r="DL118" s="84">
        <f>DR55</f>
        <v>533756</v>
      </c>
      <c r="DM118" s="84">
        <f t="shared" si="52"/>
        <v>509626</v>
      </c>
      <c r="DN118" s="84">
        <f t="shared" si="53"/>
        <v>0.63193789567728664</v>
      </c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</row>
    <row r="119" spans="1:128" x14ac:dyDescent="0.2">
      <c r="A119" s="84"/>
      <c r="B119" s="84"/>
      <c r="C119" s="84" t="s">
        <v>151</v>
      </c>
      <c r="D119" s="84">
        <f>K55</f>
        <v>38690</v>
      </c>
      <c r="E119" s="84">
        <f t="shared" si="38"/>
        <v>19582.5</v>
      </c>
      <c r="F119" s="84">
        <f t="shared" si="39"/>
        <v>2.4939987591032175E-2</v>
      </c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 t="s">
        <v>151</v>
      </c>
      <c r="T119" s="84">
        <f>AA55</f>
        <v>44739</v>
      </c>
      <c r="U119" s="84">
        <f t="shared" si="40"/>
        <v>25883</v>
      </c>
      <c r="V119" s="84">
        <f t="shared" si="41"/>
        <v>3.304217687132726E-2</v>
      </c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 t="s">
        <v>151</v>
      </c>
      <c r="AJ119" s="84">
        <f>AQ55</f>
        <v>108301</v>
      </c>
      <c r="AK119" s="84">
        <f t="shared" si="42"/>
        <v>85743</v>
      </c>
      <c r="AL119" s="84">
        <f t="shared" si="43"/>
        <v>0.10375391957638323</v>
      </c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 t="s">
        <v>151</v>
      </c>
      <c r="AZ119" s="84">
        <f>BG55</f>
        <v>119809</v>
      </c>
      <c r="BA119" s="84">
        <f t="shared" si="44"/>
        <v>96963</v>
      </c>
      <c r="BB119" s="84">
        <f t="shared" si="45"/>
        <v>0.11770689873890235</v>
      </c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 t="s">
        <v>151</v>
      </c>
      <c r="BP119" s="84">
        <f>BW55</f>
        <v>481394</v>
      </c>
      <c r="BQ119" s="84">
        <f t="shared" si="46"/>
        <v>457563</v>
      </c>
      <c r="BR119" s="84">
        <f t="shared" si="47"/>
        <v>0.55071496831768807</v>
      </c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 t="s">
        <v>151</v>
      </c>
      <c r="CF119" s="84">
        <f>CM55</f>
        <v>341665</v>
      </c>
      <c r="CG119" s="84">
        <f t="shared" si="48"/>
        <v>317149</v>
      </c>
      <c r="CH119" s="84">
        <f t="shared" si="49"/>
        <v>0.37960034215805338</v>
      </c>
      <c r="CT119" s="84"/>
      <c r="CU119" s="84" t="s">
        <v>151</v>
      </c>
      <c r="CV119" s="84">
        <f>DC55</f>
        <v>551306</v>
      </c>
      <c r="CW119" s="84">
        <f t="shared" si="50"/>
        <v>527264</v>
      </c>
      <c r="CX119" s="84">
        <f t="shared" si="51"/>
        <v>0.6469704651049123</v>
      </c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 t="s">
        <v>151</v>
      </c>
      <c r="DL119" s="84">
        <f>DS55</f>
        <v>533841</v>
      </c>
      <c r="DM119" s="84">
        <f t="shared" si="52"/>
        <v>509711</v>
      </c>
      <c r="DN119" s="84">
        <f t="shared" si="53"/>
        <v>0.63204329595343545</v>
      </c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</row>
    <row r="120" spans="1:128" x14ac:dyDescent="0.2">
      <c r="A120" s="84"/>
      <c r="B120" s="84"/>
      <c r="C120" s="84" t="s">
        <v>152</v>
      </c>
      <c r="D120" s="84">
        <f>L55</f>
        <v>41450</v>
      </c>
      <c r="E120" s="84">
        <f t="shared" si="38"/>
        <v>22342.5</v>
      </c>
      <c r="F120" s="84">
        <f t="shared" si="39"/>
        <v>2.8455083505815722E-2</v>
      </c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 t="s">
        <v>152</v>
      </c>
      <c r="T120" s="84">
        <f>AB55</f>
        <v>40462</v>
      </c>
      <c r="U120" s="84">
        <f t="shared" si="40"/>
        <v>21606</v>
      </c>
      <c r="V120" s="84">
        <f t="shared" si="41"/>
        <v>2.758216873940025E-2</v>
      </c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 t="s">
        <v>152</v>
      </c>
      <c r="AJ120" s="84">
        <f>AR55</f>
        <v>126446</v>
      </c>
      <c r="AK120" s="84">
        <f t="shared" si="42"/>
        <v>103888</v>
      </c>
      <c r="AL120" s="84">
        <f t="shared" si="43"/>
        <v>0.12571040431232056</v>
      </c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 t="s">
        <v>152</v>
      </c>
      <c r="AZ120" s="84">
        <f>BH55</f>
        <v>111888</v>
      </c>
      <c r="BA120" s="84">
        <f t="shared" si="44"/>
        <v>89042</v>
      </c>
      <c r="BB120" s="84">
        <f t="shared" si="45"/>
        <v>0.10809130985540198</v>
      </c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 t="s">
        <v>152</v>
      </c>
      <c r="BP120" s="84">
        <f>BX55</f>
        <v>452017</v>
      </c>
      <c r="BQ120" s="84">
        <f t="shared" si="46"/>
        <v>428186</v>
      </c>
      <c r="BR120" s="84">
        <f t="shared" si="47"/>
        <v>0.51535731565724852</v>
      </c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 t="s">
        <v>152</v>
      </c>
      <c r="CF120" s="84">
        <f>CN55</f>
        <v>312927</v>
      </c>
      <c r="CG120" s="84">
        <f t="shared" si="48"/>
        <v>288411</v>
      </c>
      <c r="CH120" s="84">
        <f t="shared" si="49"/>
        <v>0.34520340370660585</v>
      </c>
      <c r="CT120" s="84"/>
      <c r="CU120" s="84" t="s">
        <v>152</v>
      </c>
      <c r="CV120" s="84">
        <f>DD55</f>
        <v>597317</v>
      </c>
      <c r="CW120" s="84">
        <f t="shared" si="50"/>
        <v>573275</v>
      </c>
      <c r="CX120" s="84">
        <f t="shared" si="51"/>
        <v>0.70342749245732428</v>
      </c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 t="s">
        <v>152</v>
      </c>
      <c r="DL120" s="84">
        <f>DT55</f>
        <v>462185</v>
      </c>
      <c r="DM120" s="84">
        <f t="shared" si="52"/>
        <v>438055</v>
      </c>
      <c r="DN120" s="84">
        <f t="shared" si="53"/>
        <v>0.54318962315681263</v>
      </c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</row>
    <row r="121" spans="1:128" x14ac:dyDescent="0.2">
      <c r="A121" s="84"/>
      <c r="B121" s="84"/>
      <c r="C121" s="84" t="s">
        <v>153</v>
      </c>
      <c r="D121" s="84">
        <f>M55</f>
        <v>40186</v>
      </c>
      <c r="E121" s="84">
        <f t="shared" si="38"/>
        <v>21078.5</v>
      </c>
      <c r="F121" s="84">
        <f t="shared" si="39"/>
        <v>2.6845271463682967E-2</v>
      </c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 t="s">
        <v>153</v>
      </c>
      <c r="T121" s="84">
        <f>AC55</f>
        <v>40066</v>
      </c>
      <c r="U121" s="84">
        <f t="shared" si="40"/>
        <v>21210</v>
      </c>
      <c r="V121" s="84">
        <f t="shared" si="41"/>
        <v>2.7076636071585641E-2</v>
      </c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 t="s">
        <v>153</v>
      </c>
      <c r="AJ121" s="84">
        <f>AS55</f>
        <v>114627</v>
      </c>
      <c r="AK121" s="84">
        <f t="shared" si="42"/>
        <v>92069</v>
      </c>
      <c r="AL121" s="84">
        <f t="shared" si="43"/>
        <v>0.11140874032256894</v>
      </c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 t="s">
        <v>153</v>
      </c>
      <c r="AZ121" s="84">
        <f>BI55</f>
        <v>94420</v>
      </c>
      <c r="BA121" s="84">
        <f t="shared" si="44"/>
        <v>71574</v>
      </c>
      <c r="BB121" s="84">
        <f t="shared" si="45"/>
        <v>8.6886271777257273E-2</v>
      </c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 t="s">
        <v>153</v>
      </c>
      <c r="BP121" s="84">
        <f>BY55</f>
        <v>461359</v>
      </c>
      <c r="BQ121" s="84">
        <f t="shared" si="46"/>
        <v>437528</v>
      </c>
      <c r="BR121" s="84">
        <f t="shared" si="47"/>
        <v>0.52660118641171039</v>
      </c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 t="s">
        <v>153</v>
      </c>
      <c r="CF121" s="84">
        <f>CO55</f>
        <v>280651</v>
      </c>
      <c r="CG121" s="84">
        <f t="shared" si="48"/>
        <v>256135</v>
      </c>
      <c r="CH121" s="84">
        <f t="shared" si="49"/>
        <v>0.30657178057838114</v>
      </c>
      <c r="CT121" s="84"/>
      <c r="CU121" s="84" t="s">
        <v>153</v>
      </c>
      <c r="CV121" s="84">
        <f>DE55</f>
        <v>569976</v>
      </c>
      <c r="CW121" s="84">
        <f t="shared" si="50"/>
        <v>545934</v>
      </c>
      <c r="CX121" s="84">
        <f t="shared" si="51"/>
        <v>0.66987917607988634</v>
      </c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 t="s">
        <v>153</v>
      </c>
      <c r="DL121" s="84">
        <f>DU55</f>
        <v>456124</v>
      </c>
      <c r="DM121" s="84">
        <f t="shared" si="52"/>
        <v>431994</v>
      </c>
      <c r="DN121" s="84">
        <f t="shared" si="53"/>
        <v>0.53567396346578433</v>
      </c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</row>
    <row r="122" spans="1:128" x14ac:dyDescent="0.2">
      <c r="A122" s="84"/>
      <c r="B122" s="84"/>
      <c r="C122" s="84" t="s">
        <v>154</v>
      </c>
      <c r="D122" s="84">
        <f>N55</f>
        <v>37311</v>
      </c>
      <c r="E122" s="84">
        <f t="shared" si="38"/>
        <v>18203.5</v>
      </c>
      <c r="F122" s="84">
        <f t="shared" si="39"/>
        <v>2.3183713219116771E-2</v>
      </c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 t="s">
        <v>154</v>
      </c>
      <c r="T122" s="84">
        <f>AD55</f>
        <v>42217</v>
      </c>
      <c r="U122" s="84">
        <f t="shared" si="40"/>
        <v>23361</v>
      </c>
      <c r="V122" s="84">
        <f t="shared" si="41"/>
        <v>2.9822597608124099E-2</v>
      </c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 t="s">
        <v>154</v>
      </c>
      <c r="AJ122" s="84">
        <f>AT55</f>
        <v>101514</v>
      </c>
      <c r="AK122" s="84">
        <f t="shared" si="42"/>
        <v>78956</v>
      </c>
      <c r="AL122" s="84">
        <f t="shared" si="43"/>
        <v>9.5541262541232685E-2</v>
      </c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 t="s">
        <v>154</v>
      </c>
      <c r="AZ122" s="84">
        <f>BJ55</f>
        <v>98730</v>
      </c>
      <c r="BA122" s="84">
        <f t="shared" si="44"/>
        <v>75884</v>
      </c>
      <c r="BB122" s="84">
        <f t="shared" si="45"/>
        <v>9.2118336931642647E-2</v>
      </c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 t="s">
        <v>154</v>
      </c>
      <c r="BP122" s="84">
        <f>BZ55</f>
        <v>447101</v>
      </c>
      <c r="BQ122" s="84">
        <f t="shared" si="46"/>
        <v>423270</v>
      </c>
      <c r="BR122" s="84">
        <f t="shared" si="47"/>
        <v>0.5094405024878057</v>
      </c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 t="s">
        <v>154</v>
      </c>
      <c r="CF122" s="84">
        <f>CP55</f>
        <v>289400</v>
      </c>
      <c r="CG122" s="84">
        <f t="shared" si="48"/>
        <v>264884</v>
      </c>
      <c r="CH122" s="84">
        <f t="shared" si="49"/>
        <v>0.3170435884464205</v>
      </c>
      <c r="CT122" s="84"/>
      <c r="CU122" s="84" t="s">
        <v>154</v>
      </c>
      <c r="CV122" s="84">
        <f>DF55</f>
        <v>584135</v>
      </c>
      <c r="CW122" s="84">
        <f t="shared" si="50"/>
        <v>560093</v>
      </c>
      <c r="CX122" s="84">
        <f t="shared" si="51"/>
        <v>0.68725274001639725</v>
      </c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 t="s">
        <v>154</v>
      </c>
      <c r="DL122" s="84">
        <f>DV55</f>
        <v>489547</v>
      </c>
      <c r="DM122" s="84">
        <f t="shared" si="52"/>
        <v>465417</v>
      </c>
      <c r="DN122" s="84">
        <f t="shared" si="53"/>
        <v>0.57711859205071114</v>
      </c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</row>
    <row r="123" spans="1:128" x14ac:dyDescent="0.2">
      <c r="A123" s="84"/>
      <c r="B123" s="84"/>
      <c r="C123" s="84" t="s">
        <v>155</v>
      </c>
      <c r="D123" s="84">
        <f>E56</f>
        <v>19066</v>
      </c>
      <c r="E123" s="84">
        <f t="shared" si="38"/>
        <v>-41.5</v>
      </c>
      <c r="F123" s="84">
        <f t="shared" si="39"/>
        <v>-5.2853797269390281E-5</v>
      </c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 t="s">
        <v>155</v>
      </c>
      <c r="T123" s="84">
        <f>U56</f>
        <v>18837</v>
      </c>
      <c r="U123" s="84">
        <f t="shared" si="40"/>
        <v>-19</v>
      </c>
      <c r="V123" s="84">
        <f t="shared" si="41"/>
        <v>-2.4255355273933388E-5</v>
      </c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 t="s">
        <v>155</v>
      </c>
      <c r="AJ123" s="84">
        <f>AK56</f>
        <v>22839</v>
      </c>
      <c r="AK123" s="84">
        <f t="shared" si="42"/>
        <v>281</v>
      </c>
      <c r="AL123" s="84">
        <f t="shared" si="43"/>
        <v>3.4002602429310485E-4</v>
      </c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 t="s">
        <v>155</v>
      </c>
      <c r="AZ123" s="84">
        <f>BA56</f>
        <v>22945</v>
      </c>
      <c r="BA123" s="84">
        <f t="shared" si="44"/>
        <v>99</v>
      </c>
      <c r="BB123" s="84">
        <f t="shared" si="45"/>
        <v>1.2017968684087056E-4</v>
      </c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 t="s">
        <v>155</v>
      </c>
      <c r="BP123" s="84">
        <f>BQ56</f>
        <v>24053</v>
      </c>
      <c r="BQ123" s="84">
        <f t="shared" si="46"/>
        <v>222</v>
      </c>
      <c r="BR123" s="84">
        <f t="shared" si="47"/>
        <v>2.6719538722870241E-4</v>
      </c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 t="s">
        <v>155</v>
      </c>
      <c r="CF123" s="84">
        <f>CG56</f>
        <v>24263</v>
      </c>
      <c r="CG123" s="84">
        <f t="shared" si="48"/>
        <v>-253</v>
      </c>
      <c r="CH123" s="84">
        <f t="shared" si="49"/>
        <v>-3.0281945257903226E-4</v>
      </c>
      <c r="CT123" s="84"/>
      <c r="CU123" s="84" t="s">
        <v>155</v>
      </c>
      <c r="CV123" s="84">
        <f>CW56</f>
        <v>24044</v>
      </c>
      <c r="CW123" s="84">
        <f t="shared" si="50"/>
        <v>2</v>
      </c>
      <c r="CX123" s="84">
        <f t="shared" si="51"/>
        <v>2.4540665211541557E-6</v>
      </c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 t="s">
        <v>155</v>
      </c>
      <c r="DL123" s="84">
        <f>DM56</f>
        <v>23613</v>
      </c>
      <c r="DM123" s="84">
        <f t="shared" si="52"/>
        <v>-517</v>
      </c>
      <c r="DN123" s="84">
        <f t="shared" si="53"/>
        <v>-6.410816796340006E-4</v>
      </c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</row>
    <row r="124" spans="1:128" x14ac:dyDescent="0.2">
      <c r="A124" s="84"/>
      <c r="B124" s="84"/>
      <c r="C124" s="84" t="s">
        <v>156</v>
      </c>
      <c r="D124" s="84">
        <f>F56</f>
        <v>784952</v>
      </c>
      <c r="E124" s="84">
        <f t="shared" si="38"/>
        <v>765844.5</v>
      </c>
      <c r="F124" s="84">
        <f t="shared" si="39"/>
        <v>0.97536843235849557</v>
      </c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 t="s">
        <v>156</v>
      </c>
      <c r="T124" s="84">
        <f>V56</f>
        <v>786083</v>
      </c>
      <c r="U124" s="84">
        <f t="shared" si="40"/>
        <v>767227</v>
      </c>
      <c r="V124" s="84">
        <f t="shared" si="41"/>
        <v>0.97944018214495221</v>
      </c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 t="s">
        <v>156</v>
      </c>
      <c r="AJ124" s="84">
        <f>AL56</f>
        <v>826702</v>
      </c>
      <c r="AK124" s="84">
        <f t="shared" si="42"/>
        <v>804144</v>
      </c>
      <c r="AL124" s="84">
        <f t="shared" si="43"/>
        <v>0.97306009707884167</v>
      </c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 t="s">
        <v>156</v>
      </c>
      <c r="AZ124" s="84">
        <f>BB56</f>
        <v>828581</v>
      </c>
      <c r="BA124" s="84">
        <f t="shared" si="44"/>
        <v>805735</v>
      </c>
      <c r="BB124" s="84">
        <f t="shared" si="45"/>
        <v>0.97811090885584684</v>
      </c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 t="s">
        <v>156</v>
      </c>
      <c r="BP124" s="84">
        <f>BR56</f>
        <v>828193</v>
      </c>
      <c r="BQ124" s="84">
        <f t="shared" si="46"/>
        <v>804362</v>
      </c>
      <c r="BR124" s="84">
        <f t="shared" si="47"/>
        <v>0.96811628856780874</v>
      </c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 t="s">
        <v>156</v>
      </c>
      <c r="CF124" s="84">
        <f>CH56</f>
        <v>838934</v>
      </c>
      <c r="CG124" s="84">
        <f t="shared" si="48"/>
        <v>814418</v>
      </c>
      <c r="CH124" s="84">
        <f t="shared" si="49"/>
        <v>0.97478898391506053</v>
      </c>
      <c r="CT124" s="84"/>
      <c r="CU124" s="84" t="s">
        <v>156</v>
      </c>
      <c r="CV124" s="84">
        <f>CX56</f>
        <v>816235</v>
      </c>
      <c r="CW124" s="84">
        <f t="shared" si="50"/>
        <v>792193</v>
      </c>
      <c r="CX124" s="84">
        <f t="shared" si="51"/>
        <v>0.97204715979633693</v>
      </c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 t="s">
        <v>156</v>
      </c>
      <c r="DL124" s="84">
        <f>DN56</f>
        <v>794214</v>
      </c>
      <c r="DM124" s="84">
        <f t="shared" si="52"/>
        <v>770084</v>
      </c>
      <c r="DN124" s="84">
        <f t="shared" si="53"/>
        <v>0.95490666185545403</v>
      </c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</row>
    <row r="125" spans="1:128" x14ac:dyDescent="0.2">
      <c r="A125" s="84"/>
      <c r="B125" s="84"/>
      <c r="C125" s="84" t="s">
        <v>157</v>
      </c>
      <c r="D125" s="84">
        <f>G56</f>
        <v>38809</v>
      </c>
      <c r="E125" s="84">
        <f t="shared" si="38"/>
        <v>19701.5</v>
      </c>
      <c r="F125" s="84">
        <f t="shared" si="39"/>
        <v>2.5091544262720304E-2</v>
      </c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 t="s">
        <v>157</v>
      </c>
      <c r="T125" s="84">
        <f>W56</f>
        <v>41313</v>
      </c>
      <c r="U125" s="84">
        <f t="shared" si="40"/>
        <v>22457</v>
      </c>
      <c r="V125" s="84">
        <f t="shared" si="41"/>
        <v>2.8668553336143269E-2</v>
      </c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 t="s">
        <v>157</v>
      </c>
      <c r="AJ125" s="84">
        <f>AM56</f>
        <v>110326</v>
      </c>
      <c r="AK125" s="84">
        <f t="shared" si="42"/>
        <v>87768</v>
      </c>
      <c r="AL125" s="84">
        <f t="shared" si="43"/>
        <v>0.10620428505394031</v>
      </c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 t="s">
        <v>157</v>
      </c>
      <c r="AZ125" s="84">
        <f>BC56</f>
        <v>97348</v>
      </c>
      <c r="BA125" s="84">
        <f t="shared" si="44"/>
        <v>74502</v>
      </c>
      <c r="BB125" s="84">
        <f t="shared" si="45"/>
        <v>9.0440677060793326E-2</v>
      </c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 t="s">
        <v>157</v>
      </c>
      <c r="BP125" s="84">
        <f>BS56</f>
        <v>448042</v>
      </c>
      <c r="BQ125" s="84">
        <f t="shared" si="46"/>
        <v>424211</v>
      </c>
      <c r="BR125" s="84">
        <f t="shared" si="47"/>
        <v>0.51057307392646434</v>
      </c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 t="s">
        <v>157</v>
      </c>
      <c r="CF125" s="84">
        <f>CI56</f>
        <v>274543</v>
      </c>
      <c r="CG125" s="84">
        <f t="shared" si="48"/>
        <v>250027</v>
      </c>
      <c r="CH125" s="84">
        <f t="shared" si="49"/>
        <v>0.29926102478252053</v>
      </c>
      <c r="CT125" s="84"/>
      <c r="CU125" s="84" t="s">
        <v>157</v>
      </c>
      <c r="CV125" s="84">
        <f>CY56</f>
        <v>590501</v>
      </c>
      <c r="CW125" s="84">
        <f t="shared" si="50"/>
        <v>566459</v>
      </c>
      <c r="CX125" s="84">
        <f t="shared" si="51"/>
        <v>0.69506403375323089</v>
      </c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 t="s">
        <v>157</v>
      </c>
      <c r="DL125" s="84">
        <f>DO56</f>
        <v>432826</v>
      </c>
      <c r="DM125" s="84">
        <f t="shared" si="52"/>
        <v>408696</v>
      </c>
      <c r="DN125" s="84">
        <f t="shared" si="53"/>
        <v>0.50678436777504354</v>
      </c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</row>
    <row r="126" spans="1:128" x14ac:dyDescent="0.2">
      <c r="A126" s="84"/>
      <c r="B126" s="84"/>
      <c r="C126" s="84" t="s">
        <v>158</v>
      </c>
      <c r="D126" s="84">
        <f>H56</f>
        <v>37525</v>
      </c>
      <c r="E126" s="84">
        <f t="shared" si="38"/>
        <v>18417.5</v>
      </c>
      <c r="F126" s="84">
        <f t="shared" si="39"/>
        <v>2.3456260511060135E-2</v>
      </c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 t="s">
        <v>158</v>
      </c>
      <c r="T126" s="84">
        <f>X56</f>
        <v>42053</v>
      </c>
      <c r="U126" s="84">
        <f t="shared" si="40"/>
        <v>23197</v>
      </c>
      <c r="V126" s="84">
        <f t="shared" si="41"/>
        <v>2.9613235594180675E-2</v>
      </c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 t="s">
        <v>158</v>
      </c>
      <c r="AJ126" s="84">
        <f>AN56</f>
        <v>97821</v>
      </c>
      <c r="AK126" s="84">
        <f t="shared" si="42"/>
        <v>75263</v>
      </c>
      <c r="AL126" s="84">
        <f t="shared" si="43"/>
        <v>9.1072521944384158E-2</v>
      </c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 t="s">
        <v>158</v>
      </c>
      <c r="AZ126" s="84">
        <f>BD56</f>
        <v>115149</v>
      </c>
      <c r="BA126" s="84">
        <f t="shared" si="44"/>
        <v>92303</v>
      </c>
      <c r="BB126" s="84">
        <f t="shared" si="45"/>
        <v>0.11204995590376642</v>
      </c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 t="s">
        <v>158</v>
      </c>
      <c r="BP126" s="84">
        <f>BT56</f>
        <v>386388</v>
      </c>
      <c r="BQ126" s="84">
        <f t="shared" si="46"/>
        <v>362557</v>
      </c>
      <c r="BR126" s="84">
        <f t="shared" si="47"/>
        <v>0.43636737841205703</v>
      </c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 t="s">
        <v>158</v>
      </c>
      <c r="CF126" s="84">
        <f>CJ56</f>
        <v>342604</v>
      </c>
      <c r="CG126" s="84">
        <f t="shared" si="48"/>
        <v>318088</v>
      </c>
      <c r="CH126" s="84">
        <f t="shared" si="49"/>
        <v>0.38072424518560954</v>
      </c>
      <c r="CT126" s="84"/>
      <c r="CU126" s="84" t="s">
        <v>158</v>
      </c>
      <c r="CV126" s="84">
        <f>CZ56</f>
        <v>519806</v>
      </c>
      <c r="CW126" s="84">
        <f t="shared" si="50"/>
        <v>495764</v>
      </c>
      <c r="CX126" s="84">
        <f t="shared" si="51"/>
        <v>0.60831891739673438</v>
      </c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 t="s">
        <v>158</v>
      </c>
      <c r="DL126" s="84">
        <f>DP56</f>
        <v>420452</v>
      </c>
      <c r="DM126" s="84">
        <f t="shared" si="52"/>
        <v>396322</v>
      </c>
      <c r="DN126" s="84">
        <f t="shared" si="53"/>
        <v>0.49144056757428706</v>
      </c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</row>
    <row r="127" spans="1:128" x14ac:dyDescent="0.2">
      <c r="A127" s="84"/>
      <c r="B127" s="84"/>
      <c r="C127" s="84" t="s">
        <v>159</v>
      </c>
      <c r="D127" s="84">
        <f>I56</f>
        <v>41181</v>
      </c>
      <c r="E127" s="84">
        <f t="shared" si="38"/>
        <v>22073.5</v>
      </c>
      <c r="F127" s="84">
        <f t="shared" si="39"/>
        <v>2.8112489012671962E-2</v>
      </c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 t="s">
        <v>159</v>
      </c>
      <c r="T127" s="84">
        <f>Y56</f>
        <v>40594</v>
      </c>
      <c r="U127" s="84">
        <f t="shared" si="40"/>
        <v>21738</v>
      </c>
      <c r="V127" s="84">
        <f t="shared" si="41"/>
        <v>2.7750679628671789E-2</v>
      </c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 t="s">
        <v>159</v>
      </c>
      <c r="AJ127" s="84">
        <f>AO56</f>
        <v>89437</v>
      </c>
      <c r="AK127" s="84">
        <f t="shared" si="42"/>
        <v>66879</v>
      </c>
      <c r="AL127" s="84">
        <f t="shared" si="43"/>
        <v>8.0927403838784912E-2</v>
      </c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 t="s">
        <v>159</v>
      </c>
      <c r="AZ127" s="84">
        <f>BE56</f>
        <v>107595</v>
      </c>
      <c r="BA127" s="84">
        <f t="shared" si="44"/>
        <v>84749</v>
      </c>
      <c r="BB127" s="84">
        <f t="shared" si="45"/>
        <v>0.10287988161693878</v>
      </c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 t="s">
        <v>159</v>
      </c>
      <c r="BP127" s="84">
        <f>BU56</f>
        <v>370095</v>
      </c>
      <c r="BQ127" s="84">
        <f t="shared" si="46"/>
        <v>346264</v>
      </c>
      <c r="BR127" s="84">
        <f t="shared" si="47"/>
        <v>0.41675740343855594</v>
      </c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 t="s">
        <v>159</v>
      </c>
      <c r="CF127" s="84">
        <f>CK56</f>
        <v>313567</v>
      </c>
      <c r="CG127" s="84">
        <f t="shared" si="48"/>
        <v>289051</v>
      </c>
      <c r="CH127" s="84">
        <f t="shared" si="49"/>
        <v>0.34596942919929585</v>
      </c>
      <c r="CT127" s="84"/>
      <c r="CU127" s="84" t="s">
        <v>159</v>
      </c>
      <c r="CV127" s="84">
        <f>DA56</f>
        <v>542082</v>
      </c>
      <c r="CW127" s="84">
        <f t="shared" si="50"/>
        <v>518040</v>
      </c>
      <c r="CX127" s="84">
        <f t="shared" si="51"/>
        <v>0.63565231030934932</v>
      </c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 t="s">
        <v>159</v>
      </c>
      <c r="DL127" s="84">
        <f>DQ56</f>
        <v>438490</v>
      </c>
      <c r="DM127" s="84">
        <f t="shared" si="52"/>
        <v>414360</v>
      </c>
      <c r="DN127" s="84">
        <f t="shared" si="53"/>
        <v>0.51380774617629499</v>
      </c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</row>
    <row r="128" spans="1:128" x14ac:dyDescent="0.2">
      <c r="A128" s="84"/>
      <c r="B128" s="84"/>
      <c r="C128" s="84" t="s">
        <v>160</v>
      </c>
      <c r="D128" s="84">
        <f>J56</f>
        <v>43097</v>
      </c>
      <c r="E128" s="84">
        <f t="shared" si="38"/>
        <v>23989.5</v>
      </c>
      <c r="F128" s="84">
        <f t="shared" si="39"/>
        <v>3.055267878539851E-2</v>
      </c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 t="s">
        <v>160</v>
      </c>
      <c r="T128" s="84">
        <f>Z56</f>
        <v>44410</v>
      </c>
      <c r="U128" s="84">
        <f t="shared" si="40"/>
        <v>25554</v>
      </c>
      <c r="V128" s="84">
        <f t="shared" si="41"/>
        <v>3.2622176245794408E-2</v>
      </c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 t="s">
        <v>160</v>
      </c>
      <c r="AJ128" s="84">
        <f>AP56</f>
        <v>98851</v>
      </c>
      <c r="AK128" s="84">
        <f t="shared" si="42"/>
        <v>76293</v>
      </c>
      <c r="AL128" s="84">
        <f t="shared" si="43"/>
        <v>9.2318880681116891E-2</v>
      </c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 t="s">
        <v>160</v>
      </c>
      <c r="AZ128" s="84">
        <f>BF56</f>
        <v>107662</v>
      </c>
      <c r="BA128" s="84">
        <f t="shared" si="44"/>
        <v>84816</v>
      </c>
      <c r="BB128" s="84">
        <f t="shared" si="45"/>
        <v>0.10296121534439674</v>
      </c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 t="s">
        <v>160</v>
      </c>
      <c r="BP128" s="84">
        <f>BV56</f>
        <v>377931</v>
      </c>
      <c r="BQ128" s="84">
        <f t="shared" si="46"/>
        <v>354100</v>
      </c>
      <c r="BR128" s="84">
        <f t="shared" si="47"/>
        <v>0.42618867845803388</v>
      </c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 t="s">
        <v>160</v>
      </c>
      <c r="CF128" s="84">
        <f>CL56</f>
        <v>305672</v>
      </c>
      <c r="CG128" s="84">
        <f t="shared" si="48"/>
        <v>281156</v>
      </c>
      <c r="CH128" s="84">
        <f t="shared" si="49"/>
        <v>0.33651978659806481</v>
      </c>
      <c r="CT128" s="84"/>
      <c r="CU128" s="84" t="s">
        <v>160</v>
      </c>
      <c r="CV128" s="84">
        <f>DB56</f>
        <v>560605</v>
      </c>
      <c r="CW128" s="84">
        <f t="shared" si="50"/>
        <v>536563</v>
      </c>
      <c r="CX128" s="84">
        <f t="shared" si="51"/>
        <v>0.65838064739501856</v>
      </c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 t="s">
        <v>160</v>
      </c>
      <c r="DL128" s="84">
        <f>DR56</f>
        <v>426241</v>
      </c>
      <c r="DM128" s="84">
        <f t="shared" si="52"/>
        <v>402111</v>
      </c>
      <c r="DN128" s="84">
        <f t="shared" si="53"/>
        <v>0.49861894638163951</v>
      </c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</row>
    <row r="129" spans="1:128" x14ac:dyDescent="0.2">
      <c r="A129" s="84"/>
      <c r="B129" s="84"/>
      <c r="C129" s="84" t="s">
        <v>161</v>
      </c>
      <c r="D129" s="84">
        <f>K56</f>
        <v>41323</v>
      </c>
      <c r="E129" s="84">
        <f t="shared" si="38"/>
        <v>22215.5</v>
      </c>
      <c r="F129" s="84">
        <f t="shared" si="39"/>
        <v>2.8293338150316621E-2</v>
      </c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 t="s">
        <v>161</v>
      </c>
      <c r="T129" s="84">
        <f>AA56</f>
        <v>44617</v>
      </c>
      <c r="U129" s="84">
        <f t="shared" si="40"/>
        <v>25761</v>
      </c>
      <c r="V129" s="84">
        <f t="shared" si="41"/>
        <v>3.2886431958515684E-2</v>
      </c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 t="s">
        <v>161</v>
      </c>
      <c r="AJ129" s="84">
        <f>AQ56</f>
        <v>95359</v>
      </c>
      <c r="AK129" s="84">
        <f t="shared" si="42"/>
        <v>72801</v>
      </c>
      <c r="AL129" s="84">
        <f t="shared" si="43"/>
        <v>8.8093361546485144E-2</v>
      </c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 t="s">
        <v>161</v>
      </c>
      <c r="AZ129" s="84">
        <f>BG56</f>
        <v>104365</v>
      </c>
      <c r="BA129" s="84">
        <f t="shared" si="44"/>
        <v>81519</v>
      </c>
      <c r="BB129" s="84">
        <f t="shared" si="45"/>
        <v>9.8958867591726535E-2</v>
      </c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 t="s">
        <v>161</v>
      </c>
      <c r="BP129" s="84">
        <f>BW56</f>
        <v>426778</v>
      </c>
      <c r="BQ129" s="84">
        <f t="shared" si="46"/>
        <v>402947</v>
      </c>
      <c r="BR129" s="84">
        <f t="shared" si="47"/>
        <v>0.48498008872812592</v>
      </c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 t="s">
        <v>161</v>
      </c>
      <c r="CF129" s="84">
        <f>CM56</f>
        <v>316577</v>
      </c>
      <c r="CG129" s="84">
        <f t="shared" si="48"/>
        <v>292061</v>
      </c>
      <c r="CH129" s="84">
        <f t="shared" si="49"/>
        <v>0.34957214284460375</v>
      </c>
      <c r="CT129" s="84"/>
      <c r="CU129" s="84" t="s">
        <v>161</v>
      </c>
      <c r="CV129" s="84">
        <f>DC56</f>
        <v>564036</v>
      </c>
      <c r="CW129" s="84">
        <f t="shared" si="50"/>
        <v>539994</v>
      </c>
      <c r="CX129" s="84">
        <f t="shared" si="51"/>
        <v>0.66259059851205848</v>
      </c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 t="s">
        <v>161</v>
      </c>
      <c r="DL129" s="84">
        <f>DS56</f>
        <v>449269</v>
      </c>
      <c r="DM129" s="84">
        <f t="shared" si="52"/>
        <v>425139</v>
      </c>
      <c r="DN129" s="84">
        <f t="shared" si="53"/>
        <v>0.52717374119520188</v>
      </c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</row>
    <row r="130" spans="1:128" x14ac:dyDescent="0.2">
      <c r="A130" s="84"/>
      <c r="B130" s="84"/>
      <c r="C130" s="84" t="s">
        <v>162</v>
      </c>
      <c r="D130" s="84">
        <f>L56</f>
        <v>42315</v>
      </c>
      <c r="E130" s="84">
        <f t="shared" si="38"/>
        <v>23207.5</v>
      </c>
      <c r="F130" s="84">
        <f t="shared" si="39"/>
        <v>2.9556734942876507E-2</v>
      </c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 t="s">
        <v>162</v>
      </c>
      <c r="T130" s="84">
        <f>AB56</f>
        <v>41222</v>
      </c>
      <c r="U130" s="84">
        <f t="shared" si="40"/>
        <v>22366</v>
      </c>
      <c r="V130" s="84">
        <f t="shared" si="41"/>
        <v>2.8552382950357585E-2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 t="s">
        <v>162</v>
      </c>
      <c r="AJ130" s="84">
        <f>AR56</f>
        <v>99930</v>
      </c>
      <c r="AK130" s="84">
        <f t="shared" si="42"/>
        <v>77372</v>
      </c>
      <c r="AL130" s="84">
        <f t="shared" si="43"/>
        <v>9.3624532212121372E-2</v>
      </c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 t="s">
        <v>162</v>
      </c>
      <c r="AZ130" s="84">
        <f>BH56</f>
        <v>97578</v>
      </c>
      <c r="BA130" s="84">
        <f t="shared" si="44"/>
        <v>74732</v>
      </c>
      <c r="BB130" s="84">
        <f t="shared" si="45"/>
        <v>9.0719882393857962E-2</v>
      </c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 t="s">
        <v>162</v>
      </c>
      <c r="BP130" s="84">
        <f>BX56</f>
        <v>441748</v>
      </c>
      <c r="BQ130" s="84">
        <f t="shared" si="46"/>
        <v>417917</v>
      </c>
      <c r="BR130" s="84">
        <f t="shared" si="47"/>
        <v>0.502997723623683</v>
      </c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 t="s">
        <v>162</v>
      </c>
      <c r="CF130" s="84">
        <f>CN56</f>
        <v>265572</v>
      </c>
      <c r="CG130" s="84">
        <f t="shared" si="48"/>
        <v>241056</v>
      </c>
      <c r="CH130" s="84">
        <f t="shared" si="49"/>
        <v>0.28852350182170439</v>
      </c>
      <c r="CT130" s="84"/>
      <c r="CU130" s="84" t="s">
        <v>162</v>
      </c>
      <c r="CV130" s="84">
        <f>DD56</f>
        <v>559815</v>
      </c>
      <c r="CW130" s="84">
        <f t="shared" si="50"/>
        <v>535773</v>
      </c>
      <c r="CX130" s="84">
        <f t="shared" si="51"/>
        <v>0.65741129111916274</v>
      </c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 t="s">
        <v>162</v>
      </c>
      <c r="DL130" s="84">
        <f>DT56</f>
        <v>407283</v>
      </c>
      <c r="DM130" s="84">
        <f t="shared" si="52"/>
        <v>383153</v>
      </c>
      <c r="DN130" s="84">
        <f t="shared" si="53"/>
        <v>0.47511096479072773</v>
      </c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</row>
    <row r="131" spans="1:128" x14ac:dyDescent="0.2">
      <c r="A131" s="84"/>
      <c r="B131" s="84"/>
      <c r="C131" s="84" t="s">
        <v>163</v>
      </c>
      <c r="D131" s="84">
        <f>M56</f>
        <v>39844</v>
      </c>
      <c r="E131" s="84">
        <f t="shared" si="38"/>
        <v>20736.5</v>
      </c>
      <c r="F131" s="84">
        <f t="shared" si="39"/>
        <v>2.6409705230764136E-2</v>
      </c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 t="s">
        <v>163</v>
      </c>
      <c r="T131" s="84">
        <f>AC56</f>
        <v>38132</v>
      </c>
      <c r="U131" s="84">
        <f t="shared" si="40"/>
        <v>19276</v>
      </c>
      <c r="V131" s="84">
        <f t="shared" si="41"/>
        <v>2.4607696224228419E-2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 t="s">
        <v>163</v>
      </c>
      <c r="AJ131" s="84">
        <f>AS56</f>
        <v>96028</v>
      </c>
      <c r="AK131" s="84">
        <f t="shared" si="42"/>
        <v>73470</v>
      </c>
      <c r="AL131" s="84">
        <f t="shared" si="43"/>
        <v>8.8902889696848439E-2</v>
      </c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 t="s">
        <v>163</v>
      </c>
      <c r="AZ131" s="84">
        <f>BI56</f>
        <v>90466</v>
      </c>
      <c r="BA131" s="84">
        <f t="shared" si="44"/>
        <v>67620</v>
      </c>
      <c r="BB131" s="84">
        <f t="shared" si="45"/>
        <v>8.2086367921006737E-2</v>
      </c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 t="s">
        <v>163</v>
      </c>
      <c r="BP131" s="84">
        <f>BY56</f>
        <v>429882</v>
      </c>
      <c r="BQ131" s="84">
        <f t="shared" si="46"/>
        <v>406051</v>
      </c>
      <c r="BR131" s="84">
        <f t="shared" si="47"/>
        <v>0.48871600981802632</v>
      </c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 t="s">
        <v>163</v>
      </c>
      <c r="CF131" s="84">
        <f>CO56</f>
        <v>266533</v>
      </c>
      <c r="CG131" s="84">
        <f t="shared" si="48"/>
        <v>242017</v>
      </c>
      <c r="CH131" s="84">
        <f t="shared" si="49"/>
        <v>0.28967373697557175</v>
      </c>
      <c r="CT131" s="84"/>
      <c r="CU131" s="84" t="s">
        <v>163</v>
      </c>
      <c r="CV131" s="84">
        <f>DE56</f>
        <v>539220</v>
      </c>
      <c r="CW131" s="84">
        <f t="shared" si="50"/>
        <v>515178</v>
      </c>
      <c r="CX131" s="84">
        <f t="shared" si="51"/>
        <v>0.63214054111757778</v>
      </c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 t="s">
        <v>163</v>
      </c>
      <c r="DL131" s="84">
        <f>DU56</f>
        <v>427206</v>
      </c>
      <c r="DM131" s="84">
        <f t="shared" si="52"/>
        <v>403076</v>
      </c>
      <c r="DN131" s="84">
        <f t="shared" si="53"/>
        <v>0.49981554951673973</v>
      </c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</row>
    <row r="132" spans="1:128" x14ac:dyDescent="0.2">
      <c r="A132" s="84"/>
      <c r="B132" s="84"/>
      <c r="C132" s="84" t="s">
        <v>164</v>
      </c>
      <c r="D132" s="84">
        <f>N56</f>
        <v>39826</v>
      </c>
      <c r="E132" s="84">
        <f t="shared" si="38"/>
        <v>20718.5</v>
      </c>
      <c r="F132" s="84">
        <f t="shared" si="39"/>
        <v>2.6386780692189461E-2</v>
      </c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 t="s">
        <v>164</v>
      </c>
      <c r="T132" s="84">
        <f>AD56</f>
        <v>39727</v>
      </c>
      <c r="U132" s="84">
        <f t="shared" si="40"/>
        <v>20871</v>
      </c>
      <c r="V132" s="84">
        <f t="shared" si="41"/>
        <v>2.6643869469592827E-2</v>
      </c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 t="s">
        <v>164</v>
      </c>
      <c r="AJ132" s="84">
        <f>AT56</f>
        <v>101855</v>
      </c>
      <c r="AK132" s="84">
        <f t="shared" si="42"/>
        <v>79297</v>
      </c>
      <c r="AL132" s="84">
        <f t="shared" si="43"/>
        <v>9.595389198708304E-2</v>
      </c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 t="s">
        <v>164</v>
      </c>
      <c r="AZ132" s="84">
        <f>BJ56</f>
        <v>95196</v>
      </c>
      <c r="BA132" s="84">
        <f t="shared" si="44"/>
        <v>72350</v>
      </c>
      <c r="BB132" s="84">
        <f t="shared" si="45"/>
        <v>8.7828286292292779E-2</v>
      </c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 t="s">
        <v>164</v>
      </c>
      <c r="BP132" s="84">
        <f>BZ56</f>
        <v>528799</v>
      </c>
      <c r="BQ132" s="84">
        <f t="shared" si="46"/>
        <v>504968</v>
      </c>
      <c r="BR132" s="84">
        <f t="shared" si="47"/>
        <v>0.60777081215361894</v>
      </c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 t="s">
        <v>164</v>
      </c>
      <c r="CF132" s="84">
        <f>CP56</f>
        <v>296248</v>
      </c>
      <c r="CG132" s="84">
        <f t="shared" si="48"/>
        <v>271732</v>
      </c>
      <c r="CH132" s="84">
        <f t="shared" si="49"/>
        <v>0.32524006121820392</v>
      </c>
      <c r="CT132" s="84"/>
      <c r="CU132" s="84" t="s">
        <v>164</v>
      </c>
      <c r="CV132" s="84">
        <f>DF56</f>
        <v>575761</v>
      </c>
      <c r="CW132" s="84">
        <f t="shared" si="50"/>
        <v>551719</v>
      </c>
      <c r="CX132" s="84">
        <f t="shared" si="51"/>
        <v>0.67697756349232474</v>
      </c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 t="s">
        <v>164</v>
      </c>
      <c r="DL132" s="84">
        <f>DV56</f>
        <v>465143</v>
      </c>
      <c r="DM132" s="84">
        <f t="shared" si="52"/>
        <v>441013</v>
      </c>
      <c r="DN132" s="84">
        <f t="shared" si="53"/>
        <v>0.54685755276678827</v>
      </c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</row>
    <row r="133" spans="1:128" x14ac:dyDescent="0.2">
      <c r="A133" s="84"/>
      <c r="B133" s="84"/>
      <c r="C133" s="84" t="s">
        <v>165</v>
      </c>
      <c r="D133" s="84">
        <f>E57</f>
        <v>19039</v>
      </c>
      <c r="E133" s="84">
        <f t="shared" si="38"/>
        <v>-68.5</v>
      </c>
      <c r="F133" s="84">
        <f t="shared" si="39"/>
        <v>-8.7240605131403236E-5</v>
      </c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 t="s">
        <v>165</v>
      </c>
      <c r="T133" s="84">
        <f>U57</f>
        <v>18806</v>
      </c>
      <c r="U133" s="84">
        <f t="shared" si="40"/>
        <v>-50</v>
      </c>
      <c r="V133" s="84">
        <f t="shared" si="41"/>
        <v>-6.3829882299824701E-5</v>
      </c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 t="s">
        <v>165</v>
      </c>
      <c r="AJ133" s="84">
        <f>AK57</f>
        <v>22122</v>
      </c>
      <c r="AK133" s="84">
        <f t="shared" si="42"/>
        <v>-436</v>
      </c>
      <c r="AL133" s="84">
        <f t="shared" si="43"/>
        <v>-5.2758486331599182E-4</v>
      </c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 t="s">
        <v>165</v>
      </c>
      <c r="AZ133" s="84">
        <f>BA57</f>
        <v>23114</v>
      </c>
      <c r="BA133" s="84">
        <f t="shared" si="44"/>
        <v>268</v>
      </c>
      <c r="BB133" s="84">
        <f t="shared" si="45"/>
        <v>3.2533490983185161E-4</v>
      </c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 t="s">
        <v>165</v>
      </c>
      <c r="BP133" s="84">
        <f>BQ57</f>
        <v>23330</v>
      </c>
      <c r="BQ133" s="84">
        <f t="shared" si="46"/>
        <v>-501</v>
      </c>
      <c r="BR133" s="84">
        <f t="shared" si="47"/>
        <v>-6.0299499550261224E-4</v>
      </c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 t="s">
        <v>165</v>
      </c>
      <c r="CF133" s="84">
        <f>CG57</f>
        <v>24921</v>
      </c>
      <c r="CG133" s="84">
        <f t="shared" si="48"/>
        <v>405</v>
      </c>
      <c r="CH133" s="84">
        <f t="shared" si="49"/>
        <v>4.8475050709291729E-4</v>
      </c>
      <c r="CT133" s="84"/>
      <c r="CU133" s="84" t="s">
        <v>165</v>
      </c>
      <c r="CV133" s="84">
        <f>CW57</f>
        <v>23985</v>
      </c>
      <c r="CW133" s="84">
        <f t="shared" si="50"/>
        <v>-57</v>
      </c>
      <c r="CX133" s="84">
        <f t="shared" si="51"/>
        <v>-6.9940895852893439E-5</v>
      </c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 t="s">
        <v>165</v>
      </c>
      <c r="DL133" s="84">
        <f>DM57</f>
        <v>24381</v>
      </c>
      <c r="DM133" s="84">
        <f t="shared" si="52"/>
        <v>251</v>
      </c>
      <c r="DN133" s="84">
        <f t="shared" si="53"/>
        <v>3.1124081545093649E-4</v>
      </c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</row>
    <row r="134" spans="1:128" x14ac:dyDescent="0.2">
      <c r="A134" s="84"/>
      <c r="B134" s="84"/>
      <c r="C134" s="84" t="s">
        <v>166</v>
      </c>
      <c r="D134" s="84">
        <f>F57</f>
        <v>786621</v>
      </c>
      <c r="E134" s="84">
        <f t="shared" si="38"/>
        <v>767513.5</v>
      </c>
      <c r="F134" s="84">
        <f t="shared" si="39"/>
        <v>0.97749404651855853</v>
      </c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 t="s">
        <v>166</v>
      </c>
      <c r="T134" s="84">
        <f>V57</f>
        <v>781647</v>
      </c>
      <c r="U134" s="84">
        <f t="shared" si="40"/>
        <v>762791</v>
      </c>
      <c r="V134" s="84">
        <f t="shared" si="41"/>
        <v>0.97377719498731174</v>
      </c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 t="s">
        <v>166</v>
      </c>
      <c r="AJ134" s="84">
        <f>AL57</f>
        <v>827588</v>
      </c>
      <c r="AK134" s="84">
        <f t="shared" si="42"/>
        <v>805030</v>
      </c>
      <c r="AL134" s="84">
        <f t="shared" si="43"/>
        <v>0.97413220760383701</v>
      </c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 t="s">
        <v>166</v>
      </c>
      <c r="AZ134" s="84">
        <f>BB57</f>
        <v>815194</v>
      </c>
      <c r="BA134" s="84">
        <f t="shared" si="44"/>
        <v>792348</v>
      </c>
      <c r="BB134" s="84">
        <f t="shared" si="45"/>
        <v>0.96185994453525359</v>
      </c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 t="s">
        <v>166</v>
      </c>
      <c r="BP134" s="84">
        <f>BR57</f>
        <v>832808</v>
      </c>
      <c r="BQ134" s="84">
        <f t="shared" si="46"/>
        <v>808977</v>
      </c>
      <c r="BR134" s="84">
        <f t="shared" si="47"/>
        <v>0.97367082330681975</v>
      </c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 t="s">
        <v>166</v>
      </c>
      <c r="CF134" s="84">
        <f>CH57</f>
        <v>826152</v>
      </c>
      <c r="CG134" s="84">
        <f t="shared" si="48"/>
        <v>801636</v>
      </c>
      <c r="CH134" s="84">
        <f t="shared" si="49"/>
        <v>0.95949001852824156</v>
      </c>
      <c r="CT134" s="84"/>
      <c r="CU134" s="84" t="s">
        <v>166</v>
      </c>
      <c r="CV134" s="84">
        <f>CX57</f>
        <v>811995</v>
      </c>
      <c r="CW134" s="84">
        <f t="shared" si="50"/>
        <v>787953</v>
      </c>
      <c r="CX134" s="84">
        <f t="shared" si="51"/>
        <v>0.96684453877149013</v>
      </c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 t="s">
        <v>166</v>
      </c>
      <c r="DL134" s="84">
        <f>DN57</f>
        <v>803128</v>
      </c>
      <c r="DM134" s="84">
        <f t="shared" si="52"/>
        <v>778998</v>
      </c>
      <c r="DN134" s="84">
        <f t="shared" si="53"/>
        <v>0.96596005081533309</v>
      </c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</row>
    <row r="135" spans="1:128" x14ac:dyDescent="0.2">
      <c r="A135" s="84"/>
      <c r="B135" s="84"/>
      <c r="C135" s="84" t="s">
        <v>167</v>
      </c>
      <c r="D135" s="84">
        <f>G57</f>
        <v>38009</v>
      </c>
      <c r="E135" s="84">
        <f t="shared" si="38"/>
        <v>18901.5</v>
      </c>
      <c r="F135" s="84">
        <f t="shared" si="39"/>
        <v>2.4072675881623627E-2</v>
      </c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 t="s">
        <v>167</v>
      </c>
      <c r="T135" s="84">
        <f>W57</f>
        <v>41937</v>
      </c>
      <c r="U135" s="84">
        <f t="shared" si="40"/>
        <v>23081</v>
      </c>
      <c r="V135" s="84">
        <f t="shared" si="41"/>
        <v>2.9465150267245079E-2</v>
      </c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 t="s">
        <v>167</v>
      </c>
      <c r="AJ135" s="84">
        <f>AM57</f>
        <v>98573</v>
      </c>
      <c r="AK135" s="84">
        <f t="shared" si="42"/>
        <v>76015</v>
      </c>
      <c r="AL135" s="84">
        <f t="shared" si="43"/>
        <v>9.1982484827901653E-2</v>
      </c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 t="s">
        <v>167</v>
      </c>
      <c r="AZ135" s="84">
        <f>BC57</f>
        <v>92438</v>
      </c>
      <c r="BA135" s="84">
        <f t="shared" si="44"/>
        <v>69592</v>
      </c>
      <c r="BB135" s="84">
        <f t="shared" si="45"/>
        <v>8.448025016797843E-2</v>
      </c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 t="s">
        <v>167</v>
      </c>
      <c r="BP135" s="84">
        <f>BS57</f>
        <v>355753</v>
      </c>
      <c r="BQ135" s="84">
        <f t="shared" si="46"/>
        <v>331922</v>
      </c>
      <c r="BR135" s="84">
        <f t="shared" si="47"/>
        <v>0.39949561855732146</v>
      </c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 t="s">
        <v>167</v>
      </c>
      <c r="CF135" s="84">
        <f>CI57</f>
        <v>174492</v>
      </c>
      <c r="CG135" s="84">
        <f t="shared" si="48"/>
        <v>149976</v>
      </c>
      <c r="CH135" s="84">
        <f t="shared" si="49"/>
        <v>0.17950849889325274</v>
      </c>
      <c r="CT135" s="84"/>
      <c r="CU135" s="84" t="s">
        <v>167</v>
      </c>
      <c r="CV135" s="84">
        <f>CY57</f>
        <v>546086</v>
      </c>
      <c r="CW135" s="84">
        <f t="shared" si="50"/>
        <v>522044</v>
      </c>
      <c r="CX135" s="84">
        <f t="shared" si="51"/>
        <v>0.64056535148469995</v>
      </c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 t="s">
        <v>167</v>
      </c>
      <c r="DL135" s="84">
        <f>DO57</f>
        <v>238193</v>
      </c>
      <c r="DM135" s="84">
        <f t="shared" si="52"/>
        <v>214063</v>
      </c>
      <c r="DN135" s="84">
        <f t="shared" si="53"/>
        <v>0.2654388154496965</v>
      </c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</row>
    <row r="136" spans="1:128" x14ac:dyDescent="0.2">
      <c r="A136" s="84"/>
      <c r="B136" s="84"/>
      <c r="C136" s="84" t="s">
        <v>168</v>
      </c>
      <c r="D136" s="84">
        <f>H57</f>
        <v>36401</v>
      </c>
      <c r="E136" s="84">
        <f t="shared" si="38"/>
        <v>17293.5</v>
      </c>
      <c r="F136" s="84">
        <f t="shared" si="39"/>
        <v>2.2024750435619297E-2</v>
      </c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 t="s">
        <v>168</v>
      </c>
      <c r="T136" s="84">
        <f>X57</f>
        <v>44451</v>
      </c>
      <c r="U136" s="84">
        <f t="shared" si="40"/>
        <v>25595</v>
      </c>
      <c r="V136" s="84">
        <f t="shared" si="41"/>
        <v>3.2674516749280264E-2</v>
      </c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 t="s">
        <v>168</v>
      </c>
      <c r="AJ136" s="84">
        <f>AN57</f>
        <v>89854</v>
      </c>
      <c r="AK136" s="84">
        <f t="shared" si="42"/>
        <v>67296</v>
      </c>
      <c r="AL136" s="84">
        <f t="shared" si="43"/>
        <v>8.1431997618607768E-2</v>
      </c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 t="s">
        <v>168</v>
      </c>
      <c r="AZ136" s="84">
        <f>BD57</f>
        <v>89310</v>
      </c>
      <c r="BA136" s="84">
        <f t="shared" si="44"/>
        <v>66464</v>
      </c>
      <c r="BB136" s="84">
        <f t="shared" si="45"/>
        <v>8.0683057638299208E-2</v>
      </c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 t="s">
        <v>168</v>
      </c>
      <c r="BP136" s="84">
        <f>BT57</f>
        <v>345737</v>
      </c>
      <c r="BQ136" s="84">
        <f t="shared" si="46"/>
        <v>321906</v>
      </c>
      <c r="BR136" s="84">
        <f t="shared" si="47"/>
        <v>0.38744053297857062</v>
      </c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 t="s">
        <v>168</v>
      </c>
      <c r="CF136" s="84">
        <f>CJ57</f>
        <v>170506</v>
      </c>
      <c r="CG136" s="84">
        <f t="shared" si="48"/>
        <v>145990</v>
      </c>
      <c r="CH136" s="84">
        <f t="shared" si="49"/>
        <v>0.17473759637159259</v>
      </c>
      <c r="CT136" s="84"/>
      <c r="CU136" s="84" t="s">
        <v>168</v>
      </c>
      <c r="CV136" s="84">
        <f>CZ57</f>
        <v>514877</v>
      </c>
      <c r="CW136" s="84">
        <f t="shared" si="50"/>
        <v>490835</v>
      </c>
      <c r="CX136" s="84">
        <f t="shared" si="51"/>
        <v>0.60227087045534999</v>
      </c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 t="s">
        <v>168</v>
      </c>
      <c r="DL136" s="84">
        <f>DP57</f>
        <v>271533</v>
      </c>
      <c r="DM136" s="84">
        <f t="shared" si="52"/>
        <v>247403</v>
      </c>
      <c r="DN136" s="84">
        <f t="shared" si="53"/>
        <v>0.30678052376497228</v>
      </c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</row>
    <row r="137" spans="1:128" x14ac:dyDescent="0.2">
      <c r="A137" s="84"/>
      <c r="B137" s="84"/>
      <c r="C137" s="84" t="s">
        <v>169</v>
      </c>
      <c r="D137" s="84">
        <f>I57</f>
        <v>40044</v>
      </c>
      <c r="E137" s="84">
        <f t="shared" si="38"/>
        <v>20936.5</v>
      </c>
      <c r="F137" s="84">
        <f t="shared" si="39"/>
        <v>2.6664422326038304E-2</v>
      </c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 t="s">
        <v>169</v>
      </c>
      <c r="T137" s="84">
        <f>Y57</f>
        <v>42040</v>
      </c>
      <c r="U137" s="84">
        <f t="shared" si="40"/>
        <v>23184</v>
      </c>
      <c r="V137" s="84">
        <f t="shared" si="41"/>
        <v>2.9596639824782719E-2</v>
      </c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 t="s">
        <v>169</v>
      </c>
      <c r="AJ137" s="84">
        <f>AO57</f>
        <v>110920</v>
      </c>
      <c r="AK137" s="84">
        <f t="shared" si="42"/>
        <v>88362</v>
      </c>
      <c r="AL137" s="84">
        <f t="shared" si="43"/>
        <v>0.10692305892735704</v>
      </c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 t="s">
        <v>169</v>
      </c>
      <c r="AZ137" s="84">
        <f>BE57</f>
        <v>78946</v>
      </c>
      <c r="BA137" s="84">
        <f t="shared" si="44"/>
        <v>56100</v>
      </c>
      <c r="BB137" s="84">
        <f t="shared" si="45"/>
        <v>6.8101822543159982E-2</v>
      </c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 t="s">
        <v>169</v>
      </c>
      <c r="BP137" s="84">
        <f>BU57</f>
        <v>394060</v>
      </c>
      <c r="BQ137" s="84">
        <f t="shared" si="46"/>
        <v>370229</v>
      </c>
      <c r="BR137" s="84">
        <f t="shared" si="47"/>
        <v>0.44560126584817689</v>
      </c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 t="s">
        <v>169</v>
      </c>
      <c r="CF137" s="84">
        <f>CK57</f>
        <v>169343</v>
      </c>
      <c r="CG137" s="84">
        <f t="shared" si="48"/>
        <v>144827</v>
      </c>
      <c r="CH137" s="84">
        <f t="shared" si="49"/>
        <v>0.17334558442159489</v>
      </c>
      <c r="CT137" s="84"/>
      <c r="CU137" s="84" t="s">
        <v>169</v>
      </c>
      <c r="CV137" s="84">
        <f>DA57</f>
        <v>527438</v>
      </c>
      <c r="CW137" s="84">
        <f t="shared" si="50"/>
        <v>503396</v>
      </c>
      <c r="CX137" s="84">
        <f t="shared" si="51"/>
        <v>0.61768363524145864</v>
      </c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 t="s">
        <v>169</v>
      </c>
      <c r="DL137" s="84">
        <f>DQ57</f>
        <v>258154</v>
      </c>
      <c r="DM137" s="84">
        <f t="shared" si="52"/>
        <v>234024</v>
      </c>
      <c r="DN137" s="84">
        <f t="shared" si="53"/>
        <v>0.2901905202991632</v>
      </c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</row>
    <row r="138" spans="1:128" x14ac:dyDescent="0.2">
      <c r="A138" s="84"/>
      <c r="B138" s="84"/>
      <c r="C138" s="84" t="s">
        <v>170</v>
      </c>
      <c r="D138" s="84">
        <f>J57</f>
        <v>39869</v>
      </c>
      <c r="E138" s="84">
        <f t="shared" si="38"/>
        <v>20761.5</v>
      </c>
      <c r="F138" s="84">
        <f t="shared" si="39"/>
        <v>2.6441544867673406E-2</v>
      </c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 t="s">
        <v>170</v>
      </c>
      <c r="T138" s="84">
        <f>Z57</f>
        <v>39913</v>
      </c>
      <c r="U138" s="84">
        <f t="shared" si="40"/>
        <v>21057</v>
      </c>
      <c r="V138" s="84">
        <f t="shared" si="41"/>
        <v>2.6881316631748177E-2</v>
      </c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 t="s">
        <v>170</v>
      </c>
      <c r="AJ138" s="84">
        <f>AP57</f>
        <v>93371</v>
      </c>
      <c r="AK138" s="84">
        <f t="shared" si="42"/>
        <v>70813</v>
      </c>
      <c r="AL138" s="84">
        <f t="shared" si="43"/>
        <v>8.5687768178888374E-2</v>
      </c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 t="s">
        <v>170</v>
      </c>
      <c r="AZ138" s="84">
        <f>BF57</f>
        <v>77735</v>
      </c>
      <c r="BA138" s="84">
        <f t="shared" si="44"/>
        <v>54889</v>
      </c>
      <c r="BB138" s="84">
        <f t="shared" si="45"/>
        <v>6.6631745767763068E-2</v>
      </c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 t="s">
        <v>170</v>
      </c>
      <c r="BP138" s="84">
        <f>BV57</f>
        <v>373444</v>
      </c>
      <c r="BQ138" s="84">
        <f t="shared" si="46"/>
        <v>349613</v>
      </c>
      <c r="BR138" s="84">
        <f t="shared" si="47"/>
        <v>0.42078820232066816</v>
      </c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 t="s">
        <v>170</v>
      </c>
      <c r="CF138" s="84">
        <f>CL57</f>
        <v>139869</v>
      </c>
      <c r="CG138" s="84">
        <f t="shared" si="48"/>
        <v>115353</v>
      </c>
      <c r="CH138" s="84">
        <f t="shared" si="49"/>
        <v>0.1380677166535538</v>
      </c>
      <c r="CT138" s="84"/>
      <c r="CU138" s="84" t="s">
        <v>170</v>
      </c>
      <c r="CV138" s="84">
        <f>DB57</f>
        <v>513538</v>
      </c>
      <c r="CW138" s="84">
        <f t="shared" si="50"/>
        <v>489496</v>
      </c>
      <c r="CX138" s="84">
        <f t="shared" si="51"/>
        <v>0.60062787291943731</v>
      </c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 t="s">
        <v>170</v>
      </c>
      <c r="DL138" s="84">
        <f>DR57</f>
        <v>216865</v>
      </c>
      <c r="DM138" s="84">
        <f t="shared" si="52"/>
        <v>192735</v>
      </c>
      <c r="DN138" s="84">
        <f t="shared" si="53"/>
        <v>0.23899202615910853</v>
      </c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</row>
    <row r="139" spans="1:128" x14ac:dyDescent="0.2">
      <c r="A139" s="84"/>
      <c r="B139" s="84"/>
      <c r="C139" s="84" t="s">
        <v>171</v>
      </c>
      <c r="D139" s="84">
        <f>K57</f>
        <v>42519</v>
      </c>
      <c r="E139" s="84">
        <f t="shared" si="38"/>
        <v>23411.5</v>
      </c>
      <c r="F139" s="84">
        <f t="shared" si="39"/>
        <v>2.9816546380056159E-2</v>
      </c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 t="s">
        <v>171</v>
      </c>
      <c r="T139" s="84">
        <f>AA57</f>
        <v>40500</v>
      </c>
      <c r="U139" s="84">
        <f t="shared" si="40"/>
        <v>21644</v>
      </c>
      <c r="V139" s="84">
        <f t="shared" si="41"/>
        <v>2.7630679449948119E-2</v>
      </c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 t="s">
        <v>171</v>
      </c>
      <c r="AJ139" s="84">
        <f>AQ57</f>
        <v>98621</v>
      </c>
      <c r="AK139" s="84">
        <f t="shared" si="42"/>
        <v>76063</v>
      </c>
      <c r="AL139" s="84">
        <f t="shared" si="43"/>
        <v>9.2040567565147446E-2</v>
      </c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 t="s">
        <v>171</v>
      </c>
      <c r="AZ139" s="84">
        <f>BG57</f>
        <v>73731</v>
      </c>
      <c r="BA139" s="84">
        <f t="shared" si="44"/>
        <v>50885</v>
      </c>
      <c r="BB139" s="84">
        <f t="shared" si="45"/>
        <v>6.1771145099976756E-2</v>
      </c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 t="s">
        <v>171</v>
      </c>
      <c r="BP139" s="84">
        <f>BW57</f>
        <v>418216</v>
      </c>
      <c r="BQ139" s="84">
        <f t="shared" si="46"/>
        <v>394385</v>
      </c>
      <c r="BR139" s="84">
        <f t="shared" si="47"/>
        <v>0.47467501257744055</v>
      </c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 t="s">
        <v>171</v>
      </c>
      <c r="CF139" s="84">
        <f>CM57</f>
        <v>140612</v>
      </c>
      <c r="CG139" s="84">
        <f t="shared" si="48"/>
        <v>116096</v>
      </c>
      <c r="CH139" s="84">
        <f t="shared" si="49"/>
        <v>0.13895702437397364</v>
      </c>
      <c r="CT139" s="84"/>
      <c r="CU139" s="84" t="s">
        <v>171</v>
      </c>
      <c r="CV139" s="84">
        <f>DC57</f>
        <v>541682</v>
      </c>
      <c r="CW139" s="84">
        <f t="shared" si="50"/>
        <v>517640</v>
      </c>
      <c r="CX139" s="84">
        <f t="shared" si="51"/>
        <v>0.63516149700511859</v>
      </c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 t="s">
        <v>171</v>
      </c>
      <c r="DL139" s="84">
        <f>DS57</f>
        <v>211164</v>
      </c>
      <c r="DM139" s="84">
        <f t="shared" si="52"/>
        <v>187034</v>
      </c>
      <c r="DN139" s="84">
        <f t="shared" si="53"/>
        <v>0.23192276763765121</v>
      </c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</row>
    <row r="140" spans="1:128" x14ac:dyDescent="0.2">
      <c r="A140" s="84"/>
      <c r="B140" s="84"/>
      <c r="C140" s="84" t="s">
        <v>172</v>
      </c>
      <c r="D140" s="84">
        <f>L57</f>
        <v>37656</v>
      </c>
      <c r="E140" s="84">
        <f t="shared" si="38"/>
        <v>18548.5</v>
      </c>
      <c r="F140" s="84">
        <f t="shared" si="39"/>
        <v>2.3623100208464715E-2</v>
      </c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 t="s">
        <v>172</v>
      </c>
      <c r="T140" s="84">
        <f>AB57</f>
        <v>39587</v>
      </c>
      <c r="U140" s="84">
        <f t="shared" si="40"/>
        <v>20731</v>
      </c>
      <c r="V140" s="84">
        <f t="shared" si="41"/>
        <v>2.6465145799153319E-2</v>
      </c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 t="s">
        <v>172</v>
      </c>
      <c r="AJ140" s="84">
        <f>AR57</f>
        <v>87408</v>
      </c>
      <c r="AK140" s="84">
        <f t="shared" si="42"/>
        <v>64850</v>
      </c>
      <c r="AL140" s="84">
        <f t="shared" si="43"/>
        <v>7.8472198133124019E-2</v>
      </c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 t="s">
        <v>172</v>
      </c>
      <c r="AZ140" s="84">
        <f>BH57</f>
        <v>90515</v>
      </c>
      <c r="BA140" s="84">
        <f t="shared" si="44"/>
        <v>67669</v>
      </c>
      <c r="BB140" s="84">
        <f t="shared" si="45"/>
        <v>8.2145850796311815E-2</v>
      </c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 t="s">
        <v>172</v>
      </c>
      <c r="BP140" s="84">
        <f>BX57</f>
        <v>381546</v>
      </c>
      <c r="BQ140" s="84">
        <f t="shared" si="46"/>
        <v>357715</v>
      </c>
      <c r="BR140" s="84">
        <f t="shared" si="47"/>
        <v>0.43053963037169046</v>
      </c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 t="s">
        <v>172</v>
      </c>
      <c r="CF140" s="84">
        <f>CN57</f>
        <v>163889</v>
      </c>
      <c r="CG140" s="84">
        <f t="shared" si="48"/>
        <v>139373</v>
      </c>
      <c r="CH140" s="84">
        <f t="shared" si="49"/>
        <v>0.16681761092607694</v>
      </c>
      <c r="CT140" s="84"/>
      <c r="CU140" s="84" t="s">
        <v>172</v>
      </c>
      <c r="CV140" s="84">
        <f>DD57</f>
        <v>550788</v>
      </c>
      <c r="CW140" s="84">
        <f t="shared" si="50"/>
        <v>526746</v>
      </c>
      <c r="CX140" s="84">
        <f t="shared" si="51"/>
        <v>0.64633486187593336</v>
      </c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 t="s">
        <v>172</v>
      </c>
      <c r="DL140" s="84">
        <f>DT57</f>
        <v>293591</v>
      </c>
      <c r="DM140" s="84">
        <f t="shared" si="52"/>
        <v>269461</v>
      </c>
      <c r="DN140" s="84">
        <f t="shared" si="53"/>
        <v>0.33413251542719041</v>
      </c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</row>
    <row r="141" spans="1:128" x14ac:dyDescent="0.2">
      <c r="A141" s="84"/>
      <c r="B141" s="84"/>
      <c r="C141" s="84" t="s">
        <v>173</v>
      </c>
      <c r="D141" s="84">
        <f>M57</f>
        <v>38292</v>
      </c>
      <c r="E141" s="84">
        <f t="shared" si="38"/>
        <v>19184.5</v>
      </c>
      <c r="F141" s="84">
        <f t="shared" si="39"/>
        <v>2.4433100571436574E-2</v>
      </c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 t="s">
        <v>173</v>
      </c>
      <c r="T141" s="84">
        <f>AC57</f>
        <v>40227</v>
      </c>
      <c r="U141" s="84">
        <f t="shared" si="40"/>
        <v>21371</v>
      </c>
      <c r="V141" s="84">
        <f t="shared" si="41"/>
        <v>2.7282168292591075E-2</v>
      </c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 t="s">
        <v>173</v>
      </c>
      <c r="AJ141" s="84">
        <f>AS57</f>
        <v>92486</v>
      </c>
      <c r="AK141" s="84">
        <f t="shared" si="42"/>
        <v>69928</v>
      </c>
      <c r="AL141" s="84">
        <f t="shared" si="43"/>
        <v>8.4616867710918989E-2</v>
      </c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 t="s">
        <v>173</v>
      </c>
      <c r="AZ141" s="84">
        <f>BI57</f>
        <v>92448</v>
      </c>
      <c r="BA141" s="84">
        <f t="shared" si="44"/>
        <v>69602</v>
      </c>
      <c r="BB141" s="84">
        <f t="shared" si="45"/>
        <v>8.449238953028558E-2</v>
      </c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 t="s">
        <v>173</v>
      </c>
      <c r="BP141" s="84">
        <f>BY57</f>
        <v>381531</v>
      </c>
      <c r="BQ141" s="84">
        <f t="shared" si="46"/>
        <v>357700</v>
      </c>
      <c r="BR141" s="84">
        <f t="shared" si="47"/>
        <v>0.43052157662931018</v>
      </c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 t="s">
        <v>173</v>
      </c>
      <c r="CF141" s="84">
        <f>CO57</f>
        <v>172311</v>
      </c>
      <c r="CG141" s="84">
        <f t="shared" si="48"/>
        <v>147795</v>
      </c>
      <c r="CH141" s="84">
        <f t="shared" si="49"/>
        <v>0.17689802764394497</v>
      </c>
      <c r="CT141" s="84"/>
      <c r="CU141" s="84" t="s">
        <v>173</v>
      </c>
      <c r="CV141" s="84">
        <f>DE57</f>
        <v>558025</v>
      </c>
      <c r="CW141" s="84">
        <f t="shared" si="50"/>
        <v>533983</v>
      </c>
      <c r="CX141" s="84">
        <f t="shared" si="51"/>
        <v>0.65521490158272977</v>
      </c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 t="s">
        <v>173</v>
      </c>
      <c r="DL141" s="84">
        <f>DU57</f>
        <v>252510</v>
      </c>
      <c r="DM141" s="84">
        <f t="shared" si="52"/>
        <v>228380</v>
      </c>
      <c r="DN141" s="84">
        <f t="shared" si="53"/>
        <v>0.28319194196288794</v>
      </c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</row>
    <row r="142" spans="1:128" x14ac:dyDescent="0.2">
      <c r="A142" s="84"/>
      <c r="B142" s="84"/>
      <c r="C142" s="84" t="s">
        <v>174</v>
      </c>
      <c r="D142" s="84">
        <f>N57</f>
        <v>38680</v>
      </c>
      <c r="E142" s="84">
        <f t="shared" si="38"/>
        <v>19572.5</v>
      </c>
      <c r="F142" s="84">
        <f t="shared" si="39"/>
        <v>2.4927251736268464E-2</v>
      </c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 t="s">
        <v>174</v>
      </c>
      <c r="T142" s="84">
        <f>AD57</f>
        <v>40319</v>
      </c>
      <c r="U142" s="84">
        <f t="shared" si="40"/>
        <v>21463</v>
      </c>
      <c r="V142" s="84">
        <f t="shared" si="41"/>
        <v>2.7399615276022752E-2</v>
      </c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 t="s">
        <v>174</v>
      </c>
      <c r="AJ142" s="84">
        <f>AT57</f>
        <v>102289</v>
      </c>
      <c r="AK142" s="84">
        <f t="shared" si="42"/>
        <v>79731</v>
      </c>
      <c r="AL142" s="84">
        <f t="shared" si="43"/>
        <v>9.647905673634713E-2</v>
      </c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 t="s">
        <v>174</v>
      </c>
      <c r="AZ142" s="84">
        <f>BJ57</f>
        <v>92581</v>
      </c>
      <c r="BA142" s="84">
        <f t="shared" si="44"/>
        <v>69735</v>
      </c>
      <c r="BB142" s="84">
        <f t="shared" si="45"/>
        <v>8.4653843048970792E-2</v>
      </c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 t="s">
        <v>174</v>
      </c>
      <c r="BP142" s="84">
        <f>BZ57</f>
        <v>400879</v>
      </c>
      <c r="BQ142" s="84">
        <f t="shared" si="46"/>
        <v>377048</v>
      </c>
      <c r="BR142" s="84">
        <f t="shared" si="47"/>
        <v>0.4538084971342693</v>
      </c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 t="s">
        <v>174</v>
      </c>
      <c r="CF142" s="84">
        <f>CP57</f>
        <v>190807</v>
      </c>
      <c r="CG142" s="84">
        <f t="shared" si="48"/>
        <v>166291</v>
      </c>
      <c r="CH142" s="84">
        <f t="shared" si="49"/>
        <v>0.19903616438268718</v>
      </c>
      <c r="CT142" s="84"/>
      <c r="CU142" s="84" t="s">
        <v>174</v>
      </c>
      <c r="CV142" s="84">
        <f>DF57</f>
        <v>549455</v>
      </c>
      <c r="CW142" s="84">
        <f t="shared" si="50"/>
        <v>525413</v>
      </c>
      <c r="CX142" s="84">
        <f t="shared" si="51"/>
        <v>0.64469922653958411</v>
      </c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 t="s">
        <v>174</v>
      </c>
      <c r="DL142" s="84">
        <f>DV57</f>
        <v>287962</v>
      </c>
      <c r="DM142" s="84">
        <f t="shared" si="52"/>
        <v>263832</v>
      </c>
      <c r="DN142" s="84">
        <f t="shared" si="53"/>
        <v>0.32715253713964731</v>
      </c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</row>
    <row r="143" spans="1:128" x14ac:dyDescent="0.2">
      <c r="A143" s="84"/>
      <c r="B143" s="84"/>
      <c r="C143" s="84" t="s">
        <v>175</v>
      </c>
      <c r="D143" s="84">
        <f>E58</f>
        <v>19292</v>
      </c>
      <c r="E143" s="84">
        <f t="shared" si="38"/>
        <v>184.5</v>
      </c>
      <c r="F143" s="84">
        <f t="shared" si="39"/>
        <v>2.3497652039042186E-4</v>
      </c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 t="s">
        <v>175</v>
      </c>
      <c r="T143" s="84">
        <f>U58</f>
        <v>18738</v>
      </c>
      <c r="U143" s="84">
        <f t="shared" si="40"/>
        <v>-118</v>
      </c>
      <c r="V143" s="84">
        <f t="shared" si="41"/>
        <v>-1.5063852222758629E-4</v>
      </c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 t="s">
        <v>175</v>
      </c>
      <c r="AJ143" s="84">
        <f>AK58</f>
        <v>22596</v>
      </c>
      <c r="AK143" s="84">
        <f t="shared" si="42"/>
        <v>38</v>
      </c>
      <c r="AL143" s="84">
        <f t="shared" si="43"/>
        <v>4.598216698625617E-5</v>
      </c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 t="s">
        <v>175</v>
      </c>
      <c r="AZ143" s="84">
        <f>BA58</f>
        <v>23396</v>
      </c>
      <c r="BA143" s="84">
        <f t="shared" si="44"/>
        <v>550</v>
      </c>
      <c r="BB143" s="84">
        <f t="shared" si="45"/>
        <v>6.676649268937254E-4</v>
      </c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 t="s">
        <v>175</v>
      </c>
      <c r="BP143" s="84">
        <f>BQ58</f>
        <v>23498</v>
      </c>
      <c r="BQ143" s="84">
        <f t="shared" si="46"/>
        <v>-333</v>
      </c>
      <c r="BR143" s="84">
        <f t="shared" si="47"/>
        <v>-4.0079308084305364E-4</v>
      </c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 t="s">
        <v>175</v>
      </c>
      <c r="CF143" s="84">
        <f>CG58</f>
        <v>24132</v>
      </c>
      <c r="CG143" s="84">
        <f t="shared" si="48"/>
        <v>-384</v>
      </c>
      <c r="CH143" s="84">
        <f t="shared" si="49"/>
        <v>-4.5961529561402525E-4</v>
      </c>
      <c r="CT143" s="84"/>
      <c r="CU143" s="84" t="s">
        <v>175</v>
      </c>
      <c r="CV143" s="84">
        <f>CW58</f>
        <v>23587</v>
      </c>
      <c r="CW143" s="84">
        <f t="shared" si="50"/>
        <v>-455</v>
      </c>
      <c r="CX143" s="84">
        <f t="shared" si="51"/>
        <v>-5.5830013356257036E-4</v>
      </c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 t="s">
        <v>175</v>
      </c>
      <c r="DL143" s="84">
        <f>DM58</f>
        <v>24091</v>
      </c>
      <c r="DM143" s="84">
        <f t="shared" si="52"/>
        <v>-39</v>
      </c>
      <c r="DN143" s="84">
        <f t="shared" si="53"/>
        <v>-4.8360126703531962E-5</v>
      </c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</row>
    <row r="144" spans="1:128" x14ac:dyDescent="0.2">
      <c r="A144" s="84"/>
      <c r="B144" s="84"/>
      <c r="C144" s="84" t="s">
        <v>176</v>
      </c>
      <c r="D144" s="84">
        <f>F58</f>
        <v>790127</v>
      </c>
      <c r="E144" s="84">
        <f t="shared" si="38"/>
        <v>771019.5</v>
      </c>
      <c r="F144" s="84">
        <f t="shared" si="39"/>
        <v>0.9819592371987147</v>
      </c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 t="s">
        <v>176</v>
      </c>
      <c r="T144" s="84">
        <f>V58</f>
        <v>789084</v>
      </c>
      <c r="U144" s="84">
        <f t="shared" si="40"/>
        <v>770228</v>
      </c>
      <c r="V144" s="84">
        <f t="shared" si="41"/>
        <v>0.98327125168058771</v>
      </c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 t="s">
        <v>176</v>
      </c>
      <c r="AJ144" s="84">
        <f>AL58</f>
        <v>824126</v>
      </c>
      <c r="AK144" s="84">
        <f t="shared" si="42"/>
        <v>801568</v>
      </c>
      <c r="AL144" s="84">
        <f t="shared" si="43"/>
        <v>0.96994299017998387</v>
      </c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 t="s">
        <v>176</v>
      </c>
      <c r="AZ144" s="84">
        <f>BB58</f>
        <v>821081</v>
      </c>
      <c r="BA144" s="84">
        <f t="shared" si="44"/>
        <v>798235</v>
      </c>
      <c r="BB144" s="84">
        <f t="shared" si="45"/>
        <v>0.96900638712547793</v>
      </c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 t="s">
        <v>176</v>
      </c>
      <c r="BP144" s="84">
        <f>BR58</f>
        <v>832924</v>
      </c>
      <c r="BQ144" s="84">
        <f t="shared" si="46"/>
        <v>809093</v>
      </c>
      <c r="BR144" s="84">
        <f t="shared" si="47"/>
        <v>0.97381043891456087</v>
      </c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 t="s">
        <v>176</v>
      </c>
      <c r="CF144" s="84">
        <f>CH58</f>
        <v>842099</v>
      </c>
      <c r="CG144" s="84">
        <f t="shared" si="48"/>
        <v>817583</v>
      </c>
      <c r="CH144" s="84">
        <f t="shared" si="49"/>
        <v>0.97857721935937925</v>
      </c>
      <c r="CT144" s="84"/>
      <c r="CU144" s="84" t="s">
        <v>176</v>
      </c>
      <c r="CV144" s="84">
        <f>CX58</f>
        <v>812286</v>
      </c>
      <c r="CW144" s="84">
        <f t="shared" si="50"/>
        <v>788244</v>
      </c>
      <c r="CX144" s="84">
        <f t="shared" si="51"/>
        <v>0.96720160545031808</v>
      </c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 t="s">
        <v>176</v>
      </c>
      <c r="DL144" s="84">
        <f>DN58</f>
        <v>814395</v>
      </c>
      <c r="DM144" s="84">
        <f t="shared" si="52"/>
        <v>790265</v>
      </c>
      <c r="DN144" s="84">
        <f t="shared" si="53"/>
        <v>0.97993116741965869</v>
      </c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</row>
    <row r="145" spans="1:128" x14ac:dyDescent="0.2">
      <c r="A145" s="84"/>
      <c r="B145" s="84"/>
      <c r="C145" s="84" t="s">
        <v>177</v>
      </c>
      <c r="D145" s="84">
        <f>G58</f>
        <v>37851</v>
      </c>
      <c r="E145" s="84">
        <f t="shared" si="38"/>
        <v>18743.5</v>
      </c>
      <c r="F145" s="84">
        <f t="shared" si="39"/>
        <v>2.3871449376357032E-2</v>
      </c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 t="s">
        <v>177</v>
      </c>
      <c r="T145" s="84">
        <f>W58</f>
        <v>40432</v>
      </c>
      <c r="U145" s="84">
        <f t="shared" si="40"/>
        <v>21576</v>
      </c>
      <c r="V145" s="84">
        <f t="shared" si="41"/>
        <v>2.7543870810020358E-2</v>
      </c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 t="s">
        <v>177</v>
      </c>
      <c r="AJ145" s="84">
        <f>AM58</f>
        <v>75594</v>
      </c>
      <c r="AK145" s="84">
        <f t="shared" si="42"/>
        <v>53036</v>
      </c>
      <c r="AL145" s="84">
        <f t="shared" si="43"/>
        <v>6.4176584428502159E-2</v>
      </c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 t="s">
        <v>177</v>
      </c>
      <c r="AZ145" s="84">
        <f>BC58</f>
        <v>79369</v>
      </c>
      <c r="BA145" s="84">
        <f t="shared" si="44"/>
        <v>56523</v>
      </c>
      <c r="BB145" s="84">
        <f t="shared" si="45"/>
        <v>6.861531756875279E-2</v>
      </c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 t="s">
        <v>177</v>
      </c>
      <c r="BP145" s="84">
        <f>BS58</f>
        <v>338068</v>
      </c>
      <c r="BQ145" s="84">
        <f t="shared" si="46"/>
        <v>314237</v>
      </c>
      <c r="BR145" s="84">
        <f t="shared" si="47"/>
        <v>0.37821025629092686</v>
      </c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 t="s">
        <v>177</v>
      </c>
      <c r="CF145" s="84">
        <f>CI58</f>
        <v>91019</v>
      </c>
      <c r="CG145" s="84">
        <f t="shared" si="48"/>
        <v>66503</v>
      </c>
      <c r="CH145" s="84">
        <f t="shared" si="49"/>
        <v>7.9598427094321675E-2</v>
      </c>
      <c r="CT145" s="84"/>
      <c r="CU145" s="84" t="s">
        <v>177</v>
      </c>
      <c r="CV145" s="84">
        <f>CY58</f>
        <v>500191</v>
      </c>
      <c r="CW145" s="84">
        <f t="shared" si="50"/>
        <v>476149</v>
      </c>
      <c r="CX145" s="84">
        <f t="shared" si="51"/>
        <v>0.58425065999051495</v>
      </c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 t="s">
        <v>177</v>
      </c>
      <c r="DL145" s="84">
        <f>DO58</f>
        <v>68742</v>
      </c>
      <c r="DM145" s="84">
        <f t="shared" si="52"/>
        <v>44612</v>
      </c>
      <c r="DN145" s="84">
        <f t="shared" si="53"/>
        <v>5.5319024935845333E-2</v>
      </c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</row>
    <row r="146" spans="1:128" x14ac:dyDescent="0.2">
      <c r="A146" s="84"/>
      <c r="B146" s="84"/>
      <c r="C146" s="84" t="s">
        <v>178</v>
      </c>
      <c r="D146" s="84">
        <f>H58</f>
        <v>36305</v>
      </c>
      <c r="E146" s="84">
        <f t="shared" si="38"/>
        <v>17197.5</v>
      </c>
      <c r="F146" s="84">
        <f t="shared" si="39"/>
        <v>2.1902486229887698E-2</v>
      </c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 t="s">
        <v>178</v>
      </c>
      <c r="T146" s="84">
        <f>X58</f>
        <v>38834</v>
      </c>
      <c r="U146" s="84">
        <f t="shared" si="40"/>
        <v>19978</v>
      </c>
      <c r="V146" s="84">
        <f t="shared" si="41"/>
        <v>2.550386777171796E-2</v>
      </c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 t="s">
        <v>178</v>
      </c>
      <c r="AJ146" s="84">
        <f>AN58</f>
        <v>79612</v>
      </c>
      <c r="AK146" s="84">
        <f t="shared" si="42"/>
        <v>57054</v>
      </c>
      <c r="AL146" s="84">
        <f t="shared" si="43"/>
        <v>6.9038593558785777E-2</v>
      </c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 t="s">
        <v>178</v>
      </c>
      <c r="AZ146" s="84">
        <f>BD58</f>
        <v>84928</v>
      </c>
      <c r="BA146" s="84">
        <f t="shared" si="44"/>
        <v>62082</v>
      </c>
      <c r="BB146" s="84">
        <f t="shared" si="45"/>
        <v>7.5363589075302287E-2</v>
      </c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 t="s">
        <v>178</v>
      </c>
      <c r="BP146" s="84">
        <f>BT58</f>
        <v>354722</v>
      </c>
      <c r="BQ146" s="84">
        <f t="shared" si="46"/>
        <v>330891</v>
      </c>
      <c r="BR146" s="84">
        <f t="shared" si="47"/>
        <v>0.39825472466438094</v>
      </c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 t="s">
        <v>178</v>
      </c>
      <c r="CF146" s="84">
        <f>CJ58</f>
        <v>74099</v>
      </c>
      <c r="CG146" s="84">
        <f t="shared" si="48"/>
        <v>49583</v>
      </c>
      <c r="CH146" s="84">
        <f t="shared" si="49"/>
        <v>5.9346628131328683E-2</v>
      </c>
      <c r="CT146" s="84"/>
      <c r="CU146" s="84" t="s">
        <v>178</v>
      </c>
      <c r="CV146" s="84">
        <f>CZ58</f>
        <v>529747</v>
      </c>
      <c r="CW146" s="84">
        <f t="shared" si="50"/>
        <v>505705</v>
      </c>
      <c r="CX146" s="84">
        <f t="shared" si="51"/>
        <v>0.6205168550401311</v>
      </c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 t="s">
        <v>178</v>
      </c>
      <c r="DL146" s="84">
        <f>DP58</f>
        <v>64593</v>
      </c>
      <c r="DM146" s="84">
        <f t="shared" si="52"/>
        <v>40463</v>
      </c>
      <c r="DN146" s="84">
        <f t="shared" si="53"/>
        <v>5.0174251456538817E-2</v>
      </c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</row>
    <row r="147" spans="1:128" x14ac:dyDescent="0.2">
      <c r="A147" s="84"/>
      <c r="B147" s="84"/>
      <c r="C147" s="84" t="s">
        <v>179</v>
      </c>
      <c r="D147" s="84">
        <f>I58</f>
        <v>36869</v>
      </c>
      <c r="E147" s="84">
        <f t="shared" si="38"/>
        <v>17761.5</v>
      </c>
      <c r="F147" s="84">
        <f t="shared" si="39"/>
        <v>2.2620788438560857E-2</v>
      </c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 t="s">
        <v>179</v>
      </c>
      <c r="T147" s="84">
        <f>Y58</f>
        <v>39710</v>
      </c>
      <c r="U147" s="84">
        <f t="shared" si="40"/>
        <v>20854</v>
      </c>
      <c r="V147" s="84">
        <f t="shared" si="41"/>
        <v>2.6622167309610888E-2</v>
      </c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 t="s">
        <v>179</v>
      </c>
      <c r="AJ147" s="84">
        <f>AO58</f>
        <v>91174</v>
      </c>
      <c r="AK147" s="84">
        <f t="shared" si="42"/>
        <v>68616</v>
      </c>
      <c r="AL147" s="84">
        <f t="shared" si="43"/>
        <v>8.3029272892867198E-2</v>
      </c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 t="s">
        <v>179</v>
      </c>
      <c r="AZ147" s="84">
        <f>BE58</f>
        <v>90328</v>
      </c>
      <c r="BA147" s="84">
        <f t="shared" si="44"/>
        <v>67482</v>
      </c>
      <c r="BB147" s="84">
        <f t="shared" si="45"/>
        <v>8.1918844721167949E-2</v>
      </c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 t="s">
        <v>179</v>
      </c>
      <c r="BP147" s="84">
        <f>BU58</f>
        <v>373513</v>
      </c>
      <c r="BQ147" s="84">
        <f t="shared" si="46"/>
        <v>349682</v>
      </c>
      <c r="BR147" s="84">
        <f t="shared" si="47"/>
        <v>0.42087124953561766</v>
      </c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 t="s">
        <v>179</v>
      </c>
      <c r="CF147" s="84">
        <f>CK58</f>
        <v>85752</v>
      </c>
      <c r="CG147" s="84">
        <f t="shared" si="48"/>
        <v>61236</v>
      </c>
      <c r="CH147" s="84">
        <f t="shared" si="49"/>
        <v>7.3294276672449088E-2</v>
      </c>
      <c r="CT147" s="84"/>
      <c r="CU147" s="84" t="s">
        <v>179</v>
      </c>
      <c r="CV147" s="84">
        <f>DA58</f>
        <v>546172</v>
      </c>
      <c r="CW147" s="84">
        <f t="shared" si="50"/>
        <v>522130</v>
      </c>
      <c r="CX147" s="84">
        <f t="shared" si="51"/>
        <v>0.64067087634510966</v>
      </c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 t="s">
        <v>179</v>
      </c>
      <c r="DL147" s="84">
        <f>DQ58</f>
        <v>70620</v>
      </c>
      <c r="DM147" s="84">
        <f t="shared" si="52"/>
        <v>46490</v>
      </c>
      <c r="DN147" s="84">
        <f t="shared" si="53"/>
        <v>5.7647751037107717E-2</v>
      </c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</row>
    <row r="148" spans="1:128" x14ac:dyDescent="0.2">
      <c r="A148" s="84"/>
      <c r="B148" s="84"/>
      <c r="C148" s="84" t="s">
        <v>180</v>
      </c>
      <c r="D148" s="84">
        <f>J58</f>
        <v>37333</v>
      </c>
      <c r="E148" s="84">
        <f t="shared" si="38"/>
        <v>18225.5</v>
      </c>
      <c r="F148" s="84">
        <f t="shared" si="39"/>
        <v>2.321173209959693E-2</v>
      </c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 t="s">
        <v>180</v>
      </c>
      <c r="T148" s="84">
        <f>Z58</f>
        <v>39339</v>
      </c>
      <c r="U148" s="84">
        <f t="shared" si="40"/>
        <v>20483</v>
      </c>
      <c r="V148" s="84">
        <f t="shared" si="41"/>
        <v>2.6148549582946188E-2</v>
      </c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 t="s">
        <v>180</v>
      </c>
      <c r="AJ148" s="84">
        <f>AP58</f>
        <v>98817</v>
      </c>
      <c r="AK148" s="84">
        <f t="shared" si="42"/>
        <v>76259</v>
      </c>
      <c r="AL148" s="84">
        <f t="shared" si="43"/>
        <v>9.2277738742234452E-2</v>
      </c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 t="s">
        <v>180</v>
      </c>
      <c r="AZ148" s="84">
        <f>BF58</f>
        <v>81466</v>
      </c>
      <c r="BA148" s="84">
        <f t="shared" si="44"/>
        <v>58620</v>
      </c>
      <c r="BB148" s="84">
        <f t="shared" si="45"/>
        <v>7.1160941844563966E-2</v>
      </c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 t="s">
        <v>180</v>
      </c>
      <c r="BP148" s="84">
        <f>BV58</f>
        <v>369352</v>
      </c>
      <c r="BQ148" s="84">
        <f t="shared" si="46"/>
        <v>345521</v>
      </c>
      <c r="BR148" s="84">
        <f t="shared" si="47"/>
        <v>0.41586314139931752</v>
      </c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 t="s">
        <v>180</v>
      </c>
      <c r="CF148" s="84">
        <f>CL58</f>
        <v>85597</v>
      </c>
      <c r="CG148" s="84">
        <f t="shared" si="48"/>
        <v>61081</v>
      </c>
      <c r="CH148" s="84">
        <f t="shared" si="49"/>
        <v>7.3108754873438223E-2</v>
      </c>
      <c r="CT148" s="84"/>
      <c r="CU148" s="84" t="s">
        <v>180</v>
      </c>
      <c r="CV148" s="84">
        <f>DB58</f>
        <v>545417</v>
      </c>
      <c r="CW148" s="84">
        <f t="shared" si="50"/>
        <v>521375</v>
      </c>
      <c r="CX148" s="84">
        <f t="shared" si="51"/>
        <v>0.63974446623337389</v>
      </c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 t="s">
        <v>180</v>
      </c>
      <c r="DL148" s="84">
        <f>DR58</f>
        <v>87879</v>
      </c>
      <c r="DM148" s="84">
        <f t="shared" si="52"/>
        <v>63749</v>
      </c>
      <c r="DN148" s="84">
        <f t="shared" si="53"/>
        <v>7.904896710829383E-2</v>
      </c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</row>
    <row r="149" spans="1:128" x14ac:dyDescent="0.2">
      <c r="A149" s="84"/>
      <c r="B149" s="84"/>
      <c r="C149" s="84" t="s">
        <v>181</v>
      </c>
      <c r="D149" s="84">
        <f>K58</f>
        <v>38154</v>
      </c>
      <c r="E149" s="84">
        <f t="shared" si="38"/>
        <v>19046.5</v>
      </c>
      <c r="F149" s="84">
        <f t="shared" si="39"/>
        <v>2.4257345775697398E-2</v>
      </c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 t="s">
        <v>181</v>
      </c>
      <c r="T149" s="84">
        <f>AA58</f>
        <v>39784</v>
      </c>
      <c r="U149" s="84">
        <f t="shared" si="40"/>
        <v>20928</v>
      </c>
      <c r="V149" s="84">
        <f t="shared" si="41"/>
        <v>2.6716635535414628E-2</v>
      </c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 t="s">
        <v>181</v>
      </c>
      <c r="AJ149" s="84">
        <f>AQ58</f>
        <v>85795</v>
      </c>
      <c r="AK149" s="84">
        <f t="shared" si="42"/>
        <v>63237</v>
      </c>
      <c r="AL149" s="84">
        <f t="shared" si="43"/>
        <v>7.6520376150260042E-2</v>
      </c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 t="s">
        <v>181</v>
      </c>
      <c r="AZ149" s="84">
        <f>BG58</f>
        <v>92824</v>
      </c>
      <c r="BA149" s="84">
        <f t="shared" si="44"/>
        <v>69978</v>
      </c>
      <c r="BB149" s="84">
        <f t="shared" si="45"/>
        <v>8.4948829553034746E-2</v>
      </c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 t="s">
        <v>181</v>
      </c>
      <c r="BP149" s="84">
        <f>BW58</f>
        <v>335667</v>
      </c>
      <c r="BQ149" s="84">
        <f t="shared" si="46"/>
        <v>311836</v>
      </c>
      <c r="BR149" s="84">
        <f t="shared" si="47"/>
        <v>0.37532045392725066</v>
      </c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 t="s">
        <v>181</v>
      </c>
      <c r="CF149" s="84">
        <f>CM58</f>
        <v>83163</v>
      </c>
      <c r="CG149" s="84">
        <f t="shared" si="48"/>
        <v>58647</v>
      </c>
      <c r="CH149" s="84">
        <f t="shared" si="49"/>
        <v>7.0195464171551411E-2</v>
      </c>
      <c r="CT149" s="84"/>
      <c r="CU149" s="84" t="s">
        <v>181</v>
      </c>
      <c r="CV149" s="84">
        <f>DC58</f>
        <v>548799</v>
      </c>
      <c r="CW149" s="84">
        <f t="shared" si="50"/>
        <v>524757</v>
      </c>
      <c r="CX149" s="84">
        <f t="shared" si="51"/>
        <v>0.64389429272064558</v>
      </c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 t="s">
        <v>181</v>
      </c>
      <c r="DL149" s="84">
        <f>DS58</f>
        <v>76978</v>
      </c>
      <c r="DM149" s="84">
        <f t="shared" si="52"/>
        <v>52848</v>
      </c>
      <c r="DN149" s="84">
        <f t="shared" si="53"/>
        <v>6.5531691693032232E-2</v>
      </c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</row>
    <row r="150" spans="1:128" x14ac:dyDescent="0.2">
      <c r="A150" s="84"/>
      <c r="B150" s="84"/>
      <c r="C150" s="84" t="s">
        <v>182</v>
      </c>
      <c r="D150" s="84">
        <f>L58</f>
        <v>37420</v>
      </c>
      <c r="E150" s="84">
        <f t="shared" si="38"/>
        <v>18312.5</v>
      </c>
      <c r="F150" s="84">
        <f t="shared" si="39"/>
        <v>2.3322534036041193E-2</v>
      </c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 t="s">
        <v>182</v>
      </c>
      <c r="T150" s="84">
        <f>AB58</f>
        <v>37927</v>
      </c>
      <c r="U150" s="84">
        <f t="shared" si="40"/>
        <v>19071</v>
      </c>
      <c r="V150" s="84">
        <f t="shared" si="41"/>
        <v>2.434599370679914E-2</v>
      </c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 t="s">
        <v>182</v>
      </c>
      <c r="AJ150" s="84">
        <f>AR58</f>
        <v>97427</v>
      </c>
      <c r="AK150" s="84">
        <f t="shared" si="42"/>
        <v>74869</v>
      </c>
      <c r="AL150" s="84">
        <f t="shared" si="43"/>
        <v>9.0595759476158236E-2</v>
      </c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 t="s">
        <v>182</v>
      </c>
      <c r="AZ150" s="84">
        <f>BH58</f>
        <v>87934</v>
      </c>
      <c r="BA150" s="84">
        <f t="shared" si="44"/>
        <v>65088</v>
      </c>
      <c r="BB150" s="84">
        <f t="shared" si="45"/>
        <v>7.901268138483418E-2</v>
      </c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 t="s">
        <v>182</v>
      </c>
      <c r="BP150" s="84">
        <f>BX58</f>
        <v>357417</v>
      </c>
      <c r="BQ150" s="84">
        <f t="shared" si="46"/>
        <v>333586</v>
      </c>
      <c r="BR150" s="84">
        <f t="shared" si="47"/>
        <v>0.40149838037871138</v>
      </c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 t="s">
        <v>182</v>
      </c>
      <c r="CF150" s="84">
        <f>CN58</f>
        <v>80168</v>
      </c>
      <c r="CG150" s="84">
        <f t="shared" si="48"/>
        <v>55652</v>
      </c>
      <c r="CH150" s="84">
        <f t="shared" si="49"/>
        <v>6.6610704248728475E-2</v>
      </c>
      <c r="CT150" s="84"/>
      <c r="CU150" s="84" t="s">
        <v>182</v>
      </c>
      <c r="CV150" s="84">
        <f>DD58</f>
        <v>549622</v>
      </c>
      <c r="CW150" s="84">
        <f t="shared" si="50"/>
        <v>525580</v>
      </c>
      <c r="CX150" s="84">
        <f t="shared" si="51"/>
        <v>0.64490414109410055</v>
      </c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 t="s">
        <v>182</v>
      </c>
      <c r="DL150" s="84">
        <f>DT58</f>
        <v>80351</v>
      </c>
      <c r="DM150" s="84">
        <f t="shared" si="52"/>
        <v>56221</v>
      </c>
      <c r="DN150" s="84">
        <f t="shared" si="53"/>
        <v>6.9714222651263341E-2</v>
      </c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</row>
    <row r="151" spans="1:128" x14ac:dyDescent="0.2">
      <c r="A151" s="84"/>
      <c r="B151" s="84"/>
      <c r="C151" s="84" t="s">
        <v>183</v>
      </c>
      <c r="D151" s="84">
        <f>M58</f>
        <v>38463</v>
      </c>
      <c r="E151" s="84">
        <f t="shared" si="38"/>
        <v>19355.5</v>
      </c>
      <c r="F151" s="84">
        <f t="shared" si="39"/>
        <v>2.4650883687895992E-2</v>
      </c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 t="s">
        <v>183</v>
      </c>
      <c r="T151" s="84">
        <f>AC58</f>
        <v>39808</v>
      </c>
      <c r="U151" s="84">
        <f t="shared" si="40"/>
        <v>20952</v>
      </c>
      <c r="V151" s="84">
        <f t="shared" si="41"/>
        <v>2.6747273878918544E-2</v>
      </c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 t="s">
        <v>183</v>
      </c>
      <c r="AJ151" s="84">
        <f>AS58</f>
        <v>98511</v>
      </c>
      <c r="AK151" s="84">
        <f t="shared" si="42"/>
        <v>75953</v>
      </c>
      <c r="AL151" s="84">
        <f t="shared" si="43"/>
        <v>9.1907461292292492E-2</v>
      </c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 t="s">
        <v>183</v>
      </c>
      <c r="AZ151" s="84">
        <f>BI58</f>
        <v>95653</v>
      </c>
      <c r="BA151" s="84">
        <f t="shared" si="44"/>
        <v>72807</v>
      </c>
      <c r="BB151" s="84">
        <f t="shared" si="45"/>
        <v>8.8383055149729925E-2</v>
      </c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 t="s">
        <v>183</v>
      </c>
      <c r="BP151" s="84">
        <f>BY58</f>
        <v>348483</v>
      </c>
      <c r="BQ151" s="84">
        <f t="shared" si="46"/>
        <v>324652</v>
      </c>
      <c r="BR151" s="84">
        <f t="shared" si="47"/>
        <v>0.39074557141699412</v>
      </c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 t="s">
        <v>183</v>
      </c>
      <c r="CF151" s="84">
        <f>CO58</f>
        <v>103406</v>
      </c>
      <c r="CG151" s="84">
        <f t="shared" si="48"/>
        <v>78890</v>
      </c>
      <c r="CH151" s="84">
        <f t="shared" si="49"/>
        <v>9.4424611122370966E-2</v>
      </c>
      <c r="CT151" s="84"/>
      <c r="CU151" s="84" t="s">
        <v>183</v>
      </c>
      <c r="CV151" s="84">
        <f>DE58</f>
        <v>541843</v>
      </c>
      <c r="CW151" s="84">
        <f t="shared" si="50"/>
        <v>517801</v>
      </c>
      <c r="CX151" s="84">
        <f t="shared" si="51"/>
        <v>0.63535904936007148</v>
      </c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 t="s">
        <v>183</v>
      </c>
      <c r="DL151" s="84">
        <f>DU58</f>
        <v>79538</v>
      </c>
      <c r="DM151" s="84">
        <f t="shared" si="52"/>
        <v>55408</v>
      </c>
      <c r="DN151" s="84">
        <f t="shared" si="53"/>
        <v>6.8706100009982021E-2</v>
      </c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</row>
    <row r="152" spans="1:128" x14ac:dyDescent="0.2">
      <c r="A152" s="84"/>
      <c r="B152" s="84"/>
      <c r="C152" s="84" t="s">
        <v>184</v>
      </c>
      <c r="D152" s="84">
        <f>N58</f>
        <v>39594</v>
      </c>
      <c r="E152" s="84">
        <f t="shared" si="38"/>
        <v>20486.5</v>
      </c>
      <c r="F152" s="84">
        <f t="shared" si="39"/>
        <v>2.6091308861671422E-2</v>
      </c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 t="s">
        <v>184</v>
      </c>
      <c r="T152" s="84">
        <f>AD58</f>
        <v>41293</v>
      </c>
      <c r="U152" s="84">
        <f t="shared" si="40"/>
        <v>22437</v>
      </c>
      <c r="V152" s="84">
        <f t="shared" si="41"/>
        <v>2.864302138322334E-2</v>
      </c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 t="s">
        <v>184</v>
      </c>
      <c r="AJ152" s="84">
        <f>AT58</f>
        <v>97465</v>
      </c>
      <c r="AK152" s="84">
        <f t="shared" si="42"/>
        <v>74907</v>
      </c>
      <c r="AL152" s="84">
        <f t="shared" si="43"/>
        <v>9.0641741643144494E-2</v>
      </c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 t="s">
        <v>184</v>
      </c>
      <c r="AZ152" s="84">
        <f>BJ58</f>
        <v>93348</v>
      </c>
      <c r="BA152" s="84">
        <f t="shared" si="44"/>
        <v>70502</v>
      </c>
      <c r="BB152" s="84">
        <f t="shared" si="45"/>
        <v>8.5584932137929864E-2</v>
      </c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 t="s">
        <v>184</v>
      </c>
      <c r="BP152" s="84">
        <f>BZ58</f>
        <v>368955</v>
      </c>
      <c r="BQ152" s="84">
        <f t="shared" si="46"/>
        <v>345124</v>
      </c>
      <c r="BR152" s="84">
        <f t="shared" si="47"/>
        <v>0.41538531901765174</v>
      </c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 t="s">
        <v>184</v>
      </c>
      <c r="CF152" s="84">
        <f>CP58</f>
        <v>92537</v>
      </c>
      <c r="CG152" s="84">
        <f t="shared" si="48"/>
        <v>68021</v>
      </c>
      <c r="CH152" s="84">
        <f t="shared" si="49"/>
        <v>8.141534380979587E-2</v>
      </c>
      <c r="CT152" s="84"/>
      <c r="CU152" s="84" t="s">
        <v>184</v>
      </c>
      <c r="CV152" s="84">
        <f>DF58</f>
        <v>554496</v>
      </c>
      <c r="CW152" s="84">
        <f t="shared" si="50"/>
        <v>530454</v>
      </c>
      <c r="CX152" s="84">
        <f t="shared" si="51"/>
        <v>0.65088470120615316</v>
      </c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 t="s">
        <v>184</v>
      </c>
      <c r="DL152" s="84">
        <f>DV58</f>
        <v>75487</v>
      </c>
      <c r="DM152" s="84">
        <f t="shared" si="52"/>
        <v>51357</v>
      </c>
      <c r="DN152" s="84">
        <f t="shared" si="53"/>
        <v>6.3682846849058741E-2</v>
      </c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</row>
    <row r="153" spans="1:128" x14ac:dyDescent="0.2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</row>
    <row r="154" spans="1:128" x14ac:dyDescent="0.2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</row>
    <row r="155" spans="1:128" x14ac:dyDescent="0.2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</row>
    <row r="156" spans="1:128" x14ac:dyDescent="0.2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</row>
    <row r="157" spans="1:128" x14ac:dyDescent="0.2">
      <c r="A157" s="84" t="s">
        <v>189</v>
      </c>
      <c r="B157" s="84" t="s">
        <v>188</v>
      </c>
      <c r="C157" s="84" t="s">
        <v>124</v>
      </c>
      <c r="D157" s="84" t="s">
        <v>191</v>
      </c>
      <c r="E157" s="84" t="s">
        <v>192</v>
      </c>
      <c r="F157" s="84" t="s">
        <v>193</v>
      </c>
      <c r="G157" s="84" t="s">
        <v>194</v>
      </c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</row>
    <row r="158" spans="1:128" x14ac:dyDescent="0.2">
      <c r="A158" s="84">
        <v>1</v>
      </c>
      <c r="B158" s="84" t="s">
        <v>190</v>
      </c>
      <c r="C158" s="84" t="s">
        <v>125</v>
      </c>
      <c r="D158" s="84">
        <f>F93/$F93</f>
        <v>1</v>
      </c>
      <c r="E158" s="84">
        <f t="shared" ref="E158:E189" si="54">ROUND(AL93/$F93,3)</f>
        <v>24.198</v>
      </c>
      <c r="F158" s="84">
        <f t="shared" ref="F158:F189" si="55">ROUND(BR93/$F93,3)</f>
        <v>-4.0670000000000002</v>
      </c>
      <c r="G158" s="84">
        <f>ROUND(CX93/$F93,3)</f>
        <v>-22.853999999999999</v>
      </c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</row>
    <row r="159" spans="1:128" x14ac:dyDescent="0.2">
      <c r="A159" s="84">
        <v>1</v>
      </c>
      <c r="B159" s="84" t="s">
        <v>64</v>
      </c>
      <c r="C159" s="84" t="s">
        <v>126</v>
      </c>
      <c r="D159" s="84">
        <f t="shared" ref="D159:D217" si="56">F94/$F94</f>
        <v>1</v>
      </c>
      <c r="E159" s="84">
        <f t="shared" si="54"/>
        <v>0.999</v>
      </c>
      <c r="F159" s="84">
        <f t="shared" si="55"/>
        <v>0.995</v>
      </c>
      <c r="G159" s="84">
        <f t="shared" ref="G159:G217" si="57">ROUND(CX94/$F94,3)</f>
        <v>1.0029999999999999</v>
      </c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</row>
    <row r="160" spans="1:128" x14ac:dyDescent="0.2">
      <c r="A160" s="84">
        <v>1</v>
      </c>
      <c r="B160" s="84">
        <v>0</v>
      </c>
      <c r="C160" s="84" t="s">
        <v>127</v>
      </c>
      <c r="D160" s="84">
        <f t="shared" si="56"/>
        <v>1</v>
      </c>
      <c r="E160" s="84">
        <f t="shared" si="54"/>
        <v>3.4009999999999998</v>
      </c>
      <c r="F160" s="84">
        <f t="shared" si="55"/>
        <v>16.821999999999999</v>
      </c>
      <c r="G160" s="84">
        <f t="shared" si="57"/>
        <v>28.152999999999999</v>
      </c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</row>
    <row r="161" spans="1:86" x14ac:dyDescent="0.2">
      <c r="A161" s="84">
        <v>1</v>
      </c>
      <c r="B161" s="84">
        <v>0</v>
      </c>
      <c r="C161" s="84" t="s">
        <v>128</v>
      </c>
      <c r="D161" s="84">
        <f t="shared" si="56"/>
        <v>1</v>
      </c>
      <c r="E161" s="84">
        <f t="shared" si="54"/>
        <v>3.794</v>
      </c>
      <c r="F161" s="84">
        <f t="shared" si="55"/>
        <v>20.88</v>
      </c>
      <c r="G161" s="84">
        <f t="shared" si="57"/>
        <v>32.453000000000003</v>
      </c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</row>
    <row r="162" spans="1:86" x14ac:dyDescent="0.2">
      <c r="A162" s="84">
        <v>1</v>
      </c>
      <c r="B162" s="84">
        <v>0</v>
      </c>
      <c r="C162" s="84" t="s">
        <v>129</v>
      </c>
      <c r="D162" s="84">
        <f t="shared" si="56"/>
        <v>1</v>
      </c>
      <c r="E162" s="84">
        <f t="shared" si="54"/>
        <v>3.5939999999999999</v>
      </c>
      <c r="F162" s="84">
        <f t="shared" si="55"/>
        <v>21.712</v>
      </c>
      <c r="G162" s="84">
        <f t="shared" si="57"/>
        <v>34.850999999999999</v>
      </c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</row>
    <row r="163" spans="1:86" x14ac:dyDescent="0.2">
      <c r="A163" s="84">
        <v>1</v>
      </c>
      <c r="B163" s="84">
        <v>0</v>
      </c>
      <c r="C163" s="84" t="s">
        <v>130</v>
      </c>
      <c r="D163" s="84">
        <f t="shared" si="56"/>
        <v>1</v>
      </c>
      <c r="E163" s="84">
        <f t="shared" si="54"/>
        <v>4.0410000000000004</v>
      </c>
      <c r="F163" s="84">
        <f t="shared" si="55"/>
        <v>20.776</v>
      </c>
      <c r="G163" s="84">
        <f t="shared" si="57"/>
        <v>35.264000000000003</v>
      </c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</row>
    <row r="164" spans="1:86" x14ac:dyDescent="0.2">
      <c r="A164" s="84">
        <v>1</v>
      </c>
      <c r="B164" s="84">
        <v>0</v>
      </c>
      <c r="C164" s="84" t="s">
        <v>131</v>
      </c>
      <c r="D164" s="84">
        <f t="shared" si="56"/>
        <v>1</v>
      </c>
      <c r="E164" s="84">
        <f t="shared" si="54"/>
        <v>4.6559999999999997</v>
      </c>
      <c r="F164" s="84">
        <f t="shared" si="55"/>
        <v>27.63</v>
      </c>
      <c r="G164" s="84">
        <f t="shared" si="57"/>
        <v>30.454000000000001</v>
      </c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</row>
    <row r="165" spans="1:86" x14ac:dyDescent="0.2">
      <c r="A165" s="84">
        <v>1</v>
      </c>
      <c r="B165" s="84">
        <v>0</v>
      </c>
      <c r="C165" s="84" t="s">
        <v>132</v>
      </c>
      <c r="D165" s="84">
        <f t="shared" si="56"/>
        <v>1</v>
      </c>
      <c r="E165" s="84">
        <f t="shared" si="54"/>
        <v>3.8359999999999999</v>
      </c>
      <c r="F165" s="84">
        <f t="shared" si="55"/>
        <v>27.867999999999999</v>
      </c>
      <c r="G165" s="84">
        <f t="shared" si="57"/>
        <v>33.267000000000003</v>
      </c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</row>
    <row r="166" spans="1:86" x14ac:dyDescent="0.2">
      <c r="A166" s="84">
        <v>1</v>
      </c>
      <c r="B166" s="84">
        <v>0</v>
      </c>
      <c r="C166" s="84" t="s">
        <v>133</v>
      </c>
      <c r="D166" s="84">
        <f t="shared" si="56"/>
        <v>1</v>
      </c>
      <c r="E166" s="84">
        <f t="shared" si="54"/>
        <v>4.0519999999999996</v>
      </c>
      <c r="F166" s="84">
        <f t="shared" si="55"/>
        <v>26.657</v>
      </c>
      <c r="G166" s="84">
        <f t="shared" si="57"/>
        <v>32.771000000000001</v>
      </c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</row>
    <row r="167" spans="1:86" x14ac:dyDescent="0.2">
      <c r="A167" s="84">
        <v>1</v>
      </c>
      <c r="B167" s="84">
        <v>0</v>
      </c>
      <c r="C167" s="84" t="s">
        <v>134</v>
      </c>
      <c r="D167" s="84">
        <f t="shared" si="56"/>
        <v>1</v>
      </c>
      <c r="E167" s="84">
        <f t="shared" si="54"/>
        <v>3.7490000000000001</v>
      </c>
      <c r="F167" s="84">
        <f t="shared" si="55"/>
        <v>22.131</v>
      </c>
      <c r="G167" s="84">
        <f t="shared" si="57"/>
        <v>30.969000000000001</v>
      </c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</row>
    <row r="168" spans="1:86" x14ac:dyDescent="0.2">
      <c r="A168" s="84">
        <v>1</v>
      </c>
      <c r="B168" s="84" t="s">
        <v>190</v>
      </c>
      <c r="C168" s="84" t="s">
        <v>135</v>
      </c>
      <c r="D168" s="84">
        <f t="shared" si="56"/>
        <v>1</v>
      </c>
      <c r="E168" s="84">
        <f t="shared" si="54"/>
        <v>0.77500000000000002</v>
      </c>
      <c r="F168" s="84">
        <f t="shared" si="55"/>
        <v>5.4640000000000004</v>
      </c>
      <c r="G168" s="84">
        <f t="shared" si="57"/>
        <v>5.4489999999999998</v>
      </c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</row>
    <row r="169" spans="1:86" x14ac:dyDescent="0.2">
      <c r="A169" s="84">
        <v>1</v>
      </c>
      <c r="B169" s="84" t="s">
        <v>64</v>
      </c>
      <c r="C169" s="84" t="s">
        <v>136</v>
      </c>
      <c r="D169" s="84">
        <f t="shared" si="56"/>
        <v>1</v>
      </c>
      <c r="E169" s="84">
        <f t="shared" si="54"/>
        <v>1.006</v>
      </c>
      <c r="F169" s="84">
        <f t="shared" si="55"/>
        <v>1.012</v>
      </c>
      <c r="G169" s="84">
        <f t="shared" si="57"/>
        <v>1.0029999999999999</v>
      </c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</row>
    <row r="170" spans="1:86" x14ac:dyDescent="0.2">
      <c r="A170" s="84">
        <v>1</v>
      </c>
      <c r="B170" s="84" t="s">
        <v>78</v>
      </c>
      <c r="C170" s="84" t="s">
        <v>137</v>
      </c>
      <c r="D170" s="84">
        <f t="shared" si="56"/>
        <v>1</v>
      </c>
      <c r="E170" s="84">
        <f t="shared" si="54"/>
        <v>3.226</v>
      </c>
      <c r="F170" s="84">
        <f t="shared" si="55"/>
        <v>21.879000000000001</v>
      </c>
      <c r="G170" s="84">
        <f t="shared" si="57"/>
        <v>30.061</v>
      </c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</row>
    <row r="171" spans="1:86" x14ac:dyDescent="0.2">
      <c r="A171" s="84">
        <v>1</v>
      </c>
      <c r="B171" s="84" t="s">
        <v>78</v>
      </c>
      <c r="C171" s="84" t="s">
        <v>138</v>
      </c>
      <c r="D171" s="84">
        <f t="shared" si="56"/>
        <v>1</v>
      </c>
      <c r="E171" s="84">
        <f t="shared" si="54"/>
        <v>3.6240000000000001</v>
      </c>
      <c r="F171" s="84">
        <f t="shared" si="55"/>
        <v>19.498999999999999</v>
      </c>
      <c r="G171" s="84">
        <f t="shared" si="57"/>
        <v>28.786999999999999</v>
      </c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</row>
    <row r="172" spans="1:86" x14ac:dyDescent="0.2">
      <c r="A172" s="84">
        <v>1</v>
      </c>
      <c r="B172" s="84" t="s">
        <v>78</v>
      </c>
      <c r="C172" s="84" t="s">
        <v>139</v>
      </c>
      <c r="D172" s="84">
        <f t="shared" si="56"/>
        <v>1</v>
      </c>
      <c r="E172" s="84">
        <f t="shared" si="54"/>
        <v>3.1080000000000001</v>
      </c>
      <c r="F172" s="84">
        <f t="shared" si="55"/>
        <v>17.312999999999999</v>
      </c>
      <c r="G172" s="84">
        <f t="shared" si="57"/>
        <v>25.111000000000001</v>
      </c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</row>
    <row r="173" spans="1:86" x14ac:dyDescent="0.2">
      <c r="A173" s="84">
        <v>1</v>
      </c>
      <c r="B173" s="84" t="s">
        <v>78</v>
      </c>
      <c r="C173" s="84" t="s">
        <v>140</v>
      </c>
      <c r="D173" s="84">
        <f t="shared" si="56"/>
        <v>1</v>
      </c>
      <c r="E173" s="84">
        <f t="shared" si="54"/>
        <v>3.4060000000000001</v>
      </c>
      <c r="F173" s="84">
        <f t="shared" si="55"/>
        <v>18.228000000000002</v>
      </c>
      <c r="G173" s="84">
        <f t="shared" si="57"/>
        <v>24.507999999999999</v>
      </c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</row>
    <row r="174" spans="1:86" x14ac:dyDescent="0.2">
      <c r="A174" s="84">
        <v>1</v>
      </c>
      <c r="B174" s="84" t="s">
        <v>78</v>
      </c>
      <c r="C174" s="84" t="s">
        <v>141</v>
      </c>
      <c r="D174" s="84">
        <f t="shared" si="56"/>
        <v>1</v>
      </c>
      <c r="E174" s="84">
        <f t="shared" si="54"/>
        <v>2.794</v>
      </c>
      <c r="F174" s="84">
        <f t="shared" si="55"/>
        <v>20.49</v>
      </c>
      <c r="G174" s="84">
        <f t="shared" si="57"/>
        <v>25.378</v>
      </c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</row>
    <row r="175" spans="1:86" x14ac:dyDescent="0.2">
      <c r="A175" s="84">
        <v>1</v>
      </c>
      <c r="B175" s="84" t="s">
        <v>78</v>
      </c>
      <c r="C175" s="84" t="s">
        <v>142</v>
      </c>
      <c r="D175" s="84">
        <f t="shared" si="56"/>
        <v>1</v>
      </c>
      <c r="E175" s="84">
        <f t="shared" si="54"/>
        <v>3.2280000000000002</v>
      </c>
      <c r="F175" s="84">
        <f t="shared" si="55"/>
        <v>21.675999999999998</v>
      </c>
      <c r="G175" s="84">
        <f t="shared" si="57"/>
        <v>26.033000000000001</v>
      </c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</row>
    <row r="176" spans="1:86" x14ac:dyDescent="0.2">
      <c r="A176" s="84">
        <v>1</v>
      </c>
      <c r="B176" s="84" t="s">
        <v>78</v>
      </c>
      <c r="C176" s="84" t="s">
        <v>143</v>
      </c>
      <c r="D176" s="84">
        <f t="shared" si="56"/>
        <v>1</v>
      </c>
      <c r="E176" s="84">
        <f t="shared" si="54"/>
        <v>3.9489999999999998</v>
      </c>
      <c r="F176" s="84">
        <f t="shared" si="55"/>
        <v>26.597000000000001</v>
      </c>
      <c r="G176" s="84">
        <f t="shared" si="57"/>
        <v>28.853000000000002</v>
      </c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</row>
    <row r="177" spans="1:86" x14ac:dyDescent="0.2">
      <c r="A177" s="84">
        <v>1</v>
      </c>
      <c r="B177" s="84" t="s">
        <v>78</v>
      </c>
      <c r="C177" s="84" t="s">
        <v>144</v>
      </c>
      <c r="D177" s="84">
        <f t="shared" si="56"/>
        <v>1</v>
      </c>
      <c r="E177" s="84">
        <f t="shared" si="54"/>
        <v>4.0830000000000002</v>
      </c>
      <c r="F177" s="84">
        <f t="shared" si="55"/>
        <v>24.988</v>
      </c>
      <c r="G177" s="84">
        <f t="shared" si="57"/>
        <v>29.04</v>
      </c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</row>
    <row r="178" spans="1:86" x14ac:dyDescent="0.2">
      <c r="A178" s="84">
        <v>1</v>
      </c>
      <c r="B178" s="84" t="s">
        <v>190</v>
      </c>
      <c r="C178" s="84" t="s">
        <v>145</v>
      </c>
      <c r="D178" s="84">
        <f t="shared" si="56"/>
        <v>1</v>
      </c>
      <c r="E178" s="84">
        <f t="shared" si="54"/>
        <v>3.1970000000000001</v>
      </c>
      <c r="F178" s="84">
        <f t="shared" si="55"/>
        <v>1.0860000000000001</v>
      </c>
      <c r="G178" s="84">
        <f t="shared" si="57"/>
        <v>-1.014</v>
      </c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</row>
    <row r="179" spans="1:86" x14ac:dyDescent="0.2">
      <c r="A179" s="84">
        <v>1</v>
      </c>
      <c r="B179" s="84" t="s">
        <v>64</v>
      </c>
      <c r="C179" s="84" t="s">
        <v>146</v>
      </c>
      <c r="D179" s="84">
        <f t="shared" si="56"/>
        <v>1</v>
      </c>
      <c r="E179" s="84">
        <f t="shared" si="54"/>
        <v>0.995</v>
      </c>
      <c r="F179" s="84">
        <f t="shared" si="55"/>
        <v>0.98599999999999999</v>
      </c>
      <c r="G179" s="84">
        <f t="shared" si="57"/>
        <v>0.99199999999999999</v>
      </c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</row>
    <row r="180" spans="1:86" x14ac:dyDescent="0.2">
      <c r="A180" s="84">
        <v>1</v>
      </c>
      <c r="B180" s="84" t="s">
        <v>79</v>
      </c>
      <c r="C180" s="84" t="s">
        <v>147</v>
      </c>
      <c r="D180" s="84">
        <f t="shared" si="56"/>
        <v>1</v>
      </c>
      <c r="E180" s="84">
        <f t="shared" si="54"/>
        <v>3.4380000000000002</v>
      </c>
      <c r="F180" s="84">
        <f t="shared" si="55"/>
        <v>22.742999999999999</v>
      </c>
      <c r="G180" s="84">
        <f t="shared" si="57"/>
        <v>25.225000000000001</v>
      </c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</row>
    <row r="181" spans="1:86" x14ac:dyDescent="0.2">
      <c r="A181" s="84">
        <v>1</v>
      </c>
      <c r="B181" s="84" t="s">
        <v>79</v>
      </c>
      <c r="C181" s="84" t="s">
        <v>148</v>
      </c>
      <c r="D181" s="84">
        <f t="shared" si="56"/>
        <v>1</v>
      </c>
      <c r="E181" s="84">
        <f t="shared" si="54"/>
        <v>2.7909999999999999</v>
      </c>
      <c r="F181" s="84">
        <f t="shared" si="55"/>
        <v>17.062000000000001</v>
      </c>
      <c r="G181" s="84">
        <f t="shared" si="57"/>
        <v>26.831</v>
      </c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</row>
    <row r="182" spans="1:86" x14ac:dyDescent="0.2">
      <c r="A182" s="84">
        <v>1</v>
      </c>
      <c r="B182" s="84" t="s">
        <v>79</v>
      </c>
      <c r="C182" s="84" t="s">
        <v>149</v>
      </c>
      <c r="D182" s="84">
        <f t="shared" si="56"/>
        <v>1</v>
      </c>
      <c r="E182" s="84">
        <f t="shared" si="54"/>
        <v>3.4359999999999999</v>
      </c>
      <c r="F182" s="84">
        <f t="shared" si="55"/>
        <v>16.771999999999998</v>
      </c>
      <c r="G182" s="84">
        <f t="shared" si="57"/>
        <v>25.710999999999999</v>
      </c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</row>
    <row r="183" spans="1:86" x14ac:dyDescent="0.2">
      <c r="A183" s="84">
        <v>1</v>
      </c>
      <c r="B183" s="84" t="s">
        <v>79</v>
      </c>
      <c r="C183" s="84" t="s">
        <v>150</v>
      </c>
      <c r="D183" s="84">
        <f t="shared" si="56"/>
        <v>1</v>
      </c>
      <c r="E183" s="84">
        <f t="shared" si="54"/>
        <v>3.496</v>
      </c>
      <c r="F183" s="84">
        <f t="shared" si="55"/>
        <v>16.035</v>
      </c>
      <c r="G183" s="84">
        <f t="shared" si="57"/>
        <v>23.042999999999999</v>
      </c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</row>
    <row r="184" spans="1:86" x14ac:dyDescent="0.2">
      <c r="A184" s="84">
        <v>1</v>
      </c>
      <c r="B184" s="84" t="s">
        <v>79</v>
      </c>
      <c r="C184" s="84" t="s">
        <v>151</v>
      </c>
      <c r="D184" s="84">
        <f t="shared" si="56"/>
        <v>1</v>
      </c>
      <c r="E184" s="84">
        <f t="shared" si="54"/>
        <v>4.16</v>
      </c>
      <c r="F184" s="84">
        <f t="shared" si="55"/>
        <v>22.082000000000001</v>
      </c>
      <c r="G184" s="84">
        <f t="shared" si="57"/>
        <v>25.940999999999999</v>
      </c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</row>
    <row r="185" spans="1:86" x14ac:dyDescent="0.2">
      <c r="A185" s="84">
        <v>1</v>
      </c>
      <c r="B185" s="84" t="s">
        <v>79</v>
      </c>
      <c r="C185" s="84" t="s">
        <v>152</v>
      </c>
      <c r="D185" s="84">
        <f t="shared" si="56"/>
        <v>1</v>
      </c>
      <c r="E185" s="84">
        <f t="shared" si="54"/>
        <v>4.4180000000000001</v>
      </c>
      <c r="F185" s="84">
        <f t="shared" si="55"/>
        <v>18.111000000000001</v>
      </c>
      <c r="G185" s="84">
        <f t="shared" si="57"/>
        <v>24.721</v>
      </c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</row>
    <row r="186" spans="1:86" x14ac:dyDescent="0.2">
      <c r="A186" s="84">
        <v>1</v>
      </c>
      <c r="B186" s="84" t="s">
        <v>79</v>
      </c>
      <c r="C186" s="84" t="s">
        <v>153</v>
      </c>
      <c r="D186" s="84">
        <f t="shared" si="56"/>
        <v>1</v>
      </c>
      <c r="E186" s="84">
        <f t="shared" si="54"/>
        <v>4.1500000000000004</v>
      </c>
      <c r="F186" s="84">
        <f t="shared" si="55"/>
        <v>19.616</v>
      </c>
      <c r="G186" s="84">
        <f t="shared" si="57"/>
        <v>24.952999999999999</v>
      </c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</row>
    <row r="187" spans="1:86" x14ac:dyDescent="0.2">
      <c r="A187" s="84">
        <v>1</v>
      </c>
      <c r="B187" s="84" t="s">
        <v>79</v>
      </c>
      <c r="C187" s="84" t="s">
        <v>154</v>
      </c>
      <c r="D187" s="84">
        <f t="shared" si="56"/>
        <v>1</v>
      </c>
      <c r="E187" s="84">
        <f t="shared" si="54"/>
        <v>4.1210000000000004</v>
      </c>
      <c r="F187" s="84">
        <f t="shared" si="55"/>
        <v>21.974</v>
      </c>
      <c r="G187" s="84">
        <f t="shared" si="57"/>
        <v>29.643999999999998</v>
      </c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</row>
    <row r="188" spans="1:86" x14ac:dyDescent="0.2">
      <c r="A188" s="84">
        <v>1</v>
      </c>
      <c r="B188" s="84" t="s">
        <v>190</v>
      </c>
      <c r="C188" s="84" t="s">
        <v>155</v>
      </c>
      <c r="D188" s="84">
        <f t="shared" si="56"/>
        <v>1</v>
      </c>
      <c r="E188" s="84">
        <f t="shared" si="54"/>
        <v>-6.4329999999999998</v>
      </c>
      <c r="F188" s="84">
        <f t="shared" si="55"/>
        <v>-5.0549999999999997</v>
      </c>
      <c r="G188" s="84">
        <f t="shared" si="57"/>
        <v>-4.5999999999999999E-2</v>
      </c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</row>
    <row r="189" spans="1:86" x14ac:dyDescent="0.2">
      <c r="A189" s="84">
        <v>1</v>
      </c>
      <c r="B189" s="84" t="s">
        <v>64</v>
      </c>
      <c r="C189" s="84" t="s">
        <v>156</v>
      </c>
      <c r="D189" s="84">
        <f t="shared" si="56"/>
        <v>1</v>
      </c>
      <c r="E189" s="84">
        <f t="shared" si="54"/>
        <v>0.998</v>
      </c>
      <c r="F189" s="84">
        <f t="shared" si="55"/>
        <v>0.99299999999999999</v>
      </c>
      <c r="G189" s="84">
        <f t="shared" si="57"/>
        <v>0.997</v>
      </c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</row>
    <row r="190" spans="1:86" x14ac:dyDescent="0.2">
      <c r="A190" s="84">
        <v>1</v>
      </c>
      <c r="B190" s="84" t="s">
        <v>80</v>
      </c>
      <c r="C190" s="84" t="s">
        <v>157</v>
      </c>
      <c r="D190" s="84">
        <f t="shared" si="56"/>
        <v>1</v>
      </c>
      <c r="E190" s="84">
        <f t="shared" ref="E190:E217" si="58">ROUND(AL125/$F125,3)</f>
        <v>4.2329999999999997</v>
      </c>
      <c r="F190" s="84">
        <f t="shared" ref="F190:F217" si="59">ROUND(BR125/$F125,3)</f>
        <v>20.347999999999999</v>
      </c>
      <c r="G190" s="84">
        <f t="shared" si="57"/>
        <v>27.701000000000001</v>
      </c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</row>
    <row r="191" spans="1:86" x14ac:dyDescent="0.2">
      <c r="A191" s="84">
        <v>1</v>
      </c>
      <c r="B191" s="84" t="s">
        <v>80</v>
      </c>
      <c r="C191" s="84" t="s">
        <v>158</v>
      </c>
      <c r="D191" s="84">
        <f t="shared" si="56"/>
        <v>1</v>
      </c>
      <c r="E191" s="84">
        <f t="shared" si="58"/>
        <v>3.883</v>
      </c>
      <c r="F191" s="84">
        <f t="shared" si="59"/>
        <v>18.603000000000002</v>
      </c>
      <c r="G191" s="84">
        <f t="shared" si="57"/>
        <v>25.934000000000001</v>
      </c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</row>
    <row r="192" spans="1:86" x14ac:dyDescent="0.2">
      <c r="A192" s="84">
        <v>1</v>
      </c>
      <c r="B192" s="84" t="s">
        <v>80</v>
      </c>
      <c r="C192" s="84" t="s">
        <v>159</v>
      </c>
      <c r="D192" s="84">
        <f t="shared" si="56"/>
        <v>1</v>
      </c>
      <c r="E192" s="84">
        <f t="shared" si="58"/>
        <v>2.879</v>
      </c>
      <c r="F192" s="84">
        <f t="shared" si="59"/>
        <v>14.824999999999999</v>
      </c>
      <c r="G192" s="84">
        <f t="shared" si="57"/>
        <v>22.611000000000001</v>
      </c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</row>
    <row r="193" spans="1:86" x14ac:dyDescent="0.2">
      <c r="A193" s="84">
        <v>1</v>
      </c>
      <c r="B193" s="84" t="s">
        <v>80</v>
      </c>
      <c r="C193" s="84" t="s">
        <v>160</v>
      </c>
      <c r="D193" s="84">
        <f t="shared" si="56"/>
        <v>1</v>
      </c>
      <c r="E193" s="84">
        <f t="shared" si="58"/>
        <v>3.0219999999999998</v>
      </c>
      <c r="F193" s="84">
        <f t="shared" si="59"/>
        <v>13.949</v>
      </c>
      <c r="G193" s="84">
        <f t="shared" si="57"/>
        <v>21.548999999999999</v>
      </c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</row>
    <row r="194" spans="1:86" x14ac:dyDescent="0.2">
      <c r="A194" s="84">
        <v>1</v>
      </c>
      <c r="B194" s="84" t="s">
        <v>80</v>
      </c>
      <c r="C194" s="84" t="s">
        <v>161</v>
      </c>
      <c r="D194" s="84">
        <f t="shared" si="56"/>
        <v>1</v>
      </c>
      <c r="E194" s="84">
        <f t="shared" si="58"/>
        <v>3.1139999999999999</v>
      </c>
      <c r="F194" s="84">
        <f t="shared" si="59"/>
        <v>17.140999999999998</v>
      </c>
      <c r="G194" s="84">
        <f t="shared" si="57"/>
        <v>23.419</v>
      </c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</row>
    <row r="195" spans="1:86" x14ac:dyDescent="0.2">
      <c r="A195" s="84">
        <v>1</v>
      </c>
      <c r="B195" s="84" t="s">
        <v>80</v>
      </c>
      <c r="C195" s="84" t="s">
        <v>162</v>
      </c>
      <c r="D195" s="84">
        <f t="shared" si="56"/>
        <v>1</v>
      </c>
      <c r="E195" s="84">
        <f t="shared" si="58"/>
        <v>3.1680000000000001</v>
      </c>
      <c r="F195" s="84">
        <f t="shared" si="59"/>
        <v>17.018000000000001</v>
      </c>
      <c r="G195" s="84">
        <f t="shared" si="57"/>
        <v>22.242000000000001</v>
      </c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</row>
    <row r="196" spans="1:86" x14ac:dyDescent="0.2">
      <c r="A196" s="84">
        <v>1</v>
      </c>
      <c r="B196" s="84" t="s">
        <v>80</v>
      </c>
      <c r="C196" s="84" t="s">
        <v>163</v>
      </c>
      <c r="D196" s="84">
        <f t="shared" si="56"/>
        <v>1</v>
      </c>
      <c r="E196" s="84">
        <f t="shared" si="58"/>
        <v>3.3660000000000001</v>
      </c>
      <c r="F196" s="84">
        <f t="shared" si="59"/>
        <v>18.504999999999999</v>
      </c>
      <c r="G196" s="84">
        <f t="shared" si="57"/>
        <v>23.936</v>
      </c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</row>
    <row r="197" spans="1:86" x14ac:dyDescent="0.2">
      <c r="A197" s="84">
        <v>1</v>
      </c>
      <c r="B197" s="84" t="s">
        <v>80</v>
      </c>
      <c r="C197" s="84" t="s">
        <v>164</v>
      </c>
      <c r="D197" s="84">
        <f t="shared" si="56"/>
        <v>1</v>
      </c>
      <c r="E197" s="84">
        <f t="shared" si="58"/>
        <v>3.6360000000000001</v>
      </c>
      <c r="F197" s="84">
        <f t="shared" si="59"/>
        <v>23.033000000000001</v>
      </c>
      <c r="G197" s="84">
        <f t="shared" si="57"/>
        <v>25.655999999999999</v>
      </c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</row>
    <row r="198" spans="1:86" x14ac:dyDescent="0.2">
      <c r="A198" s="84">
        <v>1</v>
      </c>
      <c r="B198" s="84" t="s">
        <v>190</v>
      </c>
      <c r="C198" s="84" t="s">
        <v>165</v>
      </c>
      <c r="D198" s="84">
        <f t="shared" si="56"/>
        <v>1</v>
      </c>
      <c r="E198" s="84">
        <f t="shared" si="58"/>
        <v>6.0469999999999997</v>
      </c>
      <c r="F198" s="84">
        <f t="shared" si="59"/>
        <v>6.9119999999999999</v>
      </c>
      <c r="G198" s="84">
        <f t="shared" si="57"/>
        <v>0.80200000000000005</v>
      </c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</row>
    <row r="199" spans="1:86" x14ac:dyDescent="0.2">
      <c r="A199" s="84">
        <v>1</v>
      </c>
      <c r="B199" s="84" t="s">
        <v>64</v>
      </c>
      <c r="C199" s="84" t="s">
        <v>166</v>
      </c>
      <c r="D199" s="84">
        <f t="shared" si="56"/>
        <v>1</v>
      </c>
      <c r="E199" s="84">
        <f t="shared" si="58"/>
        <v>0.997</v>
      </c>
      <c r="F199" s="84">
        <f t="shared" si="59"/>
        <v>0.996</v>
      </c>
      <c r="G199" s="84">
        <f t="shared" si="57"/>
        <v>0.98899999999999999</v>
      </c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</row>
    <row r="200" spans="1:86" x14ac:dyDescent="0.2">
      <c r="A200" s="84">
        <v>1</v>
      </c>
      <c r="B200" s="84" t="s">
        <v>81</v>
      </c>
      <c r="C200" s="84" t="s">
        <v>167</v>
      </c>
      <c r="D200" s="84">
        <f t="shared" si="56"/>
        <v>1</v>
      </c>
      <c r="E200" s="84">
        <f t="shared" si="58"/>
        <v>3.8210000000000002</v>
      </c>
      <c r="F200" s="84">
        <f t="shared" si="59"/>
        <v>16.594999999999999</v>
      </c>
      <c r="G200" s="84">
        <f t="shared" si="57"/>
        <v>26.61</v>
      </c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</row>
    <row r="201" spans="1:86" x14ac:dyDescent="0.2">
      <c r="A201" s="84">
        <v>1</v>
      </c>
      <c r="B201" s="84" t="s">
        <v>81</v>
      </c>
      <c r="C201" s="84" t="s">
        <v>168</v>
      </c>
      <c r="D201" s="84">
        <f t="shared" si="56"/>
        <v>1</v>
      </c>
      <c r="E201" s="84">
        <f t="shared" si="58"/>
        <v>3.6970000000000001</v>
      </c>
      <c r="F201" s="84">
        <f t="shared" si="59"/>
        <v>17.591000000000001</v>
      </c>
      <c r="G201" s="84">
        <f t="shared" si="57"/>
        <v>27.344999999999999</v>
      </c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</row>
    <row r="202" spans="1:86" x14ac:dyDescent="0.2">
      <c r="A202" s="84">
        <v>1</v>
      </c>
      <c r="B202" s="84" t="s">
        <v>81</v>
      </c>
      <c r="C202" s="84" t="s">
        <v>169</v>
      </c>
      <c r="D202" s="84">
        <f t="shared" si="56"/>
        <v>1</v>
      </c>
      <c r="E202" s="84">
        <f t="shared" si="58"/>
        <v>4.01</v>
      </c>
      <c r="F202" s="84">
        <f t="shared" si="59"/>
        <v>16.710999999999999</v>
      </c>
      <c r="G202" s="84">
        <f t="shared" si="57"/>
        <v>23.164999999999999</v>
      </c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</row>
    <row r="203" spans="1:86" x14ac:dyDescent="0.2">
      <c r="A203" s="84">
        <v>1</v>
      </c>
      <c r="B203" s="84" t="s">
        <v>81</v>
      </c>
      <c r="C203" s="84" t="s">
        <v>170</v>
      </c>
      <c r="D203" s="84">
        <f t="shared" si="56"/>
        <v>1</v>
      </c>
      <c r="E203" s="84">
        <f t="shared" si="58"/>
        <v>3.2410000000000001</v>
      </c>
      <c r="F203" s="84">
        <f t="shared" si="59"/>
        <v>15.914</v>
      </c>
      <c r="G203" s="84">
        <f t="shared" si="57"/>
        <v>22.715</v>
      </c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</row>
    <row r="204" spans="1:86" x14ac:dyDescent="0.2">
      <c r="A204" s="84">
        <v>1</v>
      </c>
      <c r="B204" s="84" t="s">
        <v>81</v>
      </c>
      <c r="C204" s="84" t="s">
        <v>171</v>
      </c>
      <c r="D204" s="84">
        <f t="shared" si="56"/>
        <v>1</v>
      </c>
      <c r="E204" s="84">
        <f t="shared" si="58"/>
        <v>3.0870000000000002</v>
      </c>
      <c r="F204" s="84">
        <f t="shared" si="59"/>
        <v>15.92</v>
      </c>
      <c r="G204" s="84">
        <f t="shared" si="57"/>
        <v>21.302</v>
      </c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</row>
    <row r="205" spans="1:86" x14ac:dyDescent="0.2">
      <c r="A205" s="84">
        <v>1</v>
      </c>
      <c r="B205" s="84" t="s">
        <v>81</v>
      </c>
      <c r="C205" s="84" t="s">
        <v>172</v>
      </c>
      <c r="D205" s="84">
        <f t="shared" si="56"/>
        <v>1</v>
      </c>
      <c r="E205" s="84">
        <f t="shared" si="58"/>
        <v>3.3220000000000001</v>
      </c>
      <c r="F205" s="84">
        <f t="shared" si="59"/>
        <v>18.225000000000001</v>
      </c>
      <c r="G205" s="84">
        <f t="shared" si="57"/>
        <v>27.36</v>
      </c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</row>
    <row r="206" spans="1:86" x14ac:dyDescent="0.2">
      <c r="A206" s="84">
        <v>1</v>
      </c>
      <c r="B206" s="84" t="s">
        <v>81</v>
      </c>
      <c r="C206" s="84" t="s">
        <v>173</v>
      </c>
      <c r="D206" s="84">
        <f t="shared" si="56"/>
        <v>1</v>
      </c>
      <c r="E206" s="84">
        <f t="shared" si="58"/>
        <v>3.4630000000000001</v>
      </c>
      <c r="F206" s="84">
        <f t="shared" si="59"/>
        <v>17.62</v>
      </c>
      <c r="G206" s="84">
        <f t="shared" si="57"/>
        <v>26.817</v>
      </c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</row>
    <row r="207" spans="1:86" x14ac:dyDescent="0.2">
      <c r="A207" s="84">
        <v>1</v>
      </c>
      <c r="B207" s="84" t="s">
        <v>81</v>
      </c>
      <c r="C207" s="84" t="s">
        <v>174</v>
      </c>
      <c r="D207" s="84">
        <f t="shared" si="56"/>
        <v>1</v>
      </c>
      <c r="E207" s="84">
        <f t="shared" si="58"/>
        <v>3.87</v>
      </c>
      <c r="F207" s="84">
        <f t="shared" si="59"/>
        <v>18.204999999999998</v>
      </c>
      <c r="G207" s="84">
        <f t="shared" si="57"/>
        <v>25.863</v>
      </c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</row>
    <row r="208" spans="1:86" x14ac:dyDescent="0.2">
      <c r="A208" s="84">
        <v>1</v>
      </c>
      <c r="B208" s="84" t="s">
        <v>190</v>
      </c>
      <c r="C208" s="84" t="s">
        <v>175</v>
      </c>
      <c r="D208" s="84">
        <f t="shared" si="56"/>
        <v>1</v>
      </c>
      <c r="E208" s="84">
        <f t="shared" si="58"/>
        <v>0.19600000000000001</v>
      </c>
      <c r="F208" s="84">
        <f t="shared" si="59"/>
        <v>-1.706</v>
      </c>
      <c r="G208" s="84">
        <f t="shared" si="57"/>
        <v>-2.3759999999999999</v>
      </c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</row>
    <row r="209" spans="1:86" x14ac:dyDescent="0.2">
      <c r="A209" s="84">
        <v>1</v>
      </c>
      <c r="B209" s="84" t="s">
        <v>64</v>
      </c>
      <c r="C209" s="84" t="s">
        <v>176</v>
      </c>
      <c r="D209" s="84">
        <f t="shared" si="56"/>
        <v>1</v>
      </c>
      <c r="E209" s="84">
        <f t="shared" si="58"/>
        <v>0.98799999999999999</v>
      </c>
      <c r="F209" s="84">
        <f t="shared" si="59"/>
        <v>0.99199999999999999</v>
      </c>
      <c r="G209" s="84">
        <f t="shared" si="57"/>
        <v>0.98499999999999999</v>
      </c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</row>
    <row r="210" spans="1:86" x14ac:dyDescent="0.2">
      <c r="A210" s="84">
        <v>1</v>
      </c>
      <c r="B210" s="84" t="s">
        <v>82</v>
      </c>
      <c r="C210" s="84" t="s">
        <v>177</v>
      </c>
      <c r="D210" s="84">
        <f t="shared" si="56"/>
        <v>1</v>
      </c>
      <c r="E210" s="84">
        <f t="shared" si="58"/>
        <v>2.6880000000000002</v>
      </c>
      <c r="F210" s="84">
        <f t="shared" si="59"/>
        <v>15.843999999999999</v>
      </c>
      <c r="G210" s="84">
        <f t="shared" si="57"/>
        <v>24.475000000000001</v>
      </c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</row>
    <row r="211" spans="1:86" x14ac:dyDescent="0.2">
      <c r="A211" s="84">
        <v>1</v>
      </c>
      <c r="B211" s="84" t="s">
        <v>82</v>
      </c>
      <c r="C211" s="84" t="s">
        <v>178</v>
      </c>
      <c r="D211" s="84">
        <f t="shared" si="56"/>
        <v>1</v>
      </c>
      <c r="E211" s="84">
        <f t="shared" si="58"/>
        <v>3.1520000000000001</v>
      </c>
      <c r="F211" s="84">
        <f t="shared" si="59"/>
        <v>18.183</v>
      </c>
      <c r="G211" s="84">
        <f t="shared" si="57"/>
        <v>28.331</v>
      </c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</row>
    <row r="212" spans="1:86" x14ac:dyDescent="0.2">
      <c r="A212" s="84">
        <v>1</v>
      </c>
      <c r="B212" s="84" t="s">
        <v>82</v>
      </c>
      <c r="C212" s="84" t="s">
        <v>179</v>
      </c>
      <c r="D212" s="84">
        <f t="shared" si="56"/>
        <v>1</v>
      </c>
      <c r="E212" s="84">
        <f t="shared" si="58"/>
        <v>3.67</v>
      </c>
      <c r="F212" s="84">
        <f t="shared" si="59"/>
        <v>18.606000000000002</v>
      </c>
      <c r="G212" s="84">
        <f t="shared" si="57"/>
        <v>28.321999999999999</v>
      </c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</row>
    <row r="213" spans="1:86" x14ac:dyDescent="0.2">
      <c r="A213" s="84">
        <v>1</v>
      </c>
      <c r="B213" s="84" t="s">
        <v>82</v>
      </c>
      <c r="C213" s="84" t="s">
        <v>180</v>
      </c>
      <c r="D213" s="84">
        <f t="shared" si="56"/>
        <v>1</v>
      </c>
      <c r="E213" s="84">
        <f t="shared" si="58"/>
        <v>3.9750000000000001</v>
      </c>
      <c r="F213" s="84">
        <f t="shared" si="59"/>
        <v>17.916</v>
      </c>
      <c r="G213" s="84">
        <f t="shared" si="57"/>
        <v>27.561</v>
      </c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</row>
    <row r="214" spans="1:86" x14ac:dyDescent="0.2">
      <c r="A214" s="84">
        <v>1</v>
      </c>
      <c r="B214" s="84" t="s">
        <v>82</v>
      </c>
      <c r="C214" s="84" t="s">
        <v>181</v>
      </c>
      <c r="D214" s="84">
        <f t="shared" si="56"/>
        <v>1</v>
      </c>
      <c r="E214" s="84">
        <f t="shared" si="58"/>
        <v>3.1549999999999998</v>
      </c>
      <c r="F214" s="84">
        <f t="shared" si="59"/>
        <v>15.472</v>
      </c>
      <c r="G214" s="84">
        <f t="shared" si="57"/>
        <v>26.544</v>
      </c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</row>
    <row r="215" spans="1:86" x14ac:dyDescent="0.2">
      <c r="A215" s="84">
        <v>1</v>
      </c>
      <c r="B215" s="84" t="s">
        <v>82</v>
      </c>
      <c r="C215" s="84" t="s">
        <v>182</v>
      </c>
      <c r="D215" s="84">
        <f t="shared" si="56"/>
        <v>1</v>
      </c>
      <c r="E215" s="84">
        <f t="shared" si="58"/>
        <v>3.8839999999999999</v>
      </c>
      <c r="F215" s="84">
        <f t="shared" si="59"/>
        <v>17.215</v>
      </c>
      <c r="G215" s="84">
        <f t="shared" si="57"/>
        <v>27.652000000000001</v>
      </c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</row>
    <row r="216" spans="1:86" x14ac:dyDescent="0.2">
      <c r="A216" s="84">
        <v>1</v>
      </c>
      <c r="B216" s="84" t="s">
        <v>82</v>
      </c>
      <c r="C216" s="84" t="s">
        <v>183</v>
      </c>
      <c r="D216" s="84">
        <f t="shared" si="56"/>
        <v>1</v>
      </c>
      <c r="E216" s="84">
        <f t="shared" si="58"/>
        <v>3.7280000000000002</v>
      </c>
      <c r="F216" s="84">
        <f t="shared" si="59"/>
        <v>15.851000000000001</v>
      </c>
      <c r="G216" s="84">
        <f t="shared" si="57"/>
        <v>25.774000000000001</v>
      </c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</row>
    <row r="217" spans="1:86" x14ac:dyDescent="0.2">
      <c r="A217" s="84">
        <v>1</v>
      </c>
      <c r="B217" s="84" t="s">
        <v>82</v>
      </c>
      <c r="C217" s="84" t="s">
        <v>184</v>
      </c>
      <c r="D217" s="84">
        <f t="shared" si="56"/>
        <v>1</v>
      </c>
      <c r="E217" s="84">
        <f t="shared" si="58"/>
        <v>3.4740000000000002</v>
      </c>
      <c r="F217" s="84">
        <f t="shared" si="59"/>
        <v>15.92</v>
      </c>
      <c r="G217" s="84">
        <f t="shared" si="57"/>
        <v>24.946000000000002</v>
      </c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</row>
    <row r="218" spans="1:86" x14ac:dyDescent="0.2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</row>
    <row r="219" spans="1:86" x14ac:dyDescent="0.2">
      <c r="A219" s="84" t="s">
        <v>189</v>
      </c>
      <c r="B219" s="84" t="s">
        <v>188</v>
      </c>
      <c r="C219" s="84" t="s">
        <v>124</v>
      </c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</row>
    <row r="220" spans="1:86" x14ac:dyDescent="0.2">
      <c r="A220" s="84">
        <v>2</v>
      </c>
      <c r="B220" s="84" t="s">
        <v>190</v>
      </c>
      <c r="C220" s="84" t="s">
        <v>125</v>
      </c>
      <c r="D220" s="84">
        <f>V93/$V93</f>
        <v>1</v>
      </c>
      <c r="E220" s="84">
        <f>ROUND(BB93/$V93,3)</f>
        <v>1.6559999999999999</v>
      </c>
      <c r="F220" s="84">
        <f>ROUND(CH93/$V93,3)</f>
        <v>-0.221</v>
      </c>
      <c r="G220" s="84">
        <f>ROUND(DN93/$V93,3)</f>
        <v>4.12</v>
      </c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</row>
    <row r="221" spans="1:86" x14ac:dyDescent="0.2">
      <c r="A221" s="84">
        <v>2</v>
      </c>
      <c r="B221" s="84" t="s">
        <v>64</v>
      </c>
      <c r="C221" s="84" t="s">
        <v>126</v>
      </c>
      <c r="D221" s="84">
        <f t="shared" ref="D221:D279" si="60">V94/$V94</f>
        <v>1</v>
      </c>
      <c r="E221" s="84">
        <f t="shared" ref="E221:E279" si="61">ROUND(BB94/$V94,3)</f>
        <v>1.006</v>
      </c>
      <c r="F221" s="84">
        <f t="shared" ref="F221:F279" si="62">ROUND(CH94/$V94,3)</f>
        <v>0.997</v>
      </c>
      <c r="G221" s="84">
        <f t="shared" ref="G221:G279" si="63">ROUND(DN94/$V94,3)</f>
        <v>1.0049999999999999</v>
      </c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</row>
    <row r="222" spans="1:86" x14ac:dyDescent="0.2">
      <c r="A222" s="84">
        <v>2</v>
      </c>
      <c r="B222" s="84" t="s">
        <v>83</v>
      </c>
      <c r="C222" s="84" t="s">
        <v>127</v>
      </c>
      <c r="D222" s="84">
        <f t="shared" si="60"/>
        <v>1</v>
      </c>
      <c r="E222" s="84">
        <f t="shared" si="61"/>
        <v>2.4870000000000001</v>
      </c>
      <c r="F222" s="84">
        <f t="shared" si="62"/>
        <v>9.2520000000000007</v>
      </c>
      <c r="G222" s="84">
        <f t="shared" si="63"/>
        <v>18.016999999999999</v>
      </c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</row>
    <row r="223" spans="1:86" x14ac:dyDescent="0.2">
      <c r="A223" s="84">
        <v>2</v>
      </c>
      <c r="B223" s="84" t="s">
        <v>83</v>
      </c>
      <c r="C223" s="84" t="s">
        <v>128</v>
      </c>
      <c r="D223" s="84">
        <f t="shared" si="60"/>
        <v>1</v>
      </c>
      <c r="E223" s="84">
        <f t="shared" si="61"/>
        <v>2.7240000000000002</v>
      </c>
      <c r="F223" s="84">
        <f t="shared" si="62"/>
        <v>10.557</v>
      </c>
      <c r="G223" s="84">
        <f t="shared" si="63"/>
        <v>19.927</v>
      </c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</row>
    <row r="224" spans="1:86" x14ac:dyDescent="0.2">
      <c r="A224" s="84">
        <v>2</v>
      </c>
      <c r="B224" s="84" t="s">
        <v>83</v>
      </c>
      <c r="C224" s="84" t="s">
        <v>129</v>
      </c>
      <c r="D224" s="84">
        <f t="shared" si="60"/>
        <v>1</v>
      </c>
      <c r="E224" s="84">
        <f t="shared" si="61"/>
        <v>2.7650000000000001</v>
      </c>
      <c r="F224" s="84">
        <f t="shared" si="62"/>
        <v>12.089</v>
      </c>
      <c r="G224" s="84">
        <f t="shared" si="63"/>
        <v>19.536999999999999</v>
      </c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</row>
    <row r="225" spans="1:86" x14ac:dyDescent="0.2">
      <c r="A225" s="84">
        <v>2</v>
      </c>
      <c r="B225" s="84" t="s">
        <v>83</v>
      </c>
      <c r="C225" s="84" t="s">
        <v>130</v>
      </c>
      <c r="D225" s="84">
        <f t="shared" si="60"/>
        <v>1</v>
      </c>
      <c r="E225" s="84">
        <f t="shared" si="61"/>
        <v>2.6659999999999999</v>
      </c>
      <c r="F225" s="84">
        <f t="shared" si="62"/>
        <v>10.734999999999999</v>
      </c>
      <c r="G225" s="84">
        <f t="shared" si="63"/>
        <v>20.74</v>
      </c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</row>
    <row r="226" spans="1:86" x14ac:dyDescent="0.2">
      <c r="A226" s="84">
        <v>2</v>
      </c>
      <c r="B226" s="84" t="s">
        <v>83</v>
      </c>
      <c r="C226" s="84" t="s">
        <v>131</v>
      </c>
      <c r="D226" s="84">
        <f t="shared" si="60"/>
        <v>1</v>
      </c>
      <c r="E226" s="84">
        <f t="shared" si="61"/>
        <v>2.9470000000000001</v>
      </c>
      <c r="F226" s="84">
        <f t="shared" si="62"/>
        <v>12.021000000000001</v>
      </c>
      <c r="G226" s="84">
        <f t="shared" si="63"/>
        <v>22.725000000000001</v>
      </c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</row>
    <row r="227" spans="1:86" x14ac:dyDescent="0.2">
      <c r="A227" s="84">
        <v>2</v>
      </c>
      <c r="B227" s="84" t="s">
        <v>83</v>
      </c>
      <c r="C227" s="84" t="s">
        <v>132</v>
      </c>
      <c r="D227" s="84">
        <f t="shared" si="60"/>
        <v>1</v>
      </c>
      <c r="E227" s="84">
        <f t="shared" si="61"/>
        <v>3.3079999999999998</v>
      </c>
      <c r="F227" s="84">
        <f t="shared" si="62"/>
        <v>11.984</v>
      </c>
      <c r="G227" s="84">
        <f t="shared" si="63"/>
        <v>22.593</v>
      </c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</row>
    <row r="228" spans="1:86" x14ac:dyDescent="0.2">
      <c r="A228" s="84">
        <v>2</v>
      </c>
      <c r="B228" s="84" t="s">
        <v>83</v>
      </c>
      <c r="C228" s="84" t="s">
        <v>133</v>
      </c>
      <c r="D228" s="84">
        <f t="shared" si="60"/>
        <v>1</v>
      </c>
      <c r="E228" s="84">
        <f t="shared" si="61"/>
        <v>3.6709999999999998</v>
      </c>
      <c r="F228" s="84">
        <f t="shared" si="62"/>
        <v>13.147</v>
      </c>
      <c r="G228" s="84">
        <f t="shared" si="63"/>
        <v>24.164000000000001</v>
      </c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</row>
    <row r="229" spans="1:86" x14ac:dyDescent="0.2">
      <c r="A229" s="84">
        <v>2</v>
      </c>
      <c r="B229" s="84" t="s">
        <v>83</v>
      </c>
      <c r="C229" s="84" t="s">
        <v>134</v>
      </c>
      <c r="D229" s="84">
        <f t="shared" si="60"/>
        <v>1</v>
      </c>
      <c r="E229" s="84">
        <f t="shared" si="61"/>
        <v>3.4079999999999999</v>
      </c>
      <c r="F229" s="84">
        <f t="shared" si="62"/>
        <v>12.895</v>
      </c>
      <c r="G229" s="84">
        <f t="shared" si="63"/>
        <v>22.297000000000001</v>
      </c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</row>
    <row r="230" spans="1:86" x14ac:dyDescent="0.2">
      <c r="A230" s="84">
        <v>2</v>
      </c>
      <c r="B230" s="84" t="s">
        <v>190</v>
      </c>
      <c r="C230" s="84" t="s">
        <v>135</v>
      </c>
      <c r="D230" s="84">
        <f t="shared" si="60"/>
        <v>1</v>
      </c>
      <c r="E230" s="84">
        <f t="shared" si="61"/>
        <v>-24.442</v>
      </c>
      <c r="F230" s="84">
        <f t="shared" si="62"/>
        <v>-4.5140000000000002</v>
      </c>
      <c r="G230" s="84">
        <f t="shared" si="63"/>
        <v>-2.6619999999999999</v>
      </c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</row>
    <row r="231" spans="1:86" x14ac:dyDescent="0.2">
      <c r="A231" s="84">
        <v>2</v>
      </c>
      <c r="B231" s="84" t="s">
        <v>64</v>
      </c>
      <c r="C231" s="84" t="s">
        <v>136</v>
      </c>
      <c r="D231" s="84">
        <f t="shared" si="60"/>
        <v>1</v>
      </c>
      <c r="E231" s="84">
        <f t="shared" si="61"/>
        <v>1.004</v>
      </c>
      <c r="F231" s="84">
        <f t="shared" si="62"/>
        <v>1.006</v>
      </c>
      <c r="G231" s="84">
        <f t="shared" si="63"/>
        <v>0.99299999999999999</v>
      </c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</row>
    <row r="232" spans="1:86" x14ac:dyDescent="0.2">
      <c r="A232" s="84">
        <v>2</v>
      </c>
      <c r="B232" s="84" t="s">
        <v>84</v>
      </c>
      <c r="C232" s="84" t="s">
        <v>137</v>
      </c>
      <c r="D232" s="84">
        <f t="shared" si="60"/>
        <v>1</v>
      </c>
      <c r="E232" s="84">
        <f t="shared" si="61"/>
        <v>3.427</v>
      </c>
      <c r="F232" s="84">
        <f t="shared" si="62"/>
        <v>11.75</v>
      </c>
      <c r="G232" s="84">
        <f t="shared" si="63"/>
        <v>21.49</v>
      </c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</row>
    <row r="233" spans="1:86" x14ac:dyDescent="0.2">
      <c r="A233" s="84">
        <v>2</v>
      </c>
      <c r="B233" s="84" t="s">
        <v>84</v>
      </c>
      <c r="C233" s="84" t="s">
        <v>138</v>
      </c>
      <c r="D233" s="84">
        <f t="shared" si="60"/>
        <v>1</v>
      </c>
      <c r="E233" s="84">
        <f t="shared" si="61"/>
        <v>3.4140000000000001</v>
      </c>
      <c r="F233" s="84">
        <f t="shared" si="62"/>
        <v>12.186</v>
      </c>
      <c r="G233" s="84">
        <f t="shared" si="63"/>
        <v>21.975999999999999</v>
      </c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</row>
    <row r="234" spans="1:86" x14ac:dyDescent="0.2">
      <c r="A234" s="84">
        <v>2</v>
      </c>
      <c r="B234" s="84" t="s">
        <v>84</v>
      </c>
      <c r="C234" s="84" t="s">
        <v>139</v>
      </c>
      <c r="D234" s="84">
        <f t="shared" si="60"/>
        <v>1</v>
      </c>
      <c r="E234" s="84">
        <f t="shared" si="61"/>
        <v>2.7389999999999999</v>
      </c>
      <c r="F234" s="84">
        <f t="shared" si="62"/>
        <v>10.391999999999999</v>
      </c>
      <c r="G234" s="84">
        <f t="shared" si="63"/>
        <v>20.513000000000002</v>
      </c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</row>
    <row r="235" spans="1:86" x14ac:dyDescent="0.2">
      <c r="A235" s="84">
        <v>2</v>
      </c>
      <c r="B235" s="84" t="s">
        <v>84</v>
      </c>
      <c r="C235" s="84" t="s">
        <v>140</v>
      </c>
      <c r="D235" s="84">
        <f t="shared" si="60"/>
        <v>1</v>
      </c>
      <c r="E235" s="84">
        <f t="shared" si="61"/>
        <v>3.1989999999999998</v>
      </c>
      <c r="F235" s="84">
        <f t="shared" si="62"/>
        <v>10.532</v>
      </c>
      <c r="G235" s="84">
        <f t="shared" si="63"/>
        <v>19.896999999999998</v>
      </c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</row>
    <row r="236" spans="1:86" x14ac:dyDescent="0.2">
      <c r="A236" s="84">
        <v>2</v>
      </c>
      <c r="B236" s="84" t="s">
        <v>84</v>
      </c>
      <c r="C236" s="84" t="s">
        <v>141</v>
      </c>
      <c r="D236" s="84">
        <f t="shared" si="60"/>
        <v>1</v>
      </c>
      <c r="E236" s="84">
        <f t="shared" si="61"/>
        <v>3.093</v>
      </c>
      <c r="F236" s="84">
        <f t="shared" si="62"/>
        <v>10.846</v>
      </c>
      <c r="G236" s="84">
        <f t="shared" si="63"/>
        <v>22.242000000000001</v>
      </c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</row>
    <row r="237" spans="1:86" x14ac:dyDescent="0.2">
      <c r="A237" s="84">
        <v>2</v>
      </c>
      <c r="B237" s="84" t="s">
        <v>84</v>
      </c>
      <c r="C237" s="84" t="s">
        <v>142</v>
      </c>
      <c r="D237" s="84">
        <f t="shared" si="60"/>
        <v>1</v>
      </c>
      <c r="E237" s="84">
        <f t="shared" si="61"/>
        <v>2.7970000000000002</v>
      </c>
      <c r="F237" s="84">
        <f t="shared" si="62"/>
        <v>11.252000000000001</v>
      </c>
      <c r="G237" s="84">
        <f t="shared" si="63"/>
        <v>21.757999999999999</v>
      </c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</row>
    <row r="238" spans="1:86" x14ac:dyDescent="0.2">
      <c r="A238" s="84">
        <v>2</v>
      </c>
      <c r="B238" s="84" t="s">
        <v>84</v>
      </c>
      <c r="C238" s="84" t="s">
        <v>143</v>
      </c>
      <c r="D238" s="84">
        <f t="shared" si="60"/>
        <v>1</v>
      </c>
      <c r="E238" s="84">
        <f t="shared" si="61"/>
        <v>3.3359999999999999</v>
      </c>
      <c r="F238" s="84">
        <f t="shared" si="62"/>
        <v>11.362</v>
      </c>
      <c r="G238" s="84">
        <f t="shared" si="63"/>
        <v>20.55</v>
      </c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</row>
    <row r="239" spans="1:86" x14ac:dyDescent="0.2">
      <c r="A239" s="84">
        <v>2</v>
      </c>
      <c r="B239" s="84" t="s">
        <v>84</v>
      </c>
      <c r="C239" s="84" t="s">
        <v>144</v>
      </c>
      <c r="D239" s="84">
        <f t="shared" si="60"/>
        <v>1</v>
      </c>
      <c r="E239" s="84">
        <f t="shared" si="61"/>
        <v>3.3580000000000001</v>
      </c>
      <c r="F239" s="84">
        <f t="shared" si="62"/>
        <v>12.015000000000001</v>
      </c>
      <c r="G239" s="84">
        <f t="shared" si="63"/>
        <v>22.582999999999998</v>
      </c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</row>
    <row r="240" spans="1:86" x14ac:dyDescent="0.2">
      <c r="A240" s="84">
        <v>2</v>
      </c>
      <c r="B240" s="84" t="s">
        <v>190</v>
      </c>
      <c r="C240" s="84" t="s">
        <v>145</v>
      </c>
      <c r="D240" s="84">
        <f t="shared" si="60"/>
        <v>1</v>
      </c>
      <c r="E240" s="84">
        <f t="shared" si="61"/>
        <v>49.542999999999999</v>
      </c>
      <c r="F240" s="84">
        <f t="shared" si="62"/>
        <v>-37.691000000000003</v>
      </c>
      <c r="G240" s="84">
        <f t="shared" si="63"/>
        <v>33.22</v>
      </c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</row>
    <row r="241" spans="1:86" x14ac:dyDescent="0.2">
      <c r="A241" s="84">
        <v>2</v>
      </c>
      <c r="B241" s="84" t="s">
        <v>64</v>
      </c>
      <c r="C241" s="84" t="s">
        <v>146</v>
      </c>
      <c r="D241" s="84">
        <f t="shared" si="60"/>
        <v>1</v>
      </c>
      <c r="E241" s="84">
        <f t="shared" si="61"/>
        <v>0.996</v>
      </c>
      <c r="F241" s="84">
        <f t="shared" si="62"/>
        <v>0.98899999999999999</v>
      </c>
      <c r="G241" s="84">
        <f t="shared" si="63"/>
        <v>1.0029999999999999</v>
      </c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</row>
    <row r="242" spans="1:86" x14ac:dyDescent="0.2">
      <c r="A242" s="84">
        <v>2</v>
      </c>
      <c r="B242" s="84" t="s">
        <v>85</v>
      </c>
      <c r="C242" s="84" t="s">
        <v>147</v>
      </c>
      <c r="D242" s="84">
        <f t="shared" si="60"/>
        <v>1</v>
      </c>
      <c r="E242" s="84">
        <f t="shared" si="61"/>
        <v>3.0539999999999998</v>
      </c>
      <c r="F242" s="84">
        <f t="shared" si="62"/>
        <v>10.19</v>
      </c>
      <c r="G242" s="84">
        <f t="shared" si="63"/>
        <v>16.523</v>
      </c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</row>
    <row r="243" spans="1:86" x14ac:dyDescent="0.2">
      <c r="A243" s="84">
        <v>2</v>
      </c>
      <c r="B243" s="84" t="s">
        <v>85</v>
      </c>
      <c r="C243" s="84" t="s">
        <v>148</v>
      </c>
      <c r="D243" s="84">
        <f t="shared" si="60"/>
        <v>1</v>
      </c>
      <c r="E243" s="84">
        <f t="shared" si="61"/>
        <v>3.8460000000000001</v>
      </c>
      <c r="F243" s="84">
        <f t="shared" si="62"/>
        <v>9.9220000000000006</v>
      </c>
      <c r="G243" s="84">
        <f t="shared" si="63"/>
        <v>21.832000000000001</v>
      </c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</row>
    <row r="244" spans="1:86" x14ac:dyDescent="0.2">
      <c r="A244" s="84">
        <v>2</v>
      </c>
      <c r="B244" s="84" t="s">
        <v>85</v>
      </c>
      <c r="C244" s="84" t="s">
        <v>149</v>
      </c>
      <c r="D244" s="84">
        <f t="shared" si="60"/>
        <v>1</v>
      </c>
      <c r="E244" s="84">
        <f t="shared" si="61"/>
        <v>3.3250000000000002</v>
      </c>
      <c r="F244" s="84">
        <f t="shared" si="62"/>
        <v>10.917</v>
      </c>
      <c r="G244" s="84">
        <f t="shared" si="63"/>
        <v>20.186</v>
      </c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</row>
    <row r="245" spans="1:86" x14ac:dyDescent="0.2">
      <c r="A245" s="84">
        <v>2</v>
      </c>
      <c r="B245" s="84" t="s">
        <v>85</v>
      </c>
      <c r="C245" s="84" t="s">
        <v>150</v>
      </c>
      <c r="D245" s="84">
        <f t="shared" si="60"/>
        <v>1</v>
      </c>
      <c r="E245" s="84">
        <f t="shared" si="61"/>
        <v>3.9660000000000002</v>
      </c>
      <c r="F245" s="84">
        <f t="shared" si="62"/>
        <v>12.667999999999999</v>
      </c>
      <c r="G245" s="84">
        <f t="shared" si="63"/>
        <v>24.672999999999998</v>
      </c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</row>
    <row r="246" spans="1:86" x14ac:dyDescent="0.2">
      <c r="A246" s="84">
        <v>2</v>
      </c>
      <c r="B246" s="84" t="s">
        <v>85</v>
      </c>
      <c r="C246" s="84" t="s">
        <v>151</v>
      </c>
      <c r="D246" s="84">
        <f t="shared" si="60"/>
        <v>1</v>
      </c>
      <c r="E246" s="84">
        <f t="shared" si="61"/>
        <v>3.5619999999999998</v>
      </c>
      <c r="F246" s="84">
        <f t="shared" si="62"/>
        <v>11.488</v>
      </c>
      <c r="G246" s="84">
        <f t="shared" si="63"/>
        <v>19.128</v>
      </c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</row>
    <row r="247" spans="1:86" x14ac:dyDescent="0.2">
      <c r="A247" s="84">
        <v>2</v>
      </c>
      <c r="B247" s="84" t="s">
        <v>85</v>
      </c>
      <c r="C247" s="84" t="s">
        <v>152</v>
      </c>
      <c r="D247" s="84">
        <f t="shared" si="60"/>
        <v>1</v>
      </c>
      <c r="E247" s="84">
        <f t="shared" si="61"/>
        <v>3.919</v>
      </c>
      <c r="F247" s="84">
        <f t="shared" si="62"/>
        <v>12.515000000000001</v>
      </c>
      <c r="G247" s="84">
        <f t="shared" si="63"/>
        <v>19.693999999999999</v>
      </c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</row>
    <row r="248" spans="1:86" x14ac:dyDescent="0.2">
      <c r="A248" s="84">
        <v>2</v>
      </c>
      <c r="B248" s="84" t="s">
        <v>85</v>
      </c>
      <c r="C248" s="84" t="s">
        <v>153</v>
      </c>
      <c r="D248" s="84">
        <f t="shared" si="60"/>
        <v>1</v>
      </c>
      <c r="E248" s="84">
        <f t="shared" si="61"/>
        <v>3.2090000000000001</v>
      </c>
      <c r="F248" s="84">
        <f t="shared" si="62"/>
        <v>11.321999999999999</v>
      </c>
      <c r="G248" s="84">
        <f t="shared" si="63"/>
        <v>19.783999999999999</v>
      </c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</row>
    <row r="249" spans="1:86" x14ac:dyDescent="0.2">
      <c r="A249" s="84">
        <v>2</v>
      </c>
      <c r="B249" s="84" t="s">
        <v>85</v>
      </c>
      <c r="C249" s="84" t="s">
        <v>154</v>
      </c>
      <c r="D249" s="84">
        <f t="shared" si="60"/>
        <v>1</v>
      </c>
      <c r="E249" s="84">
        <f t="shared" si="61"/>
        <v>3.089</v>
      </c>
      <c r="F249" s="84">
        <f t="shared" si="62"/>
        <v>10.631</v>
      </c>
      <c r="G249" s="84">
        <f t="shared" si="63"/>
        <v>19.352</v>
      </c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</row>
    <row r="250" spans="1:86" x14ac:dyDescent="0.2">
      <c r="A250" s="84">
        <v>2</v>
      </c>
      <c r="B250" s="84" t="s">
        <v>190</v>
      </c>
      <c r="C250" s="84" t="s">
        <v>155</v>
      </c>
      <c r="D250" s="84">
        <f t="shared" si="60"/>
        <v>1</v>
      </c>
      <c r="E250" s="84">
        <f t="shared" si="61"/>
        <v>-4.9550000000000001</v>
      </c>
      <c r="F250" s="84">
        <f t="shared" si="62"/>
        <v>12.484999999999999</v>
      </c>
      <c r="G250" s="84">
        <f t="shared" si="63"/>
        <v>26.431000000000001</v>
      </c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</row>
    <row r="251" spans="1:86" x14ac:dyDescent="0.2">
      <c r="A251" s="84">
        <v>2</v>
      </c>
      <c r="B251" s="84" t="s">
        <v>64</v>
      </c>
      <c r="C251" s="84" t="s">
        <v>156</v>
      </c>
      <c r="D251" s="84">
        <f t="shared" si="60"/>
        <v>1</v>
      </c>
      <c r="E251" s="84">
        <f t="shared" si="61"/>
        <v>0.999</v>
      </c>
      <c r="F251" s="84">
        <f t="shared" si="62"/>
        <v>0.995</v>
      </c>
      <c r="G251" s="84">
        <f t="shared" si="63"/>
        <v>0.97499999999999998</v>
      </c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</row>
    <row r="252" spans="1:86" x14ac:dyDescent="0.2">
      <c r="A252" s="84">
        <v>2</v>
      </c>
      <c r="B252" s="84">
        <v>1</v>
      </c>
      <c r="C252" s="84" t="s">
        <v>157</v>
      </c>
      <c r="D252" s="84">
        <f t="shared" si="60"/>
        <v>1</v>
      </c>
      <c r="E252" s="84">
        <f t="shared" si="61"/>
        <v>3.1549999999999998</v>
      </c>
      <c r="F252" s="84">
        <f t="shared" si="62"/>
        <v>10.439</v>
      </c>
      <c r="G252" s="84">
        <f t="shared" si="63"/>
        <v>17.677</v>
      </c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</row>
    <row r="253" spans="1:86" x14ac:dyDescent="0.2">
      <c r="A253" s="84">
        <v>2</v>
      </c>
      <c r="B253" s="84">
        <v>1</v>
      </c>
      <c r="C253" s="84" t="s">
        <v>158</v>
      </c>
      <c r="D253" s="84">
        <f t="shared" si="60"/>
        <v>1</v>
      </c>
      <c r="E253" s="84">
        <f t="shared" si="61"/>
        <v>3.7839999999999998</v>
      </c>
      <c r="F253" s="84">
        <f t="shared" si="62"/>
        <v>12.856999999999999</v>
      </c>
      <c r="G253" s="84">
        <f t="shared" si="63"/>
        <v>16.594999999999999</v>
      </c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</row>
    <row r="254" spans="1:86" x14ac:dyDescent="0.2">
      <c r="A254" s="84">
        <v>2</v>
      </c>
      <c r="B254" s="84">
        <v>1</v>
      </c>
      <c r="C254" s="84" t="s">
        <v>159</v>
      </c>
      <c r="D254" s="84">
        <f t="shared" si="60"/>
        <v>1</v>
      </c>
      <c r="E254" s="84">
        <f t="shared" si="61"/>
        <v>3.7069999999999999</v>
      </c>
      <c r="F254" s="84">
        <f t="shared" si="62"/>
        <v>12.467000000000001</v>
      </c>
      <c r="G254" s="84">
        <f t="shared" si="63"/>
        <v>18.515000000000001</v>
      </c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</row>
    <row r="255" spans="1:86" x14ac:dyDescent="0.2">
      <c r="A255" s="84">
        <v>2</v>
      </c>
      <c r="B255" s="84">
        <v>1</v>
      </c>
      <c r="C255" s="84" t="s">
        <v>160</v>
      </c>
      <c r="D255" s="84">
        <f t="shared" si="60"/>
        <v>1</v>
      </c>
      <c r="E255" s="84">
        <f t="shared" si="61"/>
        <v>3.1560000000000001</v>
      </c>
      <c r="F255" s="84">
        <f t="shared" si="62"/>
        <v>10.316000000000001</v>
      </c>
      <c r="G255" s="84">
        <f t="shared" si="63"/>
        <v>15.285</v>
      </c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</row>
    <row r="256" spans="1:86" x14ac:dyDescent="0.2">
      <c r="A256" s="84">
        <v>2</v>
      </c>
      <c r="B256" s="84">
        <v>1</v>
      </c>
      <c r="C256" s="84" t="s">
        <v>161</v>
      </c>
      <c r="D256" s="84">
        <f t="shared" si="60"/>
        <v>1</v>
      </c>
      <c r="E256" s="84">
        <f t="shared" si="61"/>
        <v>3.0089999999999999</v>
      </c>
      <c r="F256" s="84">
        <f t="shared" si="62"/>
        <v>10.63</v>
      </c>
      <c r="G256" s="84">
        <f t="shared" si="63"/>
        <v>16.03</v>
      </c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</row>
    <row r="257" spans="1:86" x14ac:dyDescent="0.2">
      <c r="A257" s="84">
        <v>2</v>
      </c>
      <c r="B257" s="84">
        <v>1</v>
      </c>
      <c r="C257" s="84" t="s">
        <v>162</v>
      </c>
      <c r="D257" s="84">
        <f t="shared" si="60"/>
        <v>1</v>
      </c>
      <c r="E257" s="84">
        <f t="shared" si="61"/>
        <v>3.177</v>
      </c>
      <c r="F257" s="84">
        <f t="shared" si="62"/>
        <v>10.105</v>
      </c>
      <c r="G257" s="84">
        <f t="shared" si="63"/>
        <v>16.64</v>
      </c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</row>
    <row r="258" spans="1:86" x14ac:dyDescent="0.2">
      <c r="A258" s="84">
        <v>2</v>
      </c>
      <c r="B258" s="84">
        <v>1</v>
      </c>
      <c r="C258" s="84" t="s">
        <v>163</v>
      </c>
      <c r="D258" s="84">
        <f t="shared" si="60"/>
        <v>1</v>
      </c>
      <c r="E258" s="84">
        <f t="shared" si="61"/>
        <v>3.3359999999999999</v>
      </c>
      <c r="F258" s="84">
        <f t="shared" si="62"/>
        <v>11.772</v>
      </c>
      <c r="G258" s="84">
        <f t="shared" si="63"/>
        <v>20.311</v>
      </c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</row>
    <row r="259" spans="1:86" x14ac:dyDescent="0.2">
      <c r="A259" s="84">
        <v>2</v>
      </c>
      <c r="B259" s="84">
        <v>1</v>
      </c>
      <c r="C259" s="84" t="s">
        <v>164</v>
      </c>
      <c r="D259" s="84">
        <f t="shared" si="60"/>
        <v>1</v>
      </c>
      <c r="E259" s="84">
        <f t="shared" si="61"/>
        <v>3.2959999999999998</v>
      </c>
      <c r="F259" s="84">
        <f t="shared" si="62"/>
        <v>12.207000000000001</v>
      </c>
      <c r="G259" s="84">
        <f t="shared" si="63"/>
        <v>20.524999999999999</v>
      </c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</row>
    <row r="260" spans="1:86" x14ac:dyDescent="0.2">
      <c r="A260" s="84">
        <v>2</v>
      </c>
      <c r="B260" s="84" t="s">
        <v>190</v>
      </c>
      <c r="C260" s="84" t="s">
        <v>165</v>
      </c>
      <c r="D260" s="84">
        <f t="shared" si="60"/>
        <v>1</v>
      </c>
      <c r="E260" s="84">
        <f t="shared" si="61"/>
        <v>-5.0970000000000004</v>
      </c>
      <c r="F260" s="84">
        <f t="shared" si="62"/>
        <v>-7.5940000000000003</v>
      </c>
      <c r="G260" s="84">
        <f t="shared" si="63"/>
        <v>-4.8760000000000003</v>
      </c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</row>
    <row r="261" spans="1:86" x14ac:dyDescent="0.2">
      <c r="A261" s="84">
        <v>2</v>
      </c>
      <c r="B261" s="84" t="s">
        <v>64</v>
      </c>
      <c r="C261" s="84" t="s">
        <v>166</v>
      </c>
      <c r="D261" s="84">
        <f t="shared" si="60"/>
        <v>1</v>
      </c>
      <c r="E261" s="84">
        <f t="shared" si="61"/>
        <v>0.98799999999999999</v>
      </c>
      <c r="F261" s="84">
        <f t="shared" si="62"/>
        <v>0.98499999999999999</v>
      </c>
      <c r="G261" s="84">
        <f t="shared" si="63"/>
        <v>0.99199999999999999</v>
      </c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</row>
    <row r="262" spans="1:86" x14ac:dyDescent="0.2">
      <c r="A262" s="84">
        <v>2</v>
      </c>
      <c r="B262" s="84">
        <v>2</v>
      </c>
      <c r="C262" s="84" t="s">
        <v>167</v>
      </c>
      <c r="D262" s="84">
        <f t="shared" si="60"/>
        <v>1</v>
      </c>
      <c r="E262" s="84">
        <f t="shared" si="61"/>
        <v>2.867</v>
      </c>
      <c r="F262" s="84">
        <f t="shared" si="62"/>
        <v>6.0919999999999996</v>
      </c>
      <c r="G262" s="84">
        <f t="shared" si="63"/>
        <v>9.0090000000000003</v>
      </c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</row>
    <row r="263" spans="1:86" x14ac:dyDescent="0.2">
      <c r="A263" s="84">
        <v>2</v>
      </c>
      <c r="B263" s="84">
        <v>2</v>
      </c>
      <c r="C263" s="84" t="s">
        <v>168</v>
      </c>
      <c r="D263" s="84">
        <f t="shared" si="60"/>
        <v>1</v>
      </c>
      <c r="E263" s="84">
        <f t="shared" si="61"/>
        <v>2.4689999999999999</v>
      </c>
      <c r="F263" s="84">
        <f t="shared" si="62"/>
        <v>5.3479999999999999</v>
      </c>
      <c r="G263" s="84">
        <f t="shared" si="63"/>
        <v>9.3889999999999993</v>
      </c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</row>
    <row r="264" spans="1:86" x14ac:dyDescent="0.2">
      <c r="A264" s="84">
        <v>2</v>
      </c>
      <c r="B264" s="84">
        <v>2</v>
      </c>
      <c r="C264" s="84" t="s">
        <v>169</v>
      </c>
      <c r="D264" s="84">
        <f t="shared" si="60"/>
        <v>1</v>
      </c>
      <c r="E264" s="84">
        <f t="shared" si="61"/>
        <v>2.3010000000000002</v>
      </c>
      <c r="F264" s="84">
        <f t="shared" si="62"/>
        <v>5.8570000000000002</v>
      </c>
      <c r="G264" s="84">
        <f t="shared" si="63"/>
        <v>9.8049999999999997</v>
      </c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</row>
    <row r="265" spans="1:86" x14ac:dyDescent="0.2">
      <c r="A265" s="84">
        <v>2</v>
      </c>
      <c r="B265" s="84">
        <v>2</v>
      </c>
      <c r="C265" s="84" t="s">
        <v>170</v>
      </c>
      <c r="D265" s="84">
        <f t="shared" si="60"/>
        <v>1</v>
      </c>
      <c r="E265" s="84">
        <f t="shared" si="61"/>
        <v>2.4790000000000001</v>
      </c>
      <c r="F265" s="84">
        <f t="shared" si="62"/>
        <v>5.1360000000000001</v>
      </c>
      <c r="G265" s="84">
        <f t="shared" si="63"/>
        <v>8.891</v>
      </c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</row>
    <row r="266" spans="1:86" x14ac:dyDescent="0.2">
      <c r="A266" s="84">
        <v>2</v>
      </c>
      <c r="B266" s="84">
        <v>2</v>
      </c>
      <c r="C266" s="84" t="s">
        <v>171</v>
      </c>
      <c r="D266" s="84">
        <f t="shared" si="60"/>
        <v>1</v>
      </c>
      <c r="E266" s="84">
        <f t="shared" si="61"/>
        <v>2.2360000000000002</v>
      </c>
      <c r="F266" s="84">
        <f t="shared" si="62"/>
        <v>5.0289999999999999</v>
      </c>
      <c r="G266" s="84">
        <f t="shared" si="63"/>
        <v>8.3940000000000001</v>
      </c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</row>
    <row r="267" spans="1:86" x14ac:dyDescent="0.2">
      <c r="A267" s="84">
        <v>2</v>
      </c>
      <c r="B267" s="84">
        <v>2</v>
      </c>
      <c r="C267" s="84" t="s">
        <v>172</v>
      </c>
      <c r="D267" s="84">
        <f t="shared" si="60"/>
        <v>1</v>
      </c>
      <c r="E267" s="84">
        <f t="shared" si="61"/>
        <v>3.1040000000000001</v>
      </c>
      <c r="F267" s="84">
        <f t="shared" si="62"/>
        <v>6.3029999999999999</v>
      </c>
      <c r="G267" s="84">
        <f t="shared" si="63"/>
        <v>12.625</v>
      </c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</row>
    <row r="268" spans="1:86" x14ac:dyDescent="0.2">
      <c r="A268" s="84">
        <v>2</v>
      </c>
      <c r="B268" s="84">
        <v>2</v>
      </c>
      <c r="C268" s="84" t="s">
        <v>173</v>
      </c>
      <c r="D268" s="84">
        <f t="shared" si="60"/>
        <v>1</v>
      </c>
      <c r="E268" s="84">
        <f t="shared" si="61"/>
        <v>3.097</v>
      </c>
      <c r="F268" s="84">
        <f t="shared" si="62"/>
        <v>6.484</v>
      </c>
      <c r="G268" s="84">
        <f t="shared" si="63"/>
        <v>10.38</v>
      </c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</row>
    <row r="269" spans="1:86" x14ac:dyDescent="0.2">
      <c r="A269" s="84">
        <v>2</v>
      </c>
      <c r="B269" s="84">
        <v>2</v>
      </c>
      <c r="C269" s="84" t="s">
        <v>174</v>
      </c>
      <c r="D269" s="84">
        <f t="shared" si="60"/>
        <v>1</v>
      </c>
      <c r="E269" s="84">
        <f t="shared" si="61"/>
        <v>3.09</v>
      </c>
      <c r="F269" s="84">
        <f t="shared" si="62"/>
        <v>7.2640000000000002</v>
      </c>
      <c r="G269" s="84">
        <f t="shared" si="63"/>
        <v>11.94</v>
      </c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</row>
    <row r="270" spans="1:86" x14ac:dyDescent="0.2">
      <c r="A270" s="84">
        <v>2</v>
      </c>
      <c r="B270" s="84" t="s">
        <v>190</v>
      </c>
      <c r="C270" s="84" t="s">
        <v>175</v>
      </c>
      <c r="D270" s="84">
        <f t="shared" si="60"/>
        <v>1</v>
      </c>
      <c r="E270" s="84">
        <f t="shared" si="61"/>
        <v>-4.4320000000000004</v>
      </c>
      <c r="F270" s="84">
        <f t="shared" si="62"/>
        <v>3.0510000000000002</v>
      </c>
      <c r="G270" s="84">
        <f t="shared" si="63"/>
        <v>0.32100000000000001</v>
      </c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</row>
    <row r="271" spans="1:86" x14ac:dyDescent="0.2">
      <c r="A271" s="84">
        <v>2</v>
      </c>
      <c r="B271" s="84" t="s">
        <v>64</v>
      </c>
      <c r="C271" s="84" t="s">
        <v>176</v>
      </c>
      <c r="D271" s="84">
        <f t="shared" si="60"/>
        <v>1</v>
      </c>
      <c r="E271" s="84">
        <f t="shared" si="61"/>
        <v>0.98499999999999999</v>
      </c>
      <c r="F271" s="84">
        <f t="shared" si="62"/>
        <v>0.995</v>
      </c>
      <c r="G271" s="84">
        <f t="shared" si="63"/>
        <v>0.997</v>
      </c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</row>
    <row r="272" spans="1:86" x14ac:dyDescent="0.2">
      <c r="A272" s="84">
        <v>2</v>
      </c>
      <c r="B272" s="84">
        <v>5</v>
      </c>
      <c r="C272" s="84" t="s">
        <v>177</v>
      </c>
      <c r="D272" s="84">
        <f t="shared" si="60"/>
        <v>1</v>
      </c>
      <c r="E272" s="84">
        <f t="shared" si="61"/>
        <v>2.4910000000000001</v>
      </c>
      <c r="F272" s="84">
        <f t="shared" si="62"/>
        <v>2.89</v>
      </c>
      <c r="G272" s="84">
        <f t="shared" si="63"/>
        <v>2.008</v>
      </c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</row>
    <row r="273" spans="1:86" x14ac:dyDescent="0.2">
      <c r="A273" s="84">
        <v>2</v>
      </c>
      <c r="B273" s="84">
        <v>5</v>
      </c>
      <c r="C273" s="84" t="s">
        <v>178</v>
      </c>
      <c r="D273" s="84">
        <f t="shared" si="60"/>
        <v>1</v>
      </c>
      <c r="E273" s="84">
        <f t="shared" si="61"/>
        <v>2.9550000000000001</v>
      </c>
      <c r="F273" s="84">
        <f t="shared" si="62"/>
        <v>2.327</v>
      </c>
      <c r="G273" s="84">
        <f t="shared" si="63"/>
        <v>1.9670000000000001</v>
      </c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</row>
    <row r="274" spans="1:86" x14ac:dyDescent="0.2">
      <c r="A274" s="84">
        <v>2</v>
      </c>
      <c r="B274" s="84">
        <v>5</v>
      </c>
      <c r="C274" s="84" t="s">
        <v>179</v>
      </c>
      <c r="D274" s="84">
        <f t="shared" si="60"/>
        <v>1</v>
      </c>
      <c r="E274" s="84">
        <f t="shared" si="61"/>
        <v>3.077</v>
      </c>
      <c r="F274" s="84">
        <f t="shared" si="62"/>
        <v>2.7530000000000001</v>
      </c>
      <c r="G274" s="84">
        <f t="shared" si="63"/>
        <v>2.165</v>
      </c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</row>
    <row r="275" spans="1:86" x14ac:dyDescent="0.2">
      <c r="A275" s="84">
        <v>2</v>
      </c>
      <c r="B275" s="84">
        <v>5</v>
      </c>
      <c r="C275" s="84" t="s">
        <v>180</v>
      </c>
      <c r="D275" s="84">
        <f t="shared" si="60"/>
        <v>1</v>
      </c>
      <c r="E275" s="84">
        <f t="shared" si="61"/>
        <v>2.7210000000000001</v>
      </c>
      <c r="F275" s="84">
        <f t="shared" si="62"/>
        <v>2.7959999999999998</v>
      </c>
      <c r="G275" s="84">
        <f t="shared" si="63"/>
        <v>3.0230000000000001</v>
      </c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</row>
    <row r="276" spans="1:86" x14ac:dyDescent="0.2">
      <c r="A276" s="84">
        <v>2</v>
      </c>
      <c r="B276" s="84">
        <v>5</v>
      </c>
      <c r="C276" s="84" t="s">
        <v>181</v>
      </c>
      <c r="D276" s="84">
        <f t="shared" si="60"/>
        <v>1</v>
      </c>
      <c r="E276" s="84">
        <f t="shared" si="61"/>
        <v>3.18</v>
      </c>
      <c r="F276" s="84">
        <f t="shared" si="62"/>
        <v>2.6269999999999998</v>
      </c>
      <c r="G276" s="84">
        <f t="shared" si="63"/>
        <v>2.4529999999999998</v>
      </c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</row>
    <row r="277" spans="1:86" x14ac:dyDescent="0.2">
      <c r="A277" s="84">
        <v>2</v>
      </c>
      <c r="B277" s="84">
        <v>5</v>
      </c>
      <c r="C277" s="84" t="s">
        <v>182</v>
      </c>
      <c r="D277" s="84">
        <f t="shared" si="60"/>
        <v>1</v>
      </c>
      <c r="E277" s="84">
        <f t="shared" si="61"/>
        <v>3.2450000000000001</v>
      </c>
      <c r="F277" s="84">
        <f t="shared" si="62"/>
        <v>2.7360000000000002</v>
      </c>
      <c r="G277" s="84">
        <f t="shared" si="63"/>
        <v>2.863</v>
      </c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</row>
    <row r="278" spans="1:86" x14ac:dyDescent="0.2">
      <c r="A278" s="84">
        <v>2</v>
      </c>
      <c r="B278" s="84">
        <v>5</v>
      </c>
      <c r="C278" s="84" t="s">
        <v>183</v>
      </c>
      <c r="D278" s="84">
        <f t="shared" si="60"/>
        <v>1</v>
      </c>
      <c r="E278" s="84">
        <f t="shared" si="61"/>
        <v>3.3039999999999998</v>
      </c>
      <c r="F278" s="84">
        <f t="shared" si="62"/>
        <v>3.53</v>
      </c>
      <c r="G278" s="84">
        <f t="shared" si="63"/>
        <v>2.569</v>
      </c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</row>
    <row r="279" spans="1:86" x14ac:dyDescent="0.2">
      <c r="A279" s="84">
        <v>2</v>
      </c>
      <c r="B279" s="84">
        <v>5</v>
      </c>
      <c r="C279" s="84" t="s">
        <v>184</v>
      </c>
      <c r="D279" s="84">
        <f t="shared" si="60"/>
        <v>1</v>
      </c>
      <c r="E279" s="84">
        <f t="shared" si="61"/>
        <v>2.988</v>
      </c>
      <c r="F279" s="84">
        <f t="shared" si="62"/>
        <v>2.8420000000000001</v>
      </c>
      <c r="G279" s="84">
        <f t="shared" si="63"/>
        <v>2.2229999999999999</v>
      </c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</row>
    <row r="281" spans="1:86" x14ac:dyDescent="0.2">
      <c r="A281" s="84" t="s">
        <v>188</v>
      </c>
      <c r="B281" s="84"/>
      <c r="C281" s="84"/>
      <c r="D281" s="84"/>
      <c r="E281" s="84"/>
    </row>
    <row r="282" spans="1:86" x14ac:dyDescent="0.2">
      <c r="A282" s="84"/>
      <c r="B282" s="84">
        <v>0</v>
      </c>
      <c r="C282" s="84">
        <v>2</v>
      </c>
      <c r="D282" s="84">
        <v>5</v>
      </c>
      <c r="E282" s="84">
        <v>7</v>
      </c>
    </row>
    <row r="283" spans="1:86" x14ac:dyDescent="0.2">
      <c r="A283" s="84">
        <v>0</v>
      </c>
      <c r="B283" s="84">
        <f>AVERAGE(D160:D167)</f>
        <v>1</v>
      </c>
      <c r="C283" s="84">
        <f t="shared" ref="C283:E283" si="64">AVERAGE(E160:E167)</f>
        <v>3.8903749999999997</v>
      </c>
      <c r="D283" s="84">
        <f t="shared" si="64"/>
        <v>23.0595</v>
      </c>
      <c r="E283" s="84">
        <f t="shared" si="64"/>
        <v>32.272750000000002</v>
      </c>
    </row>
    <row r="284" spans="1:86" x14ac:dyDescent="0.2">
      <c r="A284" s="84" t="s">
        <v>78</v>
      </c>
      <c r="B284" s="84">
        <f t="shared" ref="B284:B294" si="65">AVERAGE(D161:D168)</f>
        <v>1</v>
      </c>
      <c r="C284" s="84">
        <f t="shared" ref="C284:E284" si="66">AVERAGE(E170:E177)</f>
        <v>3.4272499999999999</v>
      </c>
      <c r="D284" s="84">
        <f t="shared" si="66"/>
        <v>21.333750000000002</v>
      </c>
      <c r="E284" s="84">
        <f t="shared" si="66"/>
        <v>27.221374999999998</v>
      </c>
    </row>
    <row r="285" spans="1:86" x14ac:dyDescent="0.2">
      <c r="A285" s="84" t="s">
        <v>79</v>
      </c>
      <c r="B285" s="84">
        <f t="shared" si="65"/>
        <v>1</v>
      </c>
      <c r="C285" s="84">
        <f t="shared" ref="C285:E285" si="67">AVERAGE(E180:E187)</f>
        <v>3.7512499999999998</v>
      </c>
      <c r="D285" s="84">
        <f t="shared" si="67"/>
        <v>19.299374999999998</v>
      </c>
      <c r="E285" s="84">
        <f t="shared" si="67"/>
        <v>25.758625000000002</v>
      </c>
    </row>
    <row r="286" spans="1:86" x14ac:dyDescent="0.2">
      <c r="A286" s="84" t="s">
        <v>80</v>
      </c>
      <c r="B286" s="84">
        <f t="shared" si="65"/>
        <v>1</v>
      </c>
      <c r="C286" s="84">
        <f t="shared" ref="C286:E286" si="68">AVERAGE(E190:E197)</f>
        <v>3.4126249999999998</v>
      </c>
      <c r="D286" s="84">
        <f t="shared" si="68"/>
        <v>17.927749999999996</v>
      </c>
      <c r="E286" s="84">
        <f t="shared" si="68"/>
        <v>24.131000000000004</v>
      </c>
    </row>
    <row r="287" spans="1:86" x14ac:dyDescent="0.2">
      <c r="A287" s="84" t="s">
        <v>81</v>
      </c>
      <c r="B287" s="84">
        <f t="shared" si="65"/>
        <v>1</v>
      </c>
      <c r="C287" s="84">
        <f t="shared" ref="C287:E287" si="69">AVERAGE(E200:E207)</f>
        <v>3.5638750000000003</v>
      </c>
      <c r="D287" s="84">
        <f t="shared" si="69"/>
        <v>17.097625000000001</v>
      </c>
      <c r="E287" s="84">
        <f t="shared" si="69"/>
        <v>25.147125000000003</v>
      </c>
    </row>
    <row r="288" spans="1:86" x14ac:dyDescent="0.2">
      <c r="A288" s="84" t="s">
        <v>82</v>
      </c>
      <c r="B288" s="84">
        <f t="shared" si="65"/>
        <v>1</v>
      </c>
      <c r="C288" s="84">
        <f t="shared" ref="C288:E288" si="70">AVERAGE(E210:E217)</f>
        <v>3.4657500000000003</v>
      </c>
      <c r="D288" s="84">
        <f t="shared" si="70"/>
        <v>16.875875000000001</v>
      </c>
      <c r="E288" s="84">
        <f t="shared" si="70"/>
        <v>26.700624999999999</v>
      </c>
    </row>
    <row r="289" spans="1:5" x14ac:dyDescent="0.2">
      <c r="A289" s="84" t="s">
        <v>83</v>
      </c>
      <c r="B289" s="84">
        <f t="shared" si="65"/>
        <v>1</v>
      </c>
      <c r="C289" s="84">
        <f t="shared" ref="C289:E289" si="71">AVERAGE(E222:E229)</f>
        <v>2.9970000000000003</v>
      </c>
      <c r="D289" s="84">
        <f t="shared" si="71"/>
        <v>11.585000000000001</v>
      </c>
      <c r="E289" s="84">
        <f t="shared" si="71"/>
        <v>21.25</v>
      </c>
    </row>
    <row r="290" spans="1:5" x14ac:dyDescent="0.2">
      <c r="A290" s="84" t="s">
        <v>84</v>
      </c>
      <c r="B290" s="84">
        <f t="shared" si="65"/>
        <v>1</v>
      </c>
      <c r="C290" s="84">
        <f t="shared" ref="C290:E290" si="72">AVERAGE(E232:E239)</f>
        <v>3.1703749999999999</v>
      </c>
      <c r="D290" s="84">
        <f t="shared" si="72"/>
        <v>11.291874999999999</v>
      </c>
      <c r="E290" s="84">
        <f t="shared" si="72"/>
        <v>21.376125000000002</v>
      </c>
    </row>
    <row r="291" spans="1:5" x14ac:dyDescent="0.2">
      <c r="A291" s="84" t="s">
        <v>85</v>
      </c>
      <c r="B291" s="84">
        <f t="shared" si="65"/>
        <v>1</v>
      </c>
      <c r="C291" s="84">
        <f t="shared" ref="C291:E291" si="73">AVERAGE(E242:E249)</f>
        <v>3.4962500000000003</v>
      </c>
      <c r="D291" s="84">
        <f t="shared" si="73"/>
        <v>11.206625000000001</v>
      </c>
      <c r="E291" s="84">
        <f t="shared" si="73"/>
        <v>20.1465</v>
      </c>
    </row>
    <row r="292" spans="1:5" x14ac:dyDescent="0.2">
      <c r="A292" s="84">
        <v>1</v>
      </c>
      <c r="B292" s="84">
        <f t="shared" si="65"/>
        <v>1</v>
      </c>
      <c r="C292" s="84">
        <f t="shared" ref="C292:E292" si="74">AVERAGE(E252:E259)</f>
        <v>3.3274999999999997</v>
      </c>
      <c r="D292" s="84">
        <f t="shared" si="74"/>
        <v>11.349125000000001</v>
      </c>
      <c r="E292" s="84">
        <f t="shared" si="74"/>
        <v>17.69725</v>
      </c>
    </row>
    <row r="293" spans="1:5" x14ac:dyDescent="0.2">
      <c r="A293" s="84">
        <v>2</v>
      </c>
      <c r="B293" s="84">
        <f t="shared" si="65"/>
        <v>1</v>
      </c>
      <c r="C293" s="84">
        <f t="shared" ref="C293:E293" si="75">AVERAGE(E262:E269)</f>
        <v>2.7053750000000001</v>
      </c>
      <c r="D293" s="84">
        <f t="shared" si="75"/>
        <v>5.9391250000000007</v>
      </c>
      <c r="E293" s="84">
        <f t="shared" si="75"/>
        <v>10.054124999999999</v>
      </c>
    </row>
    <row r="294" spans="1:5" x14ac:dyDescent="0.2">
      <c r="A294" s="84">
        <v>5</v>
      </c>
      <c r="B294" s="84">
        <f t="shared" si="65"/>
        <v>1</v>
      </c>
      <c r="C294" s="84">
        <f t="shared" ref="C294:E294" si="76">AVERAGE(E272:E279)</f>
        <v>2.9951249999999998</v>
      </c>
      <c r="D294" s="84">
        <f t="shared" si="76"/>
        <v>2.8126250000000002</v>
      </c>
      <c r="E294" s="84">
        <f t="shared" si="76"/>
        <v>2.4088749999999997</v>
      </c>
    </row>
    <row r="295" spans="1:5" x14ac:dyDescent="0.2">
      <c r="A295" s="84"/>
      <c r="B295" s="84"/>
      <c r="C295" s="84"/>
      <c r="D295" s="84"/>
      <c r="E295" s="84"/>
    </row>
    <row r="296" spans="1:5" x14ac:dyDescent="0.2">
      <c r="A296" s="84" t="s">
        <v>56</v>
      </c>
      <c r="B296" s="84" t="s">
        <v>191</v>
      </c>
      <c r="C296" s="84" t="s">
        <v>192</v>
      </c>
      <c r="D296" s="84" t="s">
        <v>193</v>
      </c>
      <c r="E296" s="84" t="s">
        <v>194</v>
      </c>
    </row>
    <row r="297" spans="1:5" x14ac:dyDescent="0.2">
      <c r="A297" s="84">
        <v>0</v>
      </c>
      <c r="B297" s="84">
        <f>_xlfn.STDEV.P(D160:D167)</f>
        <v>0</v>
      </c>
      <c r="C297" s="84">
        <f t="shared" ref="C297:E297" si="77">_xlfn.STDEV.P(E160:E167)</f>
        <v>0.35258861917963258</v>
      </c>
      <c r="D297" s="84">
        <f t="shared" si="77"/>
        <v>3.6827641792544812</v>
      </c>
      <c r="E297" s="84">
        <f t="shared" si="77"/>
        <v>2.2035250594218354</v>
      </c>
    </row>
    <row r="298" spans="1:5" x14ac:dyDescent="0.2">
      <c r="A298" s="84" t="s">
        <v>78</v>
      </c>
      <c r="B298" s="84">
        <f>_xlfn.STDEV.P(D170:D177)</f>
        <v>0</v>
      </c>
      <c r="C298" s="84">
        <f t="shared" ref="C298:E298" si="78">_xlfn.STDEV.P(E170:E177)</f>
        <v>0.40689702321349119</v>
      </c>
      <c r="D298" s="84">
        <f t="shared" si="78"/>
        <v>2.9866392379227698</v>
      </c>
      <c r="E298" s="84">
        <f t="shared" si="78"/>
        <v>2.0344102915525668</v>
      </c>
    </row>
    <row r="299" spans="1:5" x14ac:dyDescent="0.2">
      <c r="A299" s="84" t="s">
        <v>79</v>
      </c>
      <c r="B299" s="84">
        <f>_xlfn.STDEV.P(D180:D187)</f>
        <v>0</v>
      </c>
      <c r="C299" s="84">
        <f t="shared" ref="C299:E299" si="79">_xlfn.STDEV.P(E180:E187)</f>
        <v>0.51138164564247102</v>
      </c>
      <c r="D299" s="84">
        <f t="shared" si="79"/>
        <v>2.5079193536426039</v>
      </c>
      <c r="E299" s="84">
        <f t="shared" si="79"/>
        <v>1.791184240767822</v>
      </c>
    </row>
    <row r="300" spans="1:5" x14ac:dyDescent="0.2">
      <c r="A300" s="84" t="s">
        <v>80</v>
      </c>
      <c r="B300" s="84">
        <f>_xlfn.STDEV.P(D190:D197)</f>
        <v>0</v>
      </c>
      <c r="C300" s="84">
        <f t="shared" ref="C300:E300" si="80">_xlfn.STDEV.P(E190:E197)</f>
        <v>0.43770707599375058</v>
      </c>
      <c r="D300" s="84">
        <f t="shared" si="80"/>
        <v>2.7298007596709475</v>
      </c>
      <c r="E300" s="84">
        <f t="shared" si="80"/>
        <v>1.9815318569228202</v>
      </c>
    </row>
    <row r="301" spans="1:5" x14ac:dyDescent="0.2">
      <c r="A301" s="84" t="s">
        <v>81</v>
      </c>
      <c r="B301" s="84">
        <f>_xlfn.STDEV.P(D200:D207)</f>
        <v>0</v>
      </c>
      <c r="C301" s="84">
        <f t="shared" ref="C301:E301" si="81">_xlfn.STDEV.P(E200:E207)</f>
        <v>0.31163136776486405</v>
      </c>
      <c r="D301" s="84">
        <f t="shared" si="81"/>
        <v>0.88058417222602892</v>
      </c>
      <c r="E301" s="84">
        <f t="shared" si="81"/>
        <v>2.2303999326073787</v>
      </c>
    </row>
    <row r="302" spans="1:5" x14ac:dyDescent="0.2">
      <c r="A302" s="84" t="s">
        <v>82</v>
      </c>
      <c r="B302" s="84">
        <f>_xlfn.STDEV.P(D210:D217)</f>
        <v>0</v>
      </c>
      <c r="C302" s="84">
        <f t="shared" ref="C302:E302" si="82">_xlfn.STDEV.P(E210:E217)</f>
        <v>0.40998925290792249</v>
      </c>
      <c r="D302" s="84">
        <f t="shared" si="82"/>
        <v>1.1671798744730826</v>
      </c>
      <c r="E302" s="84">
        <f t="shared" si="82"/>
        <v>1.4074631378387847</v>
      </c>
    </row>
    <row r="303" spans="1:5" x14ac:dyDescent="0.2">
      <c r="A303" s="84" t="s">
        <v>83</v>
      </c>
      <c r="B303" s="84">
        <f>_xlfn.STDEV.P(D222:D229)</f>
        <v>0</v>
      </c>
      <c r="C303" s="84">
        <f t="shared" ref="C303:E303" si="83">_xlfn.STDEV.P(E222:E229)</f>
        <v>0.39058161759099536</v>
      </c>
      <c r="D303" s="84">
        <f t="shared" si="83"/>
        <v>1.2237968581427252</v>
      </c>
      <c r="E303" s="84">
        <f t="shared" si="83"/>
        <v>1.9027600347915663</v>
      </c>
    </row>
    <row r="304" spans="1:5" x14ac:dyDescent="0.2">
      <c r="A304" s="84" t="s">
        <v>84</v>
      </c>
      <c r="B304" s="84">
        <f>_xlfn.STDEV.P(D232:D239)</f>
        <v>0</v>
      </c>
      <c r="C304" s="84">
        <f t="shared" ref="C304:E304" si="84">_xlfn.STDEV.P(E232:E239)</f>
        <v>0.25498624350148774</v>
      </c>
      <c r="D304" s="84">
        <f t="shared" si="84"/>
        <v>0.62497448697926872</v>
      </c>
      <c r="E304" s="84">
        <f t="shared" si="84"/>
        <v>0.89023949551511106</v>
      </c>
    </row>
    <row r="305" spans="1:5" x14ac:dyDescent="0.2">
      <c r="A305" s="84" t="s">
        <v>85</v>
      </c>
      <c r="B305" s="84">
        <f>_xlfn.STDEV.P(D242:D249)</f>
        <v>0</v>
      </c>
      <c r="C305" s="84">
        <f t="shared" ref="C305:E305" si="85">_xlfn.STDEV.P(E242:E249)</f>
        <v>0.35343095153084214</v>
      </c>
      <c r="D305" s="84">
        <f t="shared" si="85"/>
        <v>0.93801385084389866</v>
      </c>
      <c r="E305" s="84">
        <f t="shared" si="85"/>
        <v>2.1927767784250292</v>
      </c>
    </row>
    <row r="306" spans="1:5" x14ac:dyDescent="0.2">
      <c r="A306" s="84">
        <v>1</v>
      </c>
      <c r="B306" s="84">
        <f>_xlfn.STDEV.P(D252:D259)</f>
        <v>0</v>
      </c>
      <c r="C306" s="84">
        <f t="shared" ref="C306:E306" si="86">_xlfn.STDEV.P(E252:E259)</f>
        <v>0.25902171723621936</v>
      </c>
      <c r="D306" s="84">
        <f t="shared" si="86"/>
        <v>1.0246198609118407</v>
      </c>
      <c r="E306" s="84">
        <f t="shared" si="86"/>
        <v>1.8175666940995545</v>
      </c>
    </row>
    <row r="307" spans="1:5" x14ac:dyDescent="0.2">
      <c r="A307" s="84">
        <v>2</v>
      </c>
      <c r="B307" s="84">
        <f>_xlfn.STDEV.P(D262:D269)</f>
        <v>0</v>
      </c>
      <c r="C307" s="84">
        <f t="shared" ref="C307:E307" si="87">_xlfn.STDEV.P(E262:E269)</f>
        <v>0.34951428350641045</v>
      </c>
      <c r="D307" s="84">
        <f t="shared" si="87"/>
        <v>0.71041087363228972</v>
      </c>
      <c r="E307" s="84">
        <f t="shared" si="87"/>
        <v>1.4132291425579329</v>
      </c>
    </row>
    <row r="308" spans="1:5" x14ac:dyDescent="0.2">
      <c r="A308" s="84">
        <v>5</v>
      </c>
      <c r="B308" s="84">
        <f>_xlfn.STDEV.P(D272:D279)</f>
        <v>0</v>
      </c>
      <c r="C308" s="84">
        <f t="shared" ref="C308:E308" si="88">_xlfn.STDEV.P(E272:E279)</f>
        <v>0.25731082249878251</v>
      </c>
      <c r="D308" s="84">
        <f t="shared" si="88"/>
        <v>0.31651774733022198</v>
      </c>
      <c r="E308" s="84">
        <f t="shared" si="88"/>
        <v>0.36416769402982657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8EC7B-1DCC-4A28-973F-8129EC90ECAF}">
  <dimension ref="A2:BL246"/>
  <sheetViews>
    <sheetView topLeftCell="A148" zoomScale="55" zoomScaleNormal="55" workbookViewId="0">
      <selection activeCell="AA191" sqref="AA191"/>
    </sheetView>
  </sheetViews>
  <sheetFormatPr baseColWidth="10" defaultRowHeight="12.75" x14ac:dyDescent="0.2"/>
  <sheetData>
    <row r="2" spans="2:64" x14ac:dyDescent="0.2">
      <c r="B2" t="s">
        <v>74</v>
      </c>
    </row>
    <row r="4" spans="2:64" x14ac:dyDescent="0.2">
      <c r="B4" t="s">
        <v>75</v>
      </c>
    </row>
    <row r="5" spans="2:64" x14ac:dyDescent="0.2">
      <c r="C5" t="s">
        <v>52</v>
      </c>
    </row>
    <row r="6" spans="2:64" x14ac:dyDescent="0.2">
      <c r="C6" t="s">
        <v>58</v>
      </c>
    </row>
    <row r="7" spans="2:64" x14ac:dyDescent="0.2">
      <c r="C7" t="s">
        <v>53</v>
      </c>
    </row>
    <row r="8" spans="2:64" x14ac:dyDescent="0.2">
      <c r="B8" t="s">
        <v>59</v>
      </c>
    </row>
    <row r="9" spans="2:64" x14ac:dyDescent="0.2">
      <c r="B9" t="s">
        <v>60</v>
      </c>
    </row>
    <row r="10" spans="2:64" x14ac:dyDescent="0.2">
      <c r="B10" t="s">
        <v>61</v>
      </c>
    </row>
    <row r="12" spans="2:64" x14ac:dyDescent="0.2">
      <c r="B12" s="34" t="s">
        <v>116</v>
      </c>
      <c r="C12" s="5" t="s">
        <v>95</v>
      </c>
      <c r="D12" s="6">
        <v>1</v>
      </c>
      <c r="E12" s="6">
        <v>2</v>
      </c>
      <c r="F12" s="6">
        <v>3</v>
      </c>
      <c r="G12" s="6">
        <v>4</v>
      </c>
      <c r="H12" s="6">
        <v>5</v>
      </c>
      <c r="I12" s="6">
        <v>6</v>
      </c>
      <c r="J12" s="6">
        <v>7</v>
      </c>
      <c r="K12" s="6">
        <v>8</v>
      </c>
      <c r="L12" s="6">
        <v>9</v>
      </c>
      <c r="M12" s="6">
        <v>10</v>
      </c>
      <c r="N12" s="6">
        <v>11</v>
      </c>
      <c r="O12" s="6">
        <v>12</v>
      </c>
      <c r="R12" s="34" t="s">
        <v>117</v>
      </c>
      <c r="S12" s="37" t="s">
        <v>95</v>
      </c>
      <c r="T12" s="38">
        <v>1</v>
      </c>
      <c r="U12" s="38">
        <v>2</v>
      </c>
      <c r="V12" s="38">
        <v>3</v>
      </c>
      <c r="W12" s="38">
        <v>4</v>
      </c>
      <c r="X12" s="38">
        <v>5</v>
      </c>
      <c r="Y12" s="38">
        <v>6</v>
      </c>
      <c r="Z12" s="38">
        <v>7</v>
      </c>
      <c r="AA12" s="38">
        <v>8</v>
      </c>
      <c r="AB12" s="38">
        <v>9</v>
      </c>
      <c r="AC12" s="38">
        <v>10</v>
      </c>
      <c r="AD12" s="38">
        <v>11</v>
      </c>
      <c r="AE12" s="38">
        <v>12</v>
      </c>
      <c r="AF12" s="34"/>
      <c r="AH12" s="84" t="s">
        <v>119</v>
      </c>
      <c r="AI12" s="70" t="s">
        <v>121</v>
      </c>
      <c r="AJ12" s="71">
        <v>1</v>
      </c>
      <c r="AK12" s="71">
        <v>2</v>
      </c>
      <c r="AL12" s="71">
        <v>3</v>
      </c>
      <c r="AM12" s="71">
        <v>4</v>
      </c>
      <c r="AN12" s="71">
        <v>5</v>
      </c>
      <c r="AO12" s="71">
        <v>6</v>
      </c>
      <c r="AP12" s="71">
        <v>7</v>
      </c>
      <c r="AQ12" s="71">
        <v>8</v>
      </c>
      <c r="AR12" s="71">
        <v>9</v>
      </c>
      <c r="AS12" s="71">
        <v>10</v>
      </c>
      <c r="AT12" s="71">
        <v>11</v>
      </c>
      <c r="AU12" s="71">
        <v>12</v>
      </c>
      <c r="AV12" s="84"/>
      <c r="AX12" s="84" t="s">
        <v>196</v>
      </c>
      <c r="AY12" s="70" t="s">
        <v>198</v>
      </c>
      <c r="AZ12" s="71">
        <v>1</v>
      </c>
      <c r="BA12" s="71">
        <v>2</v>
      </c>
      <c r="BB12" s="71">
        <v>3</v>
      </c>
      <c r="BC12" s="71">
        <v>4</v>
      </c>
      <c r="BD12" s="71">
        <v>5</v>
      </c>
      <c r="BE12" s="71">
        <v>6</v>
      </c>
      <c r="BF12" s="71">
        <v>7</v>
      </c>
      <c r="BG12" s="71">
        <v>8</v>
      </c>
      <c r="BH12" s="71">
        <v>9</v>
      </c>
      <c r="BI12" s="71">
        <v>10</v>
      </c>
      <c r="BJ12" s="71">
        <v>11</v>
      </c>
      <c r="BK12" s="71">
        <v>12</v>
      </c>
      <c r="BL12" s="84"/>
    </row>
    <row r="13" spans="2:64" x14ac:dyDescent="0.2">
      <c r="C13" s="6" t="s">
        <v>29</v>
      </c>
      <c r="D13" s="7"/>
      <c r="E13" s="7"/>
      <c r="F13" s="7"/>
      <c r="G13" s="7"/>
      <c r="H13" s="14"/>
      <c r="I13" s="14"/>
      <c r="J13" s="14"/>
      <c r="K13" s="7"/>
      <c r="L13" s="7"/>
      <c r="M13" s="7"/>
      <c r="N13" s="7"/>
      <c r="O13" s="7"/>
      <c r="R13" s="34"/>
      <c r="S13" s="38" t="s">
        <v>29</v>
      </c>
      <c r="T13" s="41"/>
      <c r="U13" s="41"/>
      <c r="V13" s="41"/>
      <c r="W13" s="41"/>
      <c r="X13" s="14"/>
      <c r="Y13" s="14"/>
      <c r="Z13" s="14"/>
      <c r="AA13" s="41"/>
      <c r="AB13" s="41"/>
      <c r="AC13" s="41"/>
      <c r="AD13" s="41"/>
      <c r="AE13" s="41"/>
      <c r="AF13" s="34"/>
      <c r="AH13" s="84"/>
      <c r="AI13" s="71" t="s">
        <v>29</v>
      </c>
      <c r="AJ13" s="74"/>
      <c r="AK13" s="74"/>
      <c r="AL13" s="74"/>
      <c r="AM13" s="74"/>
      <c r="AN13" s="14"/>
      <c r="AO13" s="14"/>
      <c r="AP13" s="14"/>
      <c r="AQ13" s="74"/>
      <c r="AR13" s="74"/>
      <c r="AS13" s="74"/>
      <c r="AT13" s="74"/>
      <c r="AU13" s="74"/>
      <c r="AV13" s="84"/>
      <c r="AX13" s="84"/>
      <c r="AY13" s="71" t="s">
        <v>29</v>
      </c>
      <c r="AZ13" s="74"/>
      <c r="BA13" s="74"/>
      <c r="BB13" s="74"/>
      <c r="BC13" s="74"/>
      <c r="BD13" s="14"/>
      <c r="BE13" s="14"/>
      <c r="BF13" s="14"/>
      <c r="BG13" s="74"/>
      <c r="BH13" s="74"/>
      <c r="BI13" s="74"/>
      <c r="BJ13" s="74"/>
      <c r="BK13" s="74"/>
      <c r="BL13" s="84"/>
    </row>
    <row r="14" spans="2:64" x14ac:dyDescent="0.2">
      <c r="C14" s="6" t="s">
        <v>33</v>
      </c>
      <c r="D14" s="7"/>
      <c r="E14" s="7" t="s">
        <v>77</v>
      </c>
      <c r="F14" s="7" t="s">
        <v>77</v>
      </c>
      <c r="G14" s="7" t="s">
        <v>77</v>
      </c>
      <c r="H14" s="7" t="s">
        <v>77</v>
      </c>
      <c r="I14" s="7" t="s">
        <v>77</v>
      </c>
      <c r="J14" s="14" t="s">
        <v>64</v>
      </c>
      <c r="K14" s="14" t="s">
        <v>64</v>
      </c>
      <c r="L14" s="14" t="s">
        <v>64</v>
      </c>
      <c r="M14" s="14" t="s">
        <v>64</v>
      </c>
      <c r="N14" s="14" t="s">
        <v>64</v>
      </c>
      <c r="O14" s="7"/>
      <c r="R14" s="34"/>
      <c r="S14" s="38" t="s">
        <v>33</v>
      </c>
      <c r="T14" s="41"/>
      <c r="U14" s="41" t="s">
        <v>77</v>
      </c>
      <c r="V14" s="41" t="s">
        <v>77</v>
      </c>
      <c r="W14" s="41" t="s">
        <v>77</v>
      </c>
      <c r="X14" s="41" t="s">
        <v>77</v>
      </c>
      <c r="Y14" s="41" t="s">
        <v>77</v>
      </c>
      <c r="Z14" s="14" t="s">
        <v>64</v>
      </c>
      <c r="AA14" s="14" t="s">
        <v>64</v>
      </c>
      <c r="AB14" s="14" t="s">
        <v>64</v>
      </c>
      <c r="AC14" s="14" t="s">
        <v>64</v>
      </c>
      <c r="AD14" s="14" t="s">
        <v>64</v>
      </c>
      <c r="AE14" s="41"/>
      <c r="AF14" s="34"/>
      <c r="AH14" s="84"/>
      <c r="AI14" s="71" t="s">
        <v>33</v>
      </c>
      <c r="AJ14" s="74"/>
      <c r="AK14" s="74" t="s">
        <v>77</v>
      </c>
      <c r="AL14" s="74" t="s">
        <v>77</v>
      </c>
      <c r="AM14" s="74" t="s">
        <v>77</v>
      </c>
      <c r="AN14" s="74" t="s">
        <v>77</v>
      </c>
      <c r="AO14" s="74" t="s">
        <v>77</v>
      </c>
      <c r="AP14" s="14" t="s">
        <v>64</v>
      </c>
      <c r="AQ14" s="14" t="s">
        <v>64</v>
      </c>
      <c r="AR14" s="14" t="s">
        <v>64</v>
      </c>
      <c r="AS14" s="14" t="s">
        <v>64</v>
      </c>
      <c r="AT14" s="14" t="s">
        <v>64</v>
      </c>
      <c r="AU14" s="74"/>
      <c r="AV14" s="84"/>
      <c r="AX14" s="84"/>
      <c r="AY14" s="71" t="s">
        <v>33</v>
      </c>
      <c r="AZ14" s="74"/>
      <c r="BA14" s="74" t="s">
        <v>77</v>
      </c>
      <c r="BB14" s="74" t="s">
        <v>77</v>
      </c>
      <c r="BC14" s="74" t="s">
        <v>77</v>
      </c>
      <c r="BD14" s="74" t="s">
        <v>77</v>
      </c>
      <c r="BE14" s="74" t="s">
        <v>77</v>
      </c>
      <c r="BF14" s="14" t="s">
        <v>64</v>
      </c>
      <c r="BG14" s="14" t="s">
        <v>64</v>
      </c>
      <c r="BH14" s="14" t="s">
        <v>64</v>
      </c>
      <c r="BI14" s="14" t="s">
        <v>64</v>
      </c>
      <c r="BJ14" s="14" t="s">
        <v>64</v>
      </c>
      <c r="BK14" s="74"/>
      <c r="BL14" s="84"/>
    </row>
    <row r="15" spans="2:64" x14ac:dyDescent="0.2">
      <c r="C15" s="6" t="s">
        <v>36</v>
      </c>
      <c r="D15" s="7"/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/>
      <c r="R15" s="34"/>
      <c r="S15" s="38" t="s">
        <v>36</v>
      </c>
      <c r="T15" s="41"/>
      <c r="U15" s="41">
        <v>0</v>
      </c>
      <c r="V15" s="41">
        <v>0</v>
      </c>
      <c r="W15" s="41">
        <v>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/>
      <c r="AF15" s="34"/>
      <c r="AH15" s="84"/>
      <c r="AI15" s="71" t="s">
        <v>36</v>
      </c>
      <c r="AJ15" s="74"/>
      <c r="AK15" s="74">
        <v>0</v>
      </c>
      <c r="AL15" s="74">
        <v>0</v>
      </c>
      <c r="AM15" s="74">
        <v>0</v>
      </c>
      <c r="AN15" s="74">
        <v>0</v>
      </c>
      <c r="AO15" s="74">
        <v>0</v>
      </c>
      <c r="AP15" s="74">
        <v>0</v>
      </c>
      <c r="AQ15" s="74">
        <v>0</v>
      </c>
      <c r="AR15" s="74">
        <v>0</v>
      </c>
      <c r="AS15" s="74">
        <v>0</v>
      </c>
      <c r="AT15" s="74">
        <v>0</v>
      </c>
      <c r="AU15" s="74"/>
      <c r="AV15" s="84"/>
      <c r="AX15" s="84"/>
      <c r="AY15" s="71" t="s">
        <v>36</v>
      </c>
      <c r="AZ15" s="74"/>
      <c r="BA15" s="74">
        <v>0</v>
      </c>
      <c r="BB15" s="74">
        <v>0</v>
      </c>
      <c r="BC15" s="74">
        <v>0</v>
      </c>
      <c r="BD15" s="74">
        <v>0</v>
      </c>
      <c r="BE15" s="74">
        <v>0</v>
      </c>
      <c r="BF15" s="74">
        <v>0</v>
      </c>
      <c r="BG15" s="74">
        <v>0</v>
      </c>
      <c r="BH15" s="74">
        <v>0</v>
      </c>
      <c r="BI15" s="74">
        <v>0</v>
      </c>
      <c r="BJ15" s="74">
        <v>0</v>
      </c>
      <c r="BK15" s="74"/>
      <c r="BL15" s="84"/>
    </row>
    <row r="16" spans="2:64" x14ac:dyDescent="0.2">
      <c r="C16" s="6" t="s">
        <v>39</v>
      </c>
      <c r="D16" s="7"/>
      <c r="E16" s="7">
        <v>8</v>
      </c>
      <c r="F16" s="7">
        <v>8</v>
      </c>
      <c r="G16" s="7">
        <v>8</v>
      </c>
      <c r="H16" s="7">
        <v>8</v>
      </c>
      <c r="I16" s="7">
        <v>8</v>
      </c>
      <c r="J16" s="7">
        <v>8</v>
      </c>
      <c r="K16" s="7">
        <v>8</v>
      </c>
      <c r="L16" s="7">
        <v>8</v>
      </c>
      <c r="M16" s="7">
        <v>8</v>
      </c>
      <c r="N16" s="7">
        <v>8</v>
      </c>
      <c r="O16" s="7"/>
      <c r="R16" s="34"/>
      <c r="S16" s="38" t="s">
        <v>39</v>
      </c>
      <c r="T16" s="41"/>
      <c r="U16" s="41">
        <v>8</v>
      </c>
      <c r="V16" s="41">
        <v>8</v>
      </c>
      <c r="W16" s="41">
        <v>8</v>
      </c>
      <c r="X16" s="41">
        <v>8</v>
      </c>
      <c r="Y16" s="41">
        <v>8</v>
      </c>
      <c r="Z16" s="41">
        <v>8</v>
      </c>
      <c r="AA16" s="41">
        <v>8</v>
      </c>
      <c r="AB16" s="41">
        <v>8</v>
      </c>
      <c r="AC16" s="41">
        <v>8</v>
      </c>
      <c r="AD16" s="41">
        <v>8</v>
      </c>
      <c r="AE16" s="41"/>
      <c r="AF16" s="34"/>
      <c r="AH16" s="84"/>
      <c r="AI16" s="71" t="s">
        <v>39</v>
      </c>
      <c r="AJ16" s="74"/>
      <c r="AK16" s="74">
        <v>8</v>
      </c>
      <c r="AL16" s="74">
        <v>8</v>
      </c>
      <c r="AM16" s="74">
        <v>8</v>
      </c>
      <c r="AN16" s="74">
        <v>8</v>
      </c>
      <c r="AO16" s="74">
        <v>8</v>
      </c>
      <c r="AP16" s="74">
        <v>8</v>
      </c>
      <c r="AQ16" s="74">
        <v>8</v>
      </c>
      <c r="AR16" s="74">
        <v>8</v>
      </c>
      <c r="AS16" s="74">
        <v>8</v>
      </c>
      <c r="AT16" s="74">
        <v>8</v>
      </c>
      <c r="AU16" s="74"/>
      <c r="AV16" s="84"/>
      <c r="AX16" s="84"/>
      <c r="AY16" s="71" t="s">
        <v>39</v>
      </c>
      <c r="AZ16" s="74"/>
      <c r="BA16" s="74">
        <v>8</v>
      </c>
      <c r="BB16" s="74">
        <v>8</v>
      </c>
      <c r="BC16" s="74">
        <v>8</v>
      </c>
      <c r="BD16" s="74">
        <v>8</v>
      </c>
      <c r="BE16" s="74">
        <v>8</v>
      </c>
      <c r="BF16" s="74">
        <v>8</v>
      </c>
      <c r="BG16" s="74">
        <v>8</v>
      </c>
      <c r="BH16" s="74">
        <v>8</v>
      </c>
      <c r="BI16" s="74">
        <v>8</v>
      </c>
      <c r="BJ16" s="74">
        <v>8</v>
      </c>
      <c r="BK16" s="74"/>
      <c r="BL16" s="84"/>
    </row>
    <row r="17" spans="2:64" x14ac:dyDescent="0.2">
      <c r="C17" s="6" t="s">
        <v>42</v>
      </c>
      <c r="D17" s="7"/>
      <c r="E17" s="7">
        <v>16</v>
      </c>
      <c r="F17" s="7">
        <v>16</v>
      </c>
      <c r="G17" s="7">
        <v>16</v>
      </c>
      <c r="H17" s="7">
        <v>16</v>
      </c>
      <c r="I17" s="7">
        <v>16</v>
      </c>
      <c r="J17" s="7">
        <v>16</v>
      </c>
      <c r="K17" s="7">
        <v>16</v>
      </c>
      <c r="L17" s="7">
        <v>16</v>
      </c>
      <c r="M17" s="7">
        <v>16</v>
      </c>
      <c r="N17" s="7">
        <v>16</v>
      </c>
      <c r="O17" s="7"/>
      <c r="R17" s="34"/>
      <c r="S17" s="38" t="s">
        <v>42</v>
      </c>
      <c r="T17" s="41"/>
      <c r="U17" s="41">
        <v>16</v>
      </c>
      <c r="V17" s="41">
        <v>16</v>
      </c>
      <c r="W17" s="41">
        <v>16</v>
      </c>
      <c r="X17" s="41">
        <v>16</v>
      </c>
      <c r="Y17" s="41">
        <v>16</v>
      </c>
      <c r="Z17" s="41">
        <v>16</v>
      </c>
      <c r="AA17" s="41">
        <v>16</v>
      </c>
      <c r="AB17" s="41">
        <v>16</v>
      </c>
      <c r="AC17" s="41">
        <v>16</v>
      </c>
      <c r="AD17" s="41">
        <v>16</v>
      </c>
      <c r="AE17" s="41"/>
      <c r="AF17" s="34"/>
      <c r="AH17" s="84"/>
      <c r="AI17" s="71" t="s">
        <v>42</v>
      </c>
      <c r="AJ17" s="74"/>
      <c r="AK17" s="74">
        <v>16</v>
      </c>
      <c r="AL17" s="74">
        <v>16</v>
      </c>
      <c r="AM17" s="74">
        <v>16</v>
      </c>
      <c r="AN17" s="74">
        <v>16</v>
      </c>
      <c r="AO17" s="74">
        <v>16</v>
      </c>
      <c r="AP17" s="74">
        <v>16</v>
      </c>
      <c r="AQ17" s="74">
        <v>16</v>
      </c>
      <c r="AR17" s="74">
        <v>16</v>
      </c>
      <c r="AS17" s="74">
        <v>16</v>
      </c>
      <c r="AT17" s="74">
        <v>16</v>
      </c>
      <c r="AU17" s="74"/>
      <c r="AV17" s="84"/>
      <c r="AX17" s="84"/>
      <c r="AY17" s="71" t="s">
        <v>42</v>
      </c>
      <c r="AZ17" s="74"/>
      <c r="BA17" s="74">
        <v>16</v>
      </c>
      <c r="BB17" s="74">
        <v>16</v>
      </c>
      <c r="BC17" s="74">
        <v>16</v>
      </c>
      <c r="BD17" s="74">
        <v>16</v>
      </c>
      <c r="BE17" s="74">
        <v>16</v>
      </c>
      <c r="BF17" s="74">
        <v>16</v>
      </c>
      <c r="BG17" s="74">
        <v>16</v>
      </c>
      <c r="BH17" s="74">
        <v>16</v>
      </c>
      <c r="BI17" s="74">
        <v>16</v>
      </c>
      <c r="BJ17" s="74">
        <v>16</v>
      </c>
      <c r="BK17" s="74"/>
      <c r="BL17" s="84"/>
    </row>
    <row r="18" spans="2:64" x14ac:dyDescent="0.2">
      <c r="C18" s="6" t="s">
        <v>43</v>
      </c>
      <c r="D18" s="7"/>
      <c r="E18" s="7">
        <v>32</v>
      </c>
      <c r="F18" s="7">
        <v>32</v>
      </c>
      <c r="G18" s="7">
        <v>32</v>
      </c>
      <c r="H18" s="7">
        <v>32</v>
      </c>
      <c r="I18" s="7">
        <v>32</v>
      </c>
      <c r="J18" s="7">
        <v>32</v>
      </c>
      <c r="K18" s="7">
        <v>32</v>
      </c>
      <c r="L18" s="7">
        <v>32</v>
      </c>
      <c r="M18" s="7">
        <v>32</v>
      </c>
      <c r="N18" s="7">
        <v>32</v>
      </c>
      <c r="O18" s="7"/>
      <c r="R18" s="34"/>
      <c r="S18" s="38" t="s">
        <v>43</v>
      </c>
      <c r="T18" s="41"/>
      <c r="U18" s="41">
        <v>32</v>
      </c>
      <c r="V18" s="41">
        <v>32</v>
      </c>
      <c r="W18" s="41">
        <v>32</v>
      </c>
      <c r="X18" s="41">
        <v>32</v>
      </c>
      <c r="Y18" s="41">
        <v>32</v>
      </c>
      <c r="Z18" s="41">
        <v>32</v>
      </c>
      <c r="AA18" s="41">
        <v>32</v>
      </c>
      <c r="AB18" s="41">
        <v>32</v>
      </c>
      <c r="AC18" s="41">
        <v>32</v>
      </c>
      <c r="AD18" s="41">
        <v>32</v>
      </c>
      <c r="AE18" s="41"/>
      <c r="AF18" s="34"/>
      <c r="AH18" s="84"/>
      <c r="AI18" s="71" t="s">
        <v>43</v>
      </c>
      <c r="AJ18" s="74"/>
      <c r="AK18" s="74">
        <v>32</v>
      </c>
      <c r="AL18" s="74">
        <v>32</v>
      </c>
      <c r="AM18" s="74">
        <v>32</v>
      </c>
      <c r="AN18" s="74">
        <v>32</v>
      </c>
      <c r="AO18" s="74">
        <v>32</v>
      </c>
      <c r="AP18" s="74">
        <v>32</v>
      </c>
      <c r="AQ18" s="74">
        <v>32</v>
      </c>
      <c r="AR18" s="74">
        <v>32</v>
      </c>
      <c r="AS18" s="74">
        <v>32</v>
      </c>
      <c r="AT18" s="74">
        <v>32</v>
      </c>
      <c r="AU18" s="74"/>
      <c r="AV18" s="84"/>
      <c r="AX18" s="84"/>
      <c r="AY18" s="71" t="s">
        <v>43</v>
      </c>
      <c r="AZ18" s="74"/>
      <c r="BA18" s="74">
        <v>32</v>
      </c>
      <c r="BB18" s="74">
        <v>32</v>
      </c>
      <c r="BC18" s="74">
        <v>32</v>
      </c>
      <c r="BD18" s="74">
        <v>32</v>
      </c>
      <c r="BE18" s="74">
        <v>32</v>
      </c>
      <c r="BF18" s="74">
        <v>32</v>
      </c>
      <c r="BG18" s="74">
        <v>32</v>
      </c>
      <c r="BH18" s="74">
        <v>32</v>
      </c>
      <c r="BI18" s="74">
        <v>32</v>
      </c>
      <c r="BJ18" s="74">
        <v>32</v>
      </c>
      <c r="BK18" s="74"/>
      <c r="BL18" s="84"/>
    </row>
    <row r="19" spans="2:64" x14ac:dyDescent="0.2">
      <c r="C19" s="6" t="s">
        <v>44</v>
      </c>
      <c r="D19" s="7"/>
      <c r="E19" s="7">
        <v>64</v>
      </c>
      <c r="F19" s="7">
        <v>64</v>
      </c>
      <c r="G19" s="7">
        <v>64</v>
      </c>
      <c r="H19" s="7">
        <v>64</v>
      </c>
      <c r="I19" s="7">
        <v>64</v>
      </c>
      <c r="J19" s="7">
        <v>64</v>
      </c>
      <c r="K19" s="7">
        <v>64</v>
      </c>
      <c r="L19" s="7">
        <v>64</v>
      </c>
      <c r="M19" s="7">
        <v>64</v>
      </c>
      <c r="N19" s="7">
        <v>64</v>
      </c>
      <c r="O19" s="7"/>
      <c r="R19" s="34"/>
      <c r="S19" s="38" t="s">
        <v>44</v>
      </c>
      <c r="T19" s="41"/>
      <c r="U19" s="41">
        <v>64</v>
      </c>
      <c r="V19" s="41">
        <v>64</v>
      </c>
      <c r="W19" s="41">
        <v>64</v>
      </c>
      <c r="X19" s="41">
        <v>64</v>
      </c>
      <c r="Y19" s="41">
        <v>64</v>
      </c>
      <c r="Z19" s="41">
        <v>64</v>
      </c>
      <c r="AA19" s="41">
        <v>64</v>
      </c>
      <c r="AB19" s="41">
        <v>64</v>
      </c>
      <c r="AC19" s="41">
        <v>64</v>
      </c>
      <c r="AD19" s="41">
        <v>64</v>
      </c>
      <c r="AE19" s="41"/>
      <c r="AF19" s="34"/>
      <c r="AH19" s="84"/>
      <c r="AI19" s="71" t="s">
        <v>44</v>
      </c>
      <c r="AJ19" s="74"/>
      <c r="AK19" s="74">
        <v>64</v>
      </c>
      <c r="AL19" s="74">
        <v>64</v>
      </c>
      <c r="AM19" s="74">
        <v>64</v>
      </c>
      <c r="AN19" s="74">
        <v>64</v>
      </c>
      <c r="AO19" s="74">
        <v>64</v>
      </c>
      <c r="AP19" s="74">
        <v>64</v>
      </c>
      <c r="AQ19" s="74">
        <v>64</v>
      </c>
      <c r="AR19" s="74">
        <v>64</v>
      </c>
      <c r="AS19" s="74">
        <v>64</v>
      </c>
      <c r="AT19" s="74">
        <v>64</v>
      </c>
      <c r="AU19" s="74"/>
      <c r="AV19" s="84"/>
      <c r="AX19" s="84"/>
      <c r="AY19" s="71" t="s">
        <v>44</v>
      </c>
      <c r="AZ19" s="74"/>
      <c r="BA19" s="74">
        <v>64</v>
      </c>
      <c r="BB19" s="74">
        <v>64</v>
      </c>
      <c r="BC19" s="74">
        <v>64</v>
      </c>
      <c r="BD19" s="74">
        <v>64</v>
      </c>
      <c r="BE19" s="74">
        <v>64</v>
      </c>
      <c r="BF19" s="74">
        <v>64</v>
      </c>
      <c r="BG19" s="74">
        <v>64</v>
      </c>
      <c r="BH19" s="74">
        <v>64</v>
      </c>
      <c r="BI19" s="74">
        <v>64</v>
      </c>
      <c r="BJ19" s="74">
        <v>64</v>
      </c>
      <c r="BK19" s="74"/>
      <c r="BL19" s="84"/>
    </row>
    <row r="20" spans="2:64" x14ac:dyDescent="0.2">
      <c r="C20" s="6" t="s">
        <v>45</v>
      </c>
      <c r="D20" s="7"/>
      <c r="E20" s="7"/>
      <c r="F20" s="7"/>
      <c r="G20" s="7"/>
      <c r="H20" s="14"/>
      <c r="I20" s="14"/>
      <c r="J20" s="14"/>
      <c r="K20" s="7"/>
      <c r="L20" s="7"/>
      <c r="M20" s="7"/>
      <c r="N20" s="7"/>
      <c r="O20" s="7"/>
      <c r="R20" s="34"/>
      <c r="S20" s="38" t="s">
        <v>45</v>
      </c>
      <c r="T20" s="41"/>
      <c r="U20" s="41"/>
      <c r="V20" s="41"/>
      <c r="W20" s="41"/>
      <c r="X20" s="14"/>
      <c r="Y20" s="14"/>
      <c r="Z20" s="14"/>
      <c r="AA20" s="41"/>
      <c r="AB20" s="41"/>
      <c r="AC20" s="41"/>
      <c r="AD20" s="41"/>
      <c r="AE20" s="41"/>
      <c r="AF20" s="34"/>
      <c r="AH20" s="84"/>
      <c r="AI20" s="71" t="s">
        <v>45</v>
      </c>
      <c r="AJ20" s="74"/>
      <c r="AK20" s="74"/>
      <c r="AL20" s="74"/>
      <c r="AM20" s="74"/>
      <c r="AN20" s="14"/>
      <c r="AO20" s="14"/>
      <c r="AP20" s="14"/>
      <c r="AQ20" s="74"/>
      <c r="AR20" s="74"/>
      <c r="AS20" s="74"/>
      <c r="AT20" s="74"/>
      <c r="AU20" s="74"/>
      <c r="AV20" s="84"/>
      <c r="AX20" s="84"/>
      <c r="AY20" s="71" t="s">
        <v>45</v>
      </c>
      <c r="AZ20" s="74"/>
      <c r="BA20" s="74"/>
      <c r="BB20" s="74"/>
      <c r="BC20" s="74"/>
      <c r="BD20" s="14"/>
      <c r="BE20" s="14"/>
      <c r="BF20" s="14"/>
      <c r="BG20" s="74"/>
      <c r="BH20" s="74"/>
      <c r="BI20" s="74"/>
      <c r="BJ20" s="74"/>
      <c r="BK20" s="74"/>
      <c r="BL20" s="84"/>
    </row>
    <row r="21" spans="2:64" x14ac:dyDescent="0.2"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</row>
    <row r="22" spans="2:64" x14ac:dyDescent="0.2">
      <c r="B22" t="s">
        <v>0</v>
      </c>
      <c r="C22" t="s">
        <v>1</v>
      </c>
      <c r="R22" s="46" t="s">
        <v>0</v>
      </c>
      <c r="S22" s="46" t="s">
        <v>1</v>
      </c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H22" s="84" t="s">
        <v>0</v>
      </c>
      <c r="AI22" s="84" t="s">
        <v>1</v>
      </c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X22" s="84" t="s">
        <v>0</v>
      </c>
      <c r="AY22" s="84" t="s">
        <v>1</v>
      </c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</row>
    <row r="23" spans="2:64" x14ac:dyDescent="0.2"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</row>
    <row r="24" spans="2:64" x14ac:dyDescent="0.2">
      <c r="B24" t="s">
        <v>2</v>
      </c>
      <c r="C24" t="s">
        <v>97</v>
      </c>
      <c r="R24" s="46" t="s">
        <v>2</v>
      </c>
      <c r="S24" s="46" t="s">
        <v>118</v>
      </c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H24" s="84" t="s">
        <v>2</v>
      </c>
      <c r="AI24" s="84" t="s">
        <v>123</v>
      </c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X24" s="84" t="s">
        <v>2</v>
      </c>
      <c r="AY24" s="84" t="s">
        <v>195</v>
      </c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</row>
    <row r="25" spans="2:64" x14ac:dyDescent="0.2">
      <c r="B25" t="s">
        <v>3</v>
      </c>
      <c r="C25" t="s">
        <v>98</v>
      </c>
      <c r="R25" s="46" t="s">
        <v>3</v>
      </c>
      <c r="S25" s="46" t="s">
        <v>98</v>
      </c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H25" s="84" t="s">
        <v>3</v>
      </c>
      <c r="AI25" s="84" t="s">
        <v>98</v>
      </c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X25" s="84" t="s">
        <v>3</v>
      </c>
      <c r="AY25" s="84" t="s">
        <v>98</v>
      </c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</row>
    <row r="26" spans="2:64" x14ac:dyDescent="0.2">
      <c r="B26" t="s">
        <v>4</v>
      </c>
      <c r="C26" t="s">
        <v>110</v>
      </c>
      <c r="R26" s="46" t="s">
        <v>4</v>
      </c>
      <c r="S26" s="46" t="s">
        <v>110</v>
      </c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H26" s="84" t="s">
        <v>4</v>
      </c>
      <c r="AI26" s="84" t="s">
        <v>110</v>
      </c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X26" s="84" t="s">
        <v>4</v>
      </c>
      <c r="AY26" s="84" t="s">
        <v>110</v>
      </c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</row>
    <row r="27" spans="2:64" x14ac:dyDescent="0.2">
      <c r="B27" t="s">
        <v>6</v>
      </c>
      <c r="C27" s="1">
        <v>45679</v>
      </c>
      <c r="R27" s="46" t="s">
        <v>6</v>
      </c>
      <c r="S27" s="47">
        <v>45681</v>
      </c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H27" s="84" t="s">
        <v>6</v>
      </c>
      <c r="AI27" s="80">
        <v>45684</v>
      </c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X27" s="84" t="s">
        <v>6</v>
      </c>
      <c r="AY27" s="80">
        <v>45686</v>
      </c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</row>
    <row r="28" spans="2:64" x14ac:dyDescent="0.2">
      <c r="B28" t="s">
        <v>7</v>
      </c>
      <c r="C28" s="2">
        <v>0.58172453703703708</v>
      </c>
      <c r="R28" s="46" t="s">
        <v>7</v>
      </c>
      <c r="S28" s="48">
        <v>0.57738425925925929</v>
      </c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H28" s="84" t="s">
        <v>7</v>
      </c>
      <c r="AI28" s="81">
        <v>0.59005787037037039</v>
      </c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X28" s="84" t="s">
        <v>7</v>
      </c>
      <c r="AY28" s="81">
        <v>0.58827546296296296</v>
      </c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</row>
    <row r="29" spans="2:64" x14ac:dyDescent="0.2">
      <c r="B29" t="s">
        <v>8</v>
      </c>
      <c r="C29" t="s">
        <v>9</v>
      </c>
      <c r="R29" s="46" t="s">
        <v>8</v>
      </c>
      <c r="S29" s="46" t="s">
        <v>9</v>
      </c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H29" s="84" t="s">
        <v>8</v>
      </c>
      <c r="AI29" s="84" t="s">
        <v>9</v>
      </c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X29" s="84" t="s">
        <v>8</v>
      </c>
      <c r="AY29" s="84" t="s">
        <v>9</v>
      </c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</row>
    <row r="30" spans="2:64" x14ac:dyDescent="0.2">
      <c r="B30" t="s">
        <v>10</v>
      </c>
      <c r="C30" t="s">
        <v>11</v>
      </c>
      <c r="R30" s="46" t="s">
        <v>10</v>
      </c>
      <c r="S30" s="46" t="s">
        <v>11</v>
      </c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H30" s="84" t="s">
        <v>10</v>
      </c>
      <c r="AI30" s="84" t="s">
        <v>11</v>
      </c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X30" s="84" t="s">
        <v>10</v>
      </c>
      <c r="AY30" s="84" t="s">
        <v>11</v>
      </c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</row>
    <row r="31" spans="2:64" x14ac:dyDescent="0.2">
      <c r="B31" t="s">
        <v>12</v>
      </c>
      <c r="C31" t="s">
        <v>13</v>
      </c>
      <c r="R31" s="46" t="s">
        <v>12</v>
      </c>
      <c r="S31" s="46" t="s">
        <v>13</v>
      </c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H31" s="84" t="s">
        <v>12</v>
      </c>
      <c r="AI31" s="84" t="s">
        <v>13</v>
      </c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X31" s="84" t="s">
        <v>12</v>
      </c>
      <c r="AY31" s="84" t="s">
        <v>13</v>
      </c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</row>
    <row r="32" spans="2:64" x14ac:dyDescent="0.2"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</row>
    <row r="33" spans="2:64" ht="25.5" x14ac:dyDescent="0.2">
      <c r="B33" s="3" t="s">
        <v>14</v>
      </c>
      <c r="C33" s="4"/>
      <c r="R33" s="49" t="s">
        <v>14</v>
      </c>
      <c r="S33" s="50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H33" s="82" t="s">
        <v>14</v>
      </c>
      <c r="AI33" s="83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X33" s="82" t="s">
        <v>14</v>
      </c>
      <c r="AY33" s="83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</row>
    <row r="34" spans="2:64" x14ac:dyDescent="0.2">
      <c r="B34" t="s">
        <v>15</v>
      </c>
      <c r="C34" t="s">
        <v>16</v>
      </c>
      <c r="R34" s="46" t="s">
        <v>15</v>
      </c>
      <c r="S34" s="46" t="s">
        <v>16</v>
      </c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H34" s="84" t="s">
        <v>15</v>
      </c>
      <c r="AI34" s="84" t="s">
        <v>16</v>
      </c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X34" s="84" t="s">
        <v>15</v>
      </c>
      <c r="AY34" s="84" t="s">
        <v>16</v>
      </c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</row>
    <row r="35" spans="2:64" x14ac:dyDescent="0.2">
      <c r="B35" t="s">
        <v>17</v>
      </c>
      <c r="R35" s="46" t="s">
        <v>17</v>
      </c>
      <c r="S35" s="46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H35" s="84" t="s">
        <v>17</v>
      </c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X35" s="84" t="s">
        <v>17</v>
      </c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</row>
    <row r="36" spans="2:64" x14ac:dyDescent="0.2">
      <c r="B36" t="s">
        <v>67</v>
      </c>
      <c r="C36" t="s">
        <v>68</v>
      </c>
      <c r="R36" s="46" t="s">
        <v>67</v>
      </c>
      <c r="S36" s="46" t="s">
        <v>68</v>
      </c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H36" s="84" t="s">
        <v>67</v>
      </c>
      <c r="AI36" s="84" t="s">
        <v>68</v>
      </c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X36" s="84" t="s">
        <v>67</v>
      </c>
      <c r="AY36" s="84" t="s">
        <v>68</v>
      </c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</row>
    <row r="37" spans="2:64" x14ac:dyDescent="0.2">
      <c r="C37" t="s">
        <v>69</v>
      </c>
      <c r="R37" s="46"/>
      <c r="S37" s="46" t="s">
        <v>69</v>
      </c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H37" s="84"/>
      <c r="AI37" s="84" t="s">
        <v>69</v>
      </c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X37" s="84"/>
      <c r="AY37" s="84" t="s">
        <v>69</v>
      </c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</row>
    <row r="38" spans="2:64" x14ac:dyDescent="0.2">
      <c r="B38" t="s">
        <v>18</v>
      </c>
      <c r="C38" t="s">
        <v>19</v>
      </c>
      <c r="R38" s="46" t="s">
        <v>18</v>
      </c>
      <c r="S38" s="46" t="s">
        <v>19</v>
      </c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H38" s="84" t="s">
        <v>18</v>
      </c>
      <c r="AI38" s="84" t="s">
        <v>19</v>
      </c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X38" s="84" t="s">
        <v>18</v>
      </c>
      <c r="AY38" s="84" t="s">
        <v>19</v>
      </c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</row>
    <row r="39" spans="2:64" x14ac:dyDescent="0.2">
      <c r="C39" t="s">
        <v>20</v>
      </c>
      <c r="R39" s="46"/>
      <c r="S39" s="46" t="s">
        <v>20</v>
      </c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H39" s="84"/>
      <c r="AI39" s="84" t="s">
        <v>20</v>
      </c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X39" s="84"/>
      <c r="AY39" s="84" t="s">
        <v>20</v>
      </c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</row>
    <row r="40" spans="2:64" x14ac:dyDescent="0.2">
      <c r="C40" t="s">
        <v>21</v>
      </c>
      <c r="R40" s="46"/>
      <c r="S40" s="46" t="s">
        <v>21</v>
      </c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H40" s="84"/>
      <c r="AI40" s="84" t="s">
        <v>21</v>
      </c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X40" s="84"/>
      <c r="AY40" s="84" t="s">
        <v>21</v>
      </c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</row>
    <row r="41" spans="2:64" x14ac:dyDescent="0.2">
      <c r="C41" t="s">
        <v>22</v>
      </c>
      <c r="R41" s="46"/>
      <c r="S41" s="46" t="s">
        <v>22</v>
      </c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H41" s="84"/>
      <c r="AI41" s="84" t="s">
        <v>22</v>
      </c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X41" s="84"/>
      <c r="AY41" s="84" t="s">
        <v>22</v>
      </c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</row>
    <row r="42" spans="2:64" x14ac:dyDescent="0.2">
      <c r="C42" t="s">
        <v>23</v>
      </c>
      <c r="R42" s="46"/>
      <c r="S42" s="46" t="s">
        <v>23</v>
      </c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H42" s="84"/>
      <c r="AI42" s="84" t="s">
        <v>23</v>
      </c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X42" s="84"/>
      <c r="AY42" s="84" t="s">
        <v>23</v>
      </c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</row>
    <row r="43" spans="2:64" x14ac:dyDescent="0.2">
      <c r="C43" t="s">
        <v>24</v>
      </c>
      <c r="R43" s="46"/>
      <c r="S43" s="46" t="s">
        <v>24</v>
      </c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H43" s="84"/>
      <c r="AI43" s="84" t="s">
        <v>24</v>
      </c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X43" s="84"/>
      <c r="AY43" s="84" t="s">
        <v>24</v>
      </c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</row>
    <row r="44" spans="2:64" x14ac:dyDescent="0.2">
      <c r="C44" t="s">
        <v>25</v>
      </c>
      <c r="R44" s="46"/>
      <c r="S44" s="46" t="s">
        <v>25</v>
      </c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H44" s="84"/>
      <c r="AI44" s="84" t="s">
        <v>25</v>
      </c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X44" s="84"/>
      <c r="AY44" s="84" t="s">
        <v>25</v>
      </c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</row>
    <row r="45" spans="2:64" x14ac:dyDescent="0.2">
      <c r="C45" t="s">
        <v>26</v>
      </c>
      <c r="R45" s="46"/>
      <c r="S45" s="46" t="s">
        <v>26</v>
      </c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H45" s="84"/>
      <c r="AI45" s="84" t="s">
        <v>26</v>
      </c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X45" s="84"/>
      <c r="AY45" s="84" t="s">
        <v>26</v>
      </c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</row>
    <row r="46" spans="2:64" x14ac:dyDescent="0.2">
      <c r="C46" t="s">
        <v>27</v>
      </c>
      <c r="R46" s="46"/>
      <c r="S46" s="46" t="s">
        <v>27</v>
      </c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H46" s="84"/>
      <c r="AI46" s="84" t="s">
        <v>27</v>
      </c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X46" s="84"/>
      <c r="AY46" s="84" t="s">
        <v>27</v>
      </c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</row>
    <row r="47" spans="2:64" x14ac:dyDescent="0.2"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</row>
    <row r="48" spans="2:64" ht="25.5" x14ac:dyDescent="0.2">
      <c r="B48" s="3" t="s">
        <v>47</v>
      </c>
      <c r="C48" s="4"/>
      <c r="R48" s="35" t="s">
        <v>47</v>
      </c>
      <c r="S48" s="36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H48" s="82" t="s">
        <v>47</v>
      </c>
      <c r="AI48" s="83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X48" s="82" t="s">
        <v>47</v>
      </c>
      <c r="AY48" s="83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</row>
    <row r="49" spans="2:64" x14ac:dyDescent="0.2">
      <c r="B49" t="s">
        <v>48</v>
      </c>
      <c r="C49">
        <v>37</v>
      </c>
      <c r="R49" s="34" t="s">
        <v>48</v>
      </c>
      <c r="S49" s="34">
        <v>37</v>
      </c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H49" s="84" t="s">
        <v>48</v>
      </c>
      <c r="AI49" s="84">
        <v>37</v>
      </c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X49" s="84" t="s">
        <v>48</v>
      </c>
      <c r="AY49" s="84">
        <v>37</v>
      </c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</row>
    <row r="50" spans="2:64" x14ac:dyDescent="0.2"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</row>
    <row r="51" spans="2:64" x14ac:dyDescent="0.2">
      <c r="C51" s="5"/>
      <c r="D51" s="6">
        <v>1</v>
      </c>
      <c r="E51" s="6">
        <v>2</v>
      </c>
      <c r="F51" s="6">
        <v>3</v>
      </c>
      <c r="G51" s="6">
        <v>4</v>
      </c>
      <c r="H51" s="6">
        <v>5</v>
      </c>
      <c r="I51" s="6">
        <v>6</v>
      </c>
      <c r="J51" s="6">
        <v>7</v>
      </c>
      <c r="K51" s="6">
        <v>8</v>
      </c>
      <c r="L51" s="6">
        <v>9</v>
      </c>
      <c r="M51" s="6">
        <v>10</v>
      </c>
      <c r="N51" s="6">
        <v>11</v>
      </c>
      <c r="O51" s="6">
        <v>12</v>
      </c>
      <c r="R51" s="34"/>
      <c r="S51" s="37"/>
      <c r="T51" s="38">
        <v>1</v>
      </c>
      <c r="U51" s="38">
        <v>2</v>
      </c>
      <c r="V51" s="38">
        <v>3</v>
      </c>
      <c r="W51" s="38">
        <v>4</v>
      </c>
      <c r="X51" s="38">
        <v>5</v>
      </c>
      <c r="Y51" s="38">
        <v>6</v>
      </c>
      <c r="Z51" s="38">
        <v>7</v>
      </c>
      <c r="AA51" s="38">
        <v>8</v>
      </c>
      <c r="AB51" s="38">
        <v>9</v>
      </c>
      <c r="AC51" s="38">
        <v>10</v>
      </c>
      <c r="AD51" s="38">
        <v>11</v>
      </c>
      <c r="AE51" s="38">
        <v>12</v>
      </c>
      <c r="AF51" s="34"/>
      <c r="AH51" s="84"/>
      <c r="AI51" s="70"/>
      <c r="AJ51" s="71">
        <v>1</v>
      </c>
      <c r="AK51" s="71">
        <v>2</v>
      </c>
      <c r="AL51" s="71">
        <v>3</v>
      </c>
      <c r="AM51" s="71">
        <v>4</v>
      </c>
      <c r="AN51" s="71">
        <v>5</v>
      </c>
      <c r="AO51" s="71">
        <v>6</v>
      </c>
      <c r="AP51" s="71">
        <v>7</v>
      </c>
      <c r="AQ51" s="71">
        <v>8</v>
      </c>
      <c r="AR51" s="71">
        <v>9</v>
      </c>
      <c r="AS51" s="71">
        <v>10</v>
      </c>
      <c r="AT51" s="71">
        <v>11</v>
      </c>
      <c r="AU51" s="71">
        <v>12</v>
      </c>
      <c r="AV51" s="84"/>
      <c r="AX51" s="84"/>
      <c r="AY51" s="70"/>
      <c r="AZ51" s="71">
        <v>1</v>
      </c>
      <c r="BA51" s="71">
        <v>2</v>
      </c>
      <c r="BB51" s="71">
        <v>3</v>
      </c>
      <c r="BC51" s="71">
        <v>4</v>
      </c>
      <c r="BD51" s="71">
        <v>5</v>
      </c>
      <c r="BE51" s="71">
        <v>6</v>
      </c>
      <c r="BF51" s="71">
        <v>7</v>
      </c>
      <c r="BG51" s="71">
        <v>8</v>
      </c>
      <c r="BH51" s="71">
        <v>9</v>
      </c>
      <c r="BI51" s="71">
        <v>10</v>
      </c>
      <c r="BJ51" s="71">
        <v>11</v>
      </c>
      <c r="BK51" s="71">
        <v>12</v>
      </c>
      <c r="BL51" s="84"/>
    </row>
    <row r="52" spans="2:64" ht="18" x14ac:dyDescent="0.2">
      <c r="C52" s="6" t="s">
        <v>29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8" t="s">
        <v>47</v>
      </c>
      <c r="Q52" s="8"/>
      <c r="R52" s="34"/>
      <c r="S52" s="38" t="s">
        <v>29</v>
      </c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40" t="s">
        <v>47</v>
      </c>
      <c r="AH52" s="84"/>
      <c r="AI52" s="71" t="s">
        <v>29</v>
      </c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3" t="s">
        <v>47</v>
      </c>
      <c r="AX52" s="84"/>
      <c r="AY52" s="71" t="s">
        <v>29</v>
      </c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3" t="s">
        <v>47</v>
      </c>
    </row>
    <row r="53" spans="2:64" ht="18" x14ac:dyDescent="0.2">
      <c r="C53" s="6" t="s">
        <v>33</v>
      </c>
      <c r="D53" s="15"/>
      <c r="E53" s="13">
        <v>18905</v>
      </c>
      <c r="F53" s="13">
        <v>18764</v>
      </c>
      <c r="G53" s="13">
        <v>18701</v>
      </c>
      <c r="H53" s="13">
        <v>18653</v>
      </c>
      <c r="I53" s="13">
        <v>17341</v>
      </c>
      <c r="J53" s="12">
        <v>777137</v>
      </c>
      <c r="K53" s="12">
        <v>767436</v>
      </c>
      <c r="L53" s="12">
        <v>780763</v>
      </c>
      <c r="M53" s="12">
        <v>782600</v>
      </c>
      <c r="N53" s="12">
        <v>775417</v>
      </c>
      <c r="O53" s="15"/>
      <c r="P53" s="8" t="s">
        <v>47</v>
      </c>
      <c r="Q53" s="8"/>
      <c r="R53" s="34"/>
      <c r="S53" s="38" t="s">
        <v>33</v>
      </c>
      <c r="T53" s="39"/>
      <c r="U53" s="59">
        <v>20099</v>
      </c>
      <c r="V53" s="59">
        <v>22207</v>
      </c>
      <c r="W53" s="59">
        <v>22599</v>
      </c>
      <c r="X53" s="59">
        <v>22686</v>
      </c>
      <c r="Y53" s="59">
        <v>22518</v>
      </c>
      <c r="Z53" s="60">
        <v>789326</v>
      </c>
      <c r="AA53" s="60">
        <v>794516</v>
      </c>
      <c r="AB53" s="60">
        <v>807085</v>
      </c>
      <c r="AC53" s="60">
        <v>802477</v>
      </c>
      <c r="AD53" s="60">
        <v>796424</v>
      </c>
      <c r="AE53" s="39"/>
      <c r="AF53" s="40" t="s">
        <v>47</v>
      </c>
      <c r="AH53" s="84"/>
      <c r="AI53" s="71" t="s">
        <v>33</v>
      </c>
      <c r="AJ53" s="72"/>
      <c r="AK53" s="85">
        <v>23020</v>
      </c>
      <c r="AL53" s="85">
        <v>23431</v>
      </c>
      <c r="AM53" s="85">
        <v>24566</v>
      </c>
      <c r="AN53" s="85">
        <v>24550</v>
      </c>
      <c r="AO53" s="85">
        <v>24170</v>
      </c>
      <c r="AP53" s="86">
        <v>821554</v>
      </c>
      <c r="AQ53" s="86">
        <v>823171</v>
      </c>
      <c r="AR53" s="86">
        <v>807789</v>
      </c>
      <c r="AS53" s="86">
        <v>814269</v>
      </c>
      <c r="AT53" s="86">
        <v>811053</v>
      </c>
      <c r="AU53" s="72"/>
      <c r="AV53" s="73" t="s">
        <v>47</v>
      </c>
      <c r="AX53" s="84"/>
      <c r="AY53" s="71" t="s">
        <v>33</v>
      </c>
      <c r="AZ53" s="72"/>
      <c r="BA53" s="85">
        <v>22836</v>
      </c>
      <c r="BB53" s="85">
        <v>23009</v>
      </c>
      <c r="BC53" s="85">
        <v>23155</v>
      </c>
      <c r="BD53" s="85">
        <v>23470</v>
      </c>
      <c r="BE53" s="85">
        <v>24355</v>
      </c>
      <c r="BF53" s="86">
        <v>817221</v>
      </c>
      <c r="BG53" s="86">
        <v>787361</v>
      </c>
      <c r="BH53" s="86">
        <v>807391</v>
      </c>
      <c r="BI53" s="86">
        <v>799070</v>
      </c>
      <c r="BJ53" s="86">
        <v>800904</v>
      </c>
      <c r="BK53" s="72"/>
      <c r="BL53" s="73" t="s">
        <v>47</v>
      </c>
    </row>
    <row r="54" spans="2:64" ht="18" x14ac:dyDescent="0.2">
      <c r="C54" s="6" t="s">
        <v>36</v>
      </c>
      <c r="D54" s="15"/>
      <c r="E54" s="13">
        <v>35647</v>
      </c>
      <c r="F54" s="13">
        <v>34666</v>
      </c>
      <c r="G54" s="13">
        <v>34477</v>
      </c>
      <c r="H54" s="13">
        <v>31474</v>
      </c>
      <c r="I54" s="13">
        <v>35071</v>
      </c>
      <c r="J54" s="13">
        <v>35198</v>
      </c>
      <c r="K54" s="13">
        <v>34248</v>
      </c>
      <c r="L54" s="13">
        <v>32619</v>
      </c>
      <c r="M54" s="13">
        <v>32997</v>
      </c>
      <c r="N54" s="13">
        <v>32426</v>
      </c>
      <c r="O54" s="15"/>
      <c r="P54" s="8" t="s">
        <v>47</v>
      </c>
      <c r="Q54" s="8"/>
      <c r="R54" s="34"/>
      <c r="S54" s="38" t="s">
        <v>36</v>
      </c>
      <c r="T54" s="39"/>
      <c r="U54" s="61">
        <v>74117</v>
      </c>
      <c r="V54" s="61">
        <v>79122</v>
      </c>
      <c r="W54" s="61">
        <v>80791</v>
      </c>
      <c r="X54" s="61">
        <v>81662</v>
      </c>
      <c r="Y54" s="61">
        <v>87371</v>
      </c>
      <c r="Z54" s="61">
        <v>81606</v>
      </c>
      <c r="AA54" s="61">
        <v>82077</v>
      </c>
      <c r="AB54" s="61">
        <v>82041</v>
      </c>
      <c r="AC54" s="61">
        <v>86497</v>
      </c>
      <c r="AD54" s="61">
        <v>82231</v>
      </c>
      <c r="AE54" s="39"/>
      <c r="AF54" s="40" t="s">
        <v>47</v>
      </c>
      <c r="AH54" s="84"/>
      <c r="AI54" s="71" t="s">
        <v>36</v>
      </c>
      <c r="AJ54" s="72"/>
      <c r="AK54" s="91">
        <v>313540</v>
      </c>
      <c r="AL54" s="91">
        <v>349770</v>
      </c>
      <c r="AM54" s="92">
        <v>353693</v>
      </c>
      <c r="AN54" s="92">
        <v>365904</v>
      </c>
      <c r="AO54" s="91">
        <v>327680</v>
      </c>
      <c r="AP54" s="92">
        <v>354088</v>
      </c>
      <c r="AQ54" s="94">
        <v>417989</v>
      </c>
      <c r="AR54" s="92">
        <v>363182</v>
      </c>
      <c r="AS54" s="92">
        <v>356238</v>
      </c>
      <c r="AT54" s="90">
        <v>258992</v>
      </c>
      <c r="AU54" s="72"/>
      <c r="AV54" s="73" t="s">
        <v>47</v>
      </c>
      <c r="AX54" s="84"/>
      <c r="AY54" s="71" t="s">
        <v>36</v>
      </c>
      <c r="AZ54" s="72"/>
      <c r="BA54" s="95">
        <v>541141</v>
      </c>
      <c r="BB54" s="93">
        <v>508162</v>
      </c>
      <c r="BC54" s="93">
        <v>519702</v>
      </c>
      <c r="BD54" s="95">
        <v>545223</v>
      </c>
      <c r="BE54" s="95">
        <v>548945</v>
      </c>
      <c r="BF54" s="95">
        <v>528688</v>
      </c>
      <c r="BG54" s="95">
        <v>546853</v>
      </c>
      <c r="BH54" s="95">
        <v>541598</v>
      </c>
      <c r="BI54" s="95">
        <v>537883</v>
      </c>
      <c r="BJ54" s="93">
        <v>493409</v>
      </c>
      <c r="BK54" s="72"/>
      <c r="BL54" s="73" t="s">
        <v>47</v>
      </c>
    </row>
    <row r="55" spans="2:64" ht="18" x14ac:dyDescent="0.2">
      <c r="C55" s="6" t="s">
        <v>39</v>
      </c>
      <c r="D55" s="15"/>
      <c r="E55" s="13">
        <v>34798</v>
      </c>
      <c r="F55" s="13">
        <v>38998</v>
      </c>
      <c r="G55" s="13">
        <v>38908</v>
      </c>
      <c r="H55" s="13">
        <v>39669</v>
      </c>
      <c r="I55" s="13">
        <v>37987</v>
      </c>
      <c r="J55" s="13">
        <v>34405</v>
      </c>
      <c r="K55" s="13">
        <v>39031</v>
      </c>
      <c r="L55" s="13">
        <v>37356</v>
      </c>
      <c r="M55" s="13">
        <v>34194</v>
      </c>
      <c r="N55" s="13">
        <v>33024</v>
      </c>
      <c r="O55" s="15"/>
      <c r="P55" s="8" t="s">
        <v>47</v>
      </c>
      <c r="Q55" s="8"/>
      <c r="R55" s="34"/>
      <c r="S55" s="38" t="s">
        <v>39</v>
      </c>
      <c r="T55" s="39"/>
      <c r="U55" s="61">
        <v>83151</v>
      </c>
      <c r="V55" s="61">
        <v>90251</v>
      </c>
      <c r="W55" s="61">
        <v>90099</v>
      </c>
      <c r="X55" s="61">
        <v>84954</v>
      </c>
      <c r="Y55" s="61">
        <v>83343</v>
      </c>
      <c r="Z55" s="61">
        <v>75479</v>
      </c>
      <c r="AA55" s="61">
        <v>88993</v>
      </c>
      <c r="AB55" s="61">
        <v>84098</v>
      </c>
      <c r="AC55" s="61">
        <v>86542</v>
      </c>
      <c r="AD55" s="61">
        <v>85020</v>
      </c>
      <c r="AE55" s="39"/>
      <c r="AF55" s="40" t="s">
        <v>47</v>
      </c>
      <c r="AH55" s="84"/>
      <c r="AI55" s="71" t="s">
        <v>39</v>
      </c>
      <c r="AJ55" s="72"/>
      <c r="AK55" s="92">
        <v>379020</v>
      </c>
      <c r="AL55" s="92">
        <v>373016</v>
      </c>
      <c r="AM55" s="92">
        <v>380335</v>
      </c>
      <c r="AN55" s="92">
        <v>360817</v>
      </c>
      <c r="AO55" s="92">
        <v>356491</v>
      </c>
      <c r="AP55" s="91">
        <v>319703</v>
      </c>
      <c r="AQ55" s="92">
        <v>373660</v>
      </c>
      <c r="AR55" s="92">
        <v>375131</v>
      </c>
      <c r="AS55" s="91">
        <v>337072</v>
      </c>
      <c r="AT55" s="90">
        <v>285998</v>
      </c>
      <c r="AU55" s="72"/>
      <c r="AV55" s="73" t="s">
        <v>47</v>
      </c>
      <c r="AX55" s="84"/>
      <c r="AY55" s="71" t="s">
        <v>39</v>
      </c>
      <c r="AZ55" s="72"/>
      <c r="BA55" s="95">
        <v>554793</v>
      </c>
      <c r="BB55" s="93">
        <v>518803</v>
      </c>
      <c r="BC55" s="93">
        <v>521446</v>
      </c>
      <c r="BD55" s="95">
        <v>526208</v>
      </c>
      <c r="BE55" s="95">
        <v>537787</v>
      </c>
      <c r="BF55" s="93">
        <v>521273</v>
      </c>
      <c r="BG55" s="95">
        <v>544370</v>
      </c>
      <c r="BH55" s="95">
        <v>557178</v>
      </c>
      <c r="BI55" s="93">
        <v>510699</v>
      </c>
      <c r="BJ55" s="93">
        <v>494432</v>
      </c>
      <c r="BK55" s="72"/>
      <c r="BL55" s="73" t="s">
        <v>47</v>
      </c>
    </row>
    <row r="56" spans="2:64" ht="18" x14ac:dyDescent="0.2">
      <c r="C56" s="6" t="s">
        <v>42</v>
      </c>
      <c r="D56" s="15"/>
      <c r="E56" s="13">
        <v>33523</v>
      </c>
      <c r="F56" s="13">
        <v>36978</v>
      </c>
      <c r="G56" s="13">
        <v>36195</v>
      </c>
      <c r="H56" s="13">
        <v>36878</v>
      </c>
      <c r="I56" s="13">
        <v>36449</v>
      </c>
      <c r="J56" s="13">
        <v>37412</v>
      </c>
      <c r="K56" s="13">
        <v>36680</v>
      </c>
      <c r="L56" s="13">
        <v>38315</v>
      </c>
      <c r="M56" s="13">
        <v>35236</v>
      </c>
      <c r="N56" s="13">
        <v>33757</v>
      </c>
      <c r="O56" s="15"/>
      <c r="P56" s="8" t="s">
        <v>47</v>
      </c>
      <c r="Q56" s="8"/>
      <c r="R56" s="34"/>
      <c r="S56" s="38" t="s">
        <v>42</v>
      </c>
      <c r="T56" s="39"/>
      <c r="U56" s="61">
        <v>70527</v>
      </c>
      <c r="V56" s="61">
        <v>81731</v>
      </c>
      <c r="W56" s="61">
        <v>80647</v>
      </c>
      <c r="X56" s="61">
        <v>87385</v>
      </c>
      <c r="Y56" s="61">
        <v>86894</v>
      </c>
      <c r="Z56" s="61">
        <v>88923</v>
      </c>
      <c r="AA56" s="61">
        <v>84577</v>
      </c>
      <c r="AB56" s="61">
        <v>91310</v>
      </c>
      <c r="AC56" s="61">
        <v>81210</v>
      </c>
      <c r="AD56" s="61">
        <v>82912</v>
      </c>
      <c r="AE56" s="39"/>
      <c r="AF56" s="40" t="s">
        <v>47</v>
      </c>
      <c r="AH56" s="84"/>
      <c r="AI56" s="71" t="s">
        <v>42</v>
      </c>
      <c r="AJ56" s="72"/>
      <c r="AK56" s="91">
        <v>330234</v>
      </c>
      <c r="AL56" s="91">
        <v>352368</v>
      </c>
      <c r="AM56" s="92">
        <v>358874</v>
      </c>
      <c r="AN56" s="91">
        <v>323551</v>
      </c>
      <c r="AO56" s="92">
        <v>353020</v>
      </c>
      <c r="AP56" s="91">
        <v>349621</v>
      </c>
      <c r="AQ56" s="91">
        <v>321379</v>
      </c>
      <c r="AR56" s="92">
        <v>354399</v>
      </c>
      <c r="AS56" s="91">
        <v>321234</v>
      </c>
      <c r="AT56" s="90">
        <v>289825</v>
      </c>
      <c r="AU56" s="72"/>
      <c r="AV56" s="73" t="s">
        <v>47</v>
      </c>
      <c r="AX56" s="84"/>
      <c r="AY56" s="71" t="s">
        <v>42</v>
      </c>
      <c r="AZ56" s="72"/>
      <c r="BA56" s="95">
        <v>528137</v>
      </c>
      <c r="BB56" s="93">
        <v>518613</v>
      </c>
      <c r="BC56" s="93">
        <v>495746</v>
      </c>
      <c r="BD56" s="93">
        <v>499898</v>
      </c>
      <c r="BE56" s="93">
        <v>523903</v>
      </c>
      <c r="BF56" s="93">
        <v>510180</v>
      </c>
      <c r="BG56" s="93">
        <v>494142</v>
      </c>
      <c r="BH56" s="93">
        <v>511343</v>
      </c>
      <c r="BI56" s="93">
        <v>503101</v>
      </c>
      <c r="BJ56" s="93">
        <v>500215</v>
      </c>
      <c r="BK56" s="72"/>
      <c r="BL56" s="73" t="s">
        <v>47</v>
      </c>
    </row>
    <row r="57" spans="2:64" ht="18" x14ac:dyDescent="0.2">
      <c r="C57" s="6" t="s">
        <v>43</v>
      </c>
      <c r="D57" s="15"/>
      <c r="E57" s="13">
        <v>33401</v>
      </c>
      <c r="F57" s="13">
        <v>35084</v>
      </c>
      <c r="G57" s="13">
        <v>37889</v>
      </c>
      <c r="H57" s="13">
        <v>38855</v>
      </c>
      <c r="I57" s="13">
        <v>38705</v>
      </c>
      <c r="J57" s="13">
        <v>36496</v>
      </c>
      <c r="K57" s="13">
        <v>38845</v>
      </c>
      <c r="L57" s="13">
        <v>37576</v>
      </c>
      <c r="M57" s="13">
        <v>35912</v>
      </c>
      <c r="N57" s="13">
        <v>33886</v>
      </c>
      <c r="O57" s="15"/>
      <c r="P57" s="8" t="s">
        <v>47</v>
      </c>
      <c r="Q57" s="8"/>
      <c r="R57" s="34"/>
      <c r="S57" s="38" t="s">
        <v>43</v>
      </c>
      <c r="T57" s="39"/>
      <c r="U57" s="61">
        <v>87561</v>
      </c>
      <c r="V57" s="61">
        <v>81406</v>
      </c>
      <c r="W57" s="61">
        <v>88926</v>
      </c>
      <c r="X57" s="61">
        <v>83715</v>
      </c>
      <c r="Y57" s="61">
        <v>84064</v>
      </c>
      <c r="Z57" s="61">
        <v>79732</v>
      </c>
      <c r="AA57" s="61">
        <v>85584</v>
      </c>
      <c r="AB57" s="61">
        <v>91386</v>
      </c>
      <c r="AC57" s="61">
        <v>85031</v>
      </c>
      <c r="AD57" s="61">
        <v>89861</v>
      </c>
      <c r="AE57" s="39"/>
      <c r="AF57" s="40" t="s">
        <v>47</v>
      </c>
      <c r="AH57" s="84"/>
      <c r="AI57" s="71" t="s">
        <v>43</v>
      </c>
      <c r="AJ57" s="72"/>
      <c r="AK57" s="92">
        <v>361776</v>
      </c>
      <c r="AL57" s="91">
        <v>345547</v>
      </c>
      <c r="AM57" s="91">
        <v>347852</v>
      </c>
      <c r="AN57" s="91">
        <v>323790</v>
      </c>
      <c r="AO57" s="91">
        <v>338218</v>
      </c>
      <c r="AP57" s="91">
        <v>317262</v>
      </c>
      <c r="AQ57" s="91">
        <v>335246</v>
      </c>
      <c r="AR57" s="92">
        <v>380500</v>
      </c>
      <c r="AS57" s="91">
        <v>324249</v>
      </c>
      <c r="AT57" s="90">
        <v>292997</v>
      </c>
      <c r="AU57" s="72"/>
      <c r="AV57" s="73" t="s">
        <v>47</v>
      </c>
      <c r="AX57" s="84"/>
      <c r="AY57" s="71" t="s">
        <v>43</v>
      </c>
      <c r="AZ57" s="72"/>
      <c r="BA57" s="95">
        <v>554015</v>
      </c>
      <c r="BB57" s="93">
        <v>516390</v>
      </c>
      <c r="BC57" s="93">
        <v>516860</v>
      </c>
      <c r="BD57" s="93">
        <v>502047</v>
      </c>
      <c r="BE57" s="93">
        <v>489232</v>
      </c>
      <c r="BF57" s="93">
        <v>521154</v>
      </c>
      <c r="BG57" s="93">
        <v>499384</v>
      </c>
      <c r="BH57" s="94">
        <v>444844</v>
      </c>
      <c r="BI57" s="93">
        <v>496021</v>
      </c>
      <c r="BJ57" s="93">
        <v>515589</v>
      </c>
      <c r="BK57" s="72"/>
      <c r="BL57" s="73" t="s">
        <v>47</v>
      </c>
    </row>
    <row r="58" spans="2:64" ht="18" x14ac:dyDescent="0.2">
      <c r="C58" s="6" t="s">
        <v>44</v>
      </c>
      <c r="D58" s="15"/>
      <c r="E58" s="13">
        <v>30770</v>
      </c>
      <c r="F58" s="13">
        <v>34087</v>
      </c>
      <c r="G58" s="13">
        <v>32391</v>
      </c>
      <c r="H58" s="13">
        <v>32618</v>
      </c>
      <c r="I58" s="13">
        <v>31827</v>
      </c>
      <c r="J58" s="13">
        <v>32630</v>
      </c>
      <c r="K58" s="13">
        <v>33856</v>
      </c>
      <c r="L58" s="13">
        <v>31895</v>
      </c>
      <c r="M58" s="13">
        <v>33679</v>
      </c>
      <c r="N58" s="13">
        <v>34380</v>
      </c>
      <c r="O58" s="15"/>
      <c r="P58" s="8" t="s">
        <v>47</v>
      </c>
      <c r="Q58" s="8"/>
      <c r="R58" s="34"/>
      <c r="S58" s="38" t="s">
        <v>44</v>
      </c>
      <c r="T58" s="39"/>
      <c r="U58" s="61">
        <v>81498</v>
      </c>
      <c r="V58" s="61">
        <v>83751</v>
      </c>
      <c r="W58" s="61">
        <v>75844</v>
      </c>
      <c r="X58" s="61">
        <v>77291</v>
      </c>
      <c r="Y58" s="61">
        <v>80864</v>
      </c>
      <c r="Z58" s="61">
        <v>84472</v>
      </c>
      <c r="AA58" s="61">
        <v>84615</v>
      </c>
      <c r="AB58" s="61">
        <v>79177</v>
      </c>
      <c r="AC58" s="61">
        <v>77933</v>
      </c>
      <c r="AD58" s="61">
        <v>84467</v>
      </c>
      <c r="AE58" s="39"/>
      <c r="AF58" s="40" t="s">
        <v>47</v>
      </c>
      <c r="AH58" s="84"/>
      <c r="AI58" s="71" t="s">
        <v>44</v>
      </c>
      <c r="AJ58" s="72"/>
      <c r="AK58" s="91">
        <v>305877</v>
      </c>
      <c r="AL58" s="91">
        <v>330641</v>
      </c>
      <c r="AM58" s="91">
        <v>297209</v>
      </c>
      <c r="AN58" s="91">
        <v>306155</v>
      </c>
      <c r="AO58" s="91">
        <v>317222</v>
      </c>
      <c r="AP58" s="91">
        <v>299937</v>
      </c>
      <c r="AQ58" s="91">
        <v>328810</v>
      </c>
      <c r="AR58" s="91">
        <v>302072</v>
      </c>
      <c r="AS58" s="90">
        <v>286797</v>
      </c>
      <c r="AT58" s="90">
        <v>241611</v>
      </c>
      <c r="AU58" s="72"/>
      <c r="AV58" s="73" t="s">
        <v>47</v>
      </c>
      <c r="AX58" s="84"/>
      <c r="AY58" s="71" t="s">
        <v>44</v>
      </c>
      <c r="AZ58" s="72"/>
      <c r="BA58" s="95">
        <v>532312</v>
      </c>
      <c r="BB58" s="95">
        <v>542956</v>
      </c>
      <c r="BC58" s="93">
        <v>509562</v>
      </c>
      <c r="BD58" s="93">
        <v>510474</v>
      </c>
      <c r="BE58" s="93">
        <v>514989</v>
      </c>
      <c r="BF58" s="93">
        <v>511024</v>
      </c>
      <c r="BG58" s="93">
        <v>494160</v>
      </c>
      <c r="BH58" s="93">
        <v>487906</v>
      </c>
      <c r="BI58" s="93">
        <v>505494</v>
      </c>
      <c r="BJ58" s="93">
        <v>469576</v>
      </c>
      <c r="BK58" s="72"/>
      <c r="BL58" s="73" t="s">
        <v>47</v>
      </c>
    </row>
    <row r="59" spans="2:64" ht="18" x14ac:dyDescent="0.2">
      <c r="C59" s="6" t="s">
        <v>45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8" t="s">
        <v>47</v>
      </c>
      <c r="Q59" s="8"/>
      <c r="R59" s="34"/>
      <c r="S59" s="38" t="s">
        <v>45</v>
      </c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40" t="s">
        <v>47</v>
      </c>
      <c r="AH59" s="84"/>
      <c r="AI59" s="71" t="s">
        <v>45</v>
      </c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3" t="s">
        <v>47</v>
      </c>
      <c r="AX59" s="84"/>
      <c r="AY59" s="71" t="s">
        <v>45</v>
      </c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3" t="s">
        <v>47</v>
      </c>
    </row>
    <row r="60" spans="2:64" x14ac:dyDescent="0.2"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</row>
    <row r="61" spans="2:64" ht="38.25" x14ac:dyDescent="0.2">
      <c r="B61" s="3" t="s">
        <v>49</v>
      </c>
      <c r="C61" s="4"/>
      <c r="R61" s="35" t="s">
        <v>49</v>
      </c>
      <c r="S61" s="36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H61" s="82" t="s">
        <v>49</v>
      </c>
      <c r="AI61" s="83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X61" s="82" t="s">
        <v>49</v>
      </c>
      <c r="AY61" s="83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</row>
    <row r="62" spans="2:64" x14ac:dyDescent="0.2"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</row>
    <row r="63" spans="2:64" x14ac:dyDescent="0.2">
      <c r="C63" s="5"/>
      <c r="D63" s="6">
        <v>1</v>
      </c>
      <c r="E63" s="6">
        <v>2</v>
      </c>
      <c r="F63" s="6">
        <v>3</v>
      </c>
      <c r="G63" s="6">
        <v>4</v>
      </c>
      <c r="H63" s="6">
        <v>5</v>
      </c>
      <c r="I63" s="6">
        <v>6</v>
      </c>
      <c r="J63" s="6">
        <v>7</v>
      </c>
      <c r="K63" s="6">
        <v>8</v>
      </c>
      <c r="L63" s="6">
        <v>9</v>
      </c>
      <c r="M63" s="6">
        <v>10</v>
      </c>
      <c r="N63" s="6">
        <v>11</v>
      </c>
      <c r="O63" s="6">
        <v>12</v>
      </c>
      <c r="R63" s="34"/>
      <c r="S63" s="37"/>
      <c r="T63" s="38">
        <v>1</v>
      </c>
      <c r="U63" s="38">
        <v>2</v>
      </c>
      <c r="V63" s="38">
        <v>3</v>
      </c>
      <c r="W63" s="38">
        <v>4</v>
      </c>
      <c r="X63" s="38">
        <v>5</v>
      </c>
      <c r="Y63" s="38">
        <v>6</v>
      </c>
      <c r="Z63" s="38">
        <v>7</v>
      </c>
      <c r="AA63" s="38">
        <v>8</v>
      </c>
      <c r="AB63" s="38">
        <v>9</v>
      </c>
      <c r="AC63" s="38">
        <v>10</v>
      </c>
      <c r="AD63" s="38">
        <v>11</v>
      </c>
      <c r="AE63" s="38">
        <v>12</v>
      </c>
      <c r="AF63" s="34"/>
      <c r="AH63" s="84"/>
      <c r="AI63" s="70"/>
      <c r="AJ63" s="71">
        <v>1</v>
      </c>
      <c r="AK63" s="71">
        <v>2</v>
      </c>
      <c r="AL63" s="71">
        <v>3</v>
      </c>
      <c r="AM63" s="71">
        <v>4</v>
      </c>
      <c r="AN63" s="71">
        <v>5</v>
      </c>
      <c r="AO63" s="71">
        <v>6</v>
      </c>
      <c r="AP63" s="71">
        <v>7</v>
      </c>
      <c r="AQ63" s="71">
        <v>8</v>
      </c>
      <c r="AR63" s="71">
        <v>9</v>
      </c>
      <c r="AS63" s="71">
        <v>10</v>
      </c>
      <c r="AT63" s="71">
        <v>11</v>
      </c>
      <c r="AU63" s="71">
        <v>12</v>
      </c>
      <c r="AV63" s="84"/>
      <c r="AX63" s="84"/>
      <c r="AY63" s="70"/>
      <c r="AZ63" s="71">
        <v>1</v>
      </c>
      <c r="BA63" s="71">
        <v>2</v>
      </c>
      <c r="BB63" s="71">
        <v>3</v>
      </c>
      <c r="BC63" s="71">
        <v>4</v>
      </c>
      <c r="BD63" s="71">
        <v>5</v>
      </c>
      <c r="BE63" s="71">
        <v>6</v>
      </c>
      <c r="BF63" s="71">
        <v>7</v>
      </c>
      <c r="BG63" s="71">
        <v>8</v>
      </c>
      <c r="BH63" s="71">
        <v>9</v>
      </c>
      <c r="BI63" s="71">
        <v>10</v>
      </c>
      <c r="BJ63" s="71">
        <v>11</v>
      </c>
      <c r="BK63" s="71">
        <v>12</v>
      </c>
      <c r="BL63" s="84"/>
    </row>
    <row r="64" spans="2:64" ht="27" x14ac:dyDescent="0.2">
      <c r="C64" s="6" t="s">
        <v>29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8" t="s">
        <v>49</v>
      </c>
      <c r="R64" s="34"/>
      <c r="S64" s="38" t="s">
        <v>29</v>
      </c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40" t="s">
        <v>49</v>
      </c>
      <c r="AH64" s="84"/>
      <c r="AI64" s="71" t="s">
        <v>29</v>
      </c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3" t="s">
        <v>49</v>
      </c>
      <c r="AX64" s="84"/>
      <c r="AY64" s="71" t="s">
        <v>29</v>
      </c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3" t="s">
        <v>49</v>
      </c>
    </row>
    <row r="65" spans="2:64" ht="27" x14ac:dyDescent="0.2">
      <c r="C65" s="6" t="s">
        <v>33</v>
      </c>
      <c r="D65" s="15"/>
      <c r="E65" s="13">
        <f>E53-ROUND(AVERAGE($E$53:$I$53),0)</f>
        <v>432</v>
      </c>
      <c r="F65" s="13">
        <f t="shared" ref="F65:N65" si="0">F53-ROUND(AVERAGE($E$53:$I$53),0)</f>
        <v>291</v>
      </c>
      <c r="G65" s="13">
        <f t="shared" si="0"/>
        <v>228</v>
      </c>
      <c r="H65" s="13">
        <f t="shared" si="0"/>
        <v>180</v>
      </c>
      <c r="I65" s="13">
        <f t="shared" si="0"/>
        <v>-1132</v>
      </c>
      <c r="J65" s="13">
        <f t="shared" si="0"/>
        <v>758664</v>
      </c>
      <c r="K65" s="13">
        <f t="shared" si="0"/>
        <v>748963</v>
      </c>
      <c r="L65" s="13">
        <f t="shared" si="0"/>
        <v>762290</v>
      </c>
      <c r="M65" s="13">
        <f t="shared" si="0"/>
        <v>764127</v>
      </c>
      <c r="N65" s="13">
        <f t="shared" si="0"/>
        <v>756944</v>
      </c>
      <c r="O65" s="15"/>
      <c r="P65" s="8" t="s">
        <v>49</v>
      </c>
      <c r="R65" s="34"/>
      <c r="S65" s="38" t="s">
        <v>33</v>
      </c>
      <c r="T65" s="39"/>
      <c r="U65" s="42">
        <f>U53-ROUND(AVERAGE($U$53:$Y$53),0)</f>
        <v>-1923</v>
      </c>
      <c r="V65" s="85">
        <f t="shared" ref="V65:AD65" si="1">V53-ROUND(AVERAGE($U$53:$Y$53),0)</f>
        <v>185</v>
      </c>
      <c r="W65" s="85">
        <f t="shared" si="1"/>
        <v>577</v>
      </c>
      <c r="X65" s="85">
        <f t="shared" si="1"/>
        <v>664</v>
      </c>
      <c r="Y65" s="85">
        <f t="shared" si="1"/>
        <v>496</v>
      </c>
      <c r="Z65" s="85">
        <f t="shared" si="1"/>
        <v>767304</v>
      </c>
      <c r="AA65" s="85">
        <f t="shared" si="1"/>
        <v>772494</v>
      </c>
      <c r="AB65" s="85">
        <f t="shared" si="1"/>
        <v>785063</v>
      </c>
      <c r="AC65" s="85">
        <f t="shared" si="1"/>
        <v>780455</v>
      </c>
      <c r="AD65" s="85">
        <f t="shared" si="1"/>
        <v>774402</v>
      </c>
      <c r="AE65" s="39"/>
      <c r="AF65" s="40" t="s">
        <v>49</v>
      </c>
      <c r="AH65" s="84"/>
      <c r="AI65" s="71" t="s">
        <v>33</v>
      </c>
      <c r="AJ65" s="72"/>
      <c r="AK65" s="85">
        <f>AK53-ROUND(AVERAGE($AK$53:$AO$53),0)</f>
        <v>-927</v>
      </c>
      <c r="AL65" s="85">
        <f t="shared" ref="AL65:AT65" si="2">AL53-ROUND(AVERAGE($AK$53:$AO$53),0)</f>
        <v>-516</v>
      </c>
      <c r="AM65" s="85">
        <f t="shared" si="2"/>
        <v>619</v>
      </c>
      <c r="AN65" s="85">
        <f t="shared" si="2"/>
        <v>603</v>
      </c>
      <c r="AO65" s="85">
        <f t="shared" si="2"/>
        <v>223</v>
      </c>
      <c r="AP65" s="85">
        <f t="shared" si="2"/>
        <v>797607</v>
      </c>
      <c r="AQ65" s="85">
        <f t="shared" si="2"/>
        <v>799224</v>
      </c>
      <c r="AR65" s="85">
        <f t="shared" si="2"/>
        <v>783842</v>
      </c>
      <c r="AS65" s="85">
        <f t="shared" si="2"/>
        <v>790322</v>
      </c>
      <c r="AT65" s="85">
        <f t="shared" si="2"/>
        <v>787106</v>
      </c>
      <c r="AU65" s="72"/>
      <c r="AV65" s="73" t="s">
        <v>49</v>
      </c>
      <c r="AX65" s="84"/>
      <c r="AY65" s="71" t="s">
        <v>33</v>
      </c>
      <c r="AZ65" s="72"/>
      <c r="BA65" s="85">
        <f>BA53-ROUND(AVERAGE($BA$53:$BE$53),0)</f>
        <v>-529</v>
      </c>
      <c r="BB65" s="85">
        <f t="shared" ref="BB65:BJ65" si="3">BB53-ROUND(AVERAGE($BA$53:$BE$53),0)</f>
        <v>-356</v>
      </c>
      <c r="BC65" s="85">
        <f t="shared" si="3"/>
        <v>-210</v>
      </c>
      <c r="BD65" s="85">
        <f t="shared" si="3"/>
        <v>105</v>
      </c>
      <c r="BE65" s="85">
        <f t="shared" si="3"/>
        <v>990</v>
      </c>
      <c r="BF65" s="85">
        <f t="shared" si="3"/>
        <v>793856</v>
      </c>
      <c r="BG65" s="85">
        <f t="shared" si="3"/>
        <v>763996</v>
      </c>
      <c r="BH65" s="85">
        <f t="shared" si="3"/>
        <v>784026</v>
      </c>
      <c r="BI65" s="85">
        <f t="shared" si="3"/>
        <v>775705</v>
      </c>
      <c r="BJ65" s="85">
        <f t="shared" si="3"/>
        <v>777539</v>
      </c>
      <c r="BK65" s="72"/>
      <c r="BL65" s="73" t="s">
        <v>49</v>
      </c>
    </row>
    <row r="66" spans="2:64" ht="27" x14ac:dyDescent="0.2">
      <c r="C66" s="6" t="s">
        <v>36</v>
      </c>
      <c r="D66" s="15"/>
      <c r="E66" s="13">
        <f t="shared" ref="E66:N66" si="4">E54-ROUND(AVERAGE($E$53:$I$53),0)</f>
        <v>17174</v>
      </c>
      <c r="F66" s="13">
        <f t="shared" si="4"/>
        <v>16193</v>
      </c>
      <c r="G66" s="13">
        <f t="shared" si="4"/>
        <v>16004</v>
      </c>
      <c r="H66" s="13">
        <f t="shared" si="4"/>
        <v>13001</v>
      </c>
      <c r="I66" s="13">
        <f t="shared" si="4"/>
        <v>16598</v>
      </c>
      <c r="J66" s="13">
        <f t="shared" si="4"/>
        <v>16725</v>
      </c>
      <c r="K66" s="13">
        <f t="shared" si="4"/>
        <v>15775</v>
      </c>
      <c r="L66" s="13">
        <f t="shared" si="4"/>
        <v>14146</v>
      </c>
      <c r="M66" s="13">
        <f t="shared" si="4"/>
        <v>14524</v>
      </c>
      <c r="N66" s="13">
        <f t="shared" si="4"/>
        <v>13953</v>
      </c>
      <c r="O66" s="15"/>
      <c r="P66" s="8" t="s">
        <v>49</v>
      </c>
      <c r="R66" s="34"/>
      <c r="S66" s="38" t="s">
        <v>36</v>
      </c>
      <c r="T66" s="39"/>
      <c r="U66" s="85">
        <f t="shared" ref="U66:AD70" si="5">U54-ROUND(AVERAGE($U$53:$Y$53),0)</f>
        <v>52095</v>
      </c>
      <c r="V66" s="85">
        <f t="shared" si="5"/>
        <v>57100</v>
      </c>
      <c r="W66" s="85">
        <f t="shared" si="5"/>
        <v>58769</v>
      </c>
      <c r="X66" s="85">
        <f t="shared" si="5"/>
        <v>59640</v>
      </c>
      <c r="Y66" s="85">
        <f t="shared" si="5"/>
        <v>65349</v>
      </c>
      <c r="Z66" s="85">
        <f t="shared" si="5"/>
        <v>59584</v>
      </c>
      <c r="AA66" s="85">
        <f t="shared" si="5"/>
        <v>60055</v>
      </c>
      <c r="AB66" s="85">
        <f t="shared" si="5"/>
        <v>60019</v>
      </c>
      <c r="AC66" s="85">
        <f t="shared" si="5"/>
        <v>64475</v>
      </c>
      <c r="AD66" s="85">
        <f t="shared" si="5"/>
        <v>60209</v>
      </c>
      <c r="AE66" s="39"/>
      <c r="AF66" s="40" t="s">
        <v>49</v>
      </c>
      <c r="AH66" s="84"/>
      <c r="AI66" s="71" t="s">
        <v>36</v>
      </c>
      <c r="AJ66" s="72"/>
      <c r="AK66" s="85">
        <f t="shared" ref="AK66:AT66" si="6">AK54-ROUND(AVERAGE($AK$53:$AO$53),0)</f>
        <v>289593</v>
      </c>
      <c r="AL66" s="85">
        <f t="shared" si="6"/>
        <v>325823</v>
      </c>
      <c r="AM66" s="85">
        <f t="shared" si="6"/>
        <v>329746</v>
      </c>
      <c r="AN66" s="85">
        <f t="shared" si="6"/>
        <v>341957</v>
      </c>
      <c r="AO66" s="85">
        <f t="shared" si="6"/>
        <v>303733</v>
      </c>
      <c r="AP66" s="85">
        <f t="shared" si="6"/>
        <v>330141</v>
      </c>
      <c r="AQ66" s="85">
        <f t="shared" si="6"/>
        <v>394042</v>
      </c>
      <c r="AR66" s="85">
        <f t="shared" si="6"/>
        <v>339235</v>
      </c>
      <c r="AS66" s="85">
        <f t="shared" si="6"/>
        <v>332291</v>
      </c>
      <c r="AT66" s="85">
        <f t="shared" si="6"/>
        <v>235045</v>
      </c>
      <c r="AU66" s="72"/>
      <c r="AV66" s="73" t="s">
        <v>49</v>
      </c>
      <c r="AX66" s="84"/>
      <c r="AY66" s="71" t="s">
        <v>36</v>
      </c>
      <c r="AZ66" s="72"/>
      <c r="BA66" s="85">
        <f t="shared" ref="BA66:BJ70" si="7">BA54-ROUND(AVERAGE($BA$53:$BE$53),0)</f>
        <v>517776</v>
      </c>
      <c r="BB66" s="85">
        <f t="shared" si="7"/>
        <v>484797</v>
      </c>
      <c r="BC66" s="85">
        <f t="shared" si="7"/>
        <v>496337</v>
      </c>
      <c r="BD66" s="85">
        <f t="shared" si="7"/>
        <v>521858</v>
      </c>
      <c r="BE66" s="85">
        <f t="shared" si="7"/>
        <v>525580</v>
      </c>
      <c r="BF66" s="85">
        <f t="shared" si="7"/>
        <v>505323</v>
      </c>
      <c r="BG66" s="85">
        <f t="shared" si="7"/>
        <v>523488</v>
      </c>
      <c r="BH66" s="85">
        <f t="shared" si="7"/>
        <v>518233</v>
      </c>
      <c r="BI66" s="85">
        <f t="shared" si="7"/>
        <v>514518</v>
      </c>
      <c r="BJ66" s="85">
        <f t="shared" si="7"/>
        <v>470044</v>
      </c>
      <c r="BK66" s="72"/>
      <c r="BL66" s="73" t="s">
        <v>49</v>
      </c>
    </row>
    <row r="67" spans="2:64" ht="27" x14ac:dyDescent="0.2">
      <c r="C67" s="6" t="s">
        <v>39</v>
      </c>
      <c r="D67" s="15"/>
      <c r="E67" s="13">
        <f t="shared" ref="E67:N67" si="8">E55-ROUND(AVERAGE($E$53:$I$53),0)</f>
        <v>16325</v>
      </c>
      <c r="F67" s="13">
        <f t="shared" si="8"/>
        <v>20525</v>
      </c>
      <c r="G67" s="13">
        <f t="shared" si="8"/>
        <v>20435</v>
      </c>
      <c r="H67" s="13">
        <f t="shared" si="8"/>
        <v>21196</v>
      </c>
      <c r="I67" s="13">
        <f t="shared" si="8"/>
        <v>19514</v>
      </c>
      <c r="J67" s="13">
        <f t="shared" si="8"/>
        <v>15932</v>
      </c>
      <c r="K67" s="13">
        <f t="shared" si="8"/>
        <v>20558</v>
      </c>
      <c r="L67" s="13">
        <f t="shared" si="8"/>
        <v>18883</v>
      </c>
      <c r="M67" s="13">
        <f t="shared" si="8"/>
        <v>15721</v>
      </c>
      <c r="N67" s="13">
        <f t="shared" si="8"/>
        <v>14551</v>
      </c>
      <c r="O67" s="15"/>
      <c r="P67" s="8" t="s">
        <v>49</v>
      </c>
      <c r="R67" s="34"/>
      <c r="S67" s="38" t="s">
        <v>39</v>
      </c>
      <c r="T67" s="39"/>
      <c r="U67" s="85">
        <f t="shared" si="5"/>
        <v>61129</v>
      </c>
      <c r="V67" s="85">
        <f t="shared" si="5"/>
        <v>68229</v>
      </c>
      <c r="W67" s="85">
        <f t="shared" si="5"/>
        <v>68077</v>
      </c>
      <c r="X67" s="85">
        <f t="shared" si="5"/>
        <v>62932</v>
      </c>
      <c r="Y67" s="85">
        <f t="shared" si="5"/>
        <v>61321</v>
      </c>
      <c r="Z67" s="85">
        <f t="shared" si="5"/>
        <v>53457</v>
      </c>
      <c r="AA67" s="85">
        <f t="shared" si="5"/>
        <v>66971</v>
      </c>
      <c r="AB67" s="85">
        <f t="shared" si="5"/>
        <v>62076</v>
      </c>
      <c r="AC67" s="85">
        <f t="shared" si="5"/>
        <v>64520</v>
      </c>
      <c r="AD67" s="85">
        <f t="shared" si="5"/>
        <v>62998</v>
      </c>
      <c r="AE67" s="39"/>
      <c r="AF67" s="40" t="s">
        <v>49</v>
      </c>
      <c r="AH67" s="84"/>
      <c r="AI67" s="71" t="s">
        <v>39</v>
      </c>
      <c r="AJ67" s="72"/>
      <c r="AK67" s="85">
        <f t="shared" ref="AK67:AT67" si="9">AK55-ROUND(AVERAGE($AK$53:$AO$53),0)</f>
        <v>355073</v>
      </c>
      <c r="AL67" s="85">
        <f t="shared" si="9"/>
        <v>349069</v>
      </c>
      <c r="AM67" s="85">
        <f t="shared" si="9"/>
        <v>356388</v>
      </c>
      <c r="AN67" s="85">
        <f t="shared" si="9"/>
        <v>336870</v>
      </c>
      <c r="AO67" s="85">
        <f t="shared" si="9"/>
        <v>332544</v>
      </c>
      <c r="AP67" s="85">
        <f t="shared" si="9"/>
        <v>295756</v>
      </c>
      <c r="AQ67" s="85">
        <f t="shared" si="9"/>
        <v>349713</v>
      </c>
      <c r="AR67" s="85">
        <f t="shared" si="9"/>
        <v>351184</v>
      </c>
      <c r="AS67" s="85">
        <f t="shared" si="9"/>
        <v>313125</v>
      </c>
      <c r="AT67" s="85">
        <f t="shared" si="9"/>
        <v>262051</v>
      </c>
      <c r="AU67" s="72"/>
      <c r="AV67" s="73" t="s">
        <v>49</v>
      </c>
      <c r="AX67" s="84"/>
      <c r="AY67" s="71" t="s">
        <v>39</v>
      </c>
      <c r="AZ67" s="72"/>
      <c r="BA67" s="85">
        <f t="shared" si="7"/>
        <v>531428</v>
      </c>
      <c r="BB67" s="85">
        <f t="shared" si="7"/>
        <v>495438</v>
      </c>
      <c r="BC67" s="85">
        <f t="shared" si="7"/>
        <v>498081</v>
      </c>
      <c r="BD67" s="85">
        <f t="shared" si="7"/>
        <v>502843</v>
      </c>
      <c r="BE67" s="85">
        <f t="shared" si="7"/>
        <v>514422</v>
      </c>
      <c r="BF67" s="85">
        <f t="shared" si="7"/>
        <v>497908</v>
      </c>
      <c r="BG67" s="85">
        <f t="shared" si="7"/>
        <v>521005</v>
      </c>
      <c r="BH67" s="85">
        <f t="shared" si="7"/>
        <v>533813</v>
      </c>
      <c r="BI67" s="85">
        <f t="shared" si="7"/>
        <v>487334</v>
      </c>
      <c r="BJ67" s="85">
        <f t="shared" si="7"/>
        <v>471067</v>
      </c>
      <c r="BK67" s="72"/>
      <c r="BL67" s="73" t="s">
        <v>49</v>
      </c>
    </row>
    <row r="68" spans="2:64" ht="27" x14ac:dyDescent="0.2">
      <c r="C68" s="6" t="s">
        <v>42</v>
      </c>
      <c r="D68" s="15"/>
      <c r="E68" s="13">
        <f t="shared" ref="E68:N68" si="10">E56-ROUND(AVERAGE($E$53:$I$53),0)</f>
        <v>15050</v>
      </c>
      <c r="F68" s="13">
        <f t="shared" si="10"/>
        <v>18505</v>
      </c>
      <c r="G68" s="13">
        <f t="shared" si="10"/>
        <v>17722</v>
      </c>
      <c r="H68" s="13">
        <f t="shared" si="10"/>
        <v>18405</v>
      </c>
      <c r="I68" s="13">
        <f t="shared" si="10"/>
        <v>17976</v>
      </c>
      <c r="J68" s="13">
        <f t="shared" si="10"/>
        <v>18939</v>
      </c>
      <c r="K68" s="13">
        <f t="shared" si="10"/>
        <v>18207</v>
      </c>
      <c r="L68" s="13">
        <f t="shared" si="10"/>
        <v>19842</v>
      </c>
      <c r="M68" s="13">
        <f t="shared" si="10"/>
        <v>16763</v>
      </c>
      <c r="N68" s="13">
        <f t="shared" si="10"/>
        <v>15284</v>
      </c>
      <c r="O68" s="15"/>
      <c r="P68" s="8" t="s">
        <v>49</v>
      </c>
      <c r="R68" s="34"/>
      <c r="S68" s="38" t="s">
        <v>42</v>
      </c>
      <c r="T68" s="39"/>
      <c r="U68" s="85">
        <f t="shared" si="5"/>
        <v>48505</v>
      </c>
      <c r="V68" s="85">
        <f t="shared" si="5"/>
        <v>59709</v>
      </c>
      <c r="W68" s="85">
        <f t="shared" si="5"/>
        <v>58625</v>
      </c>
      <c r="X68" s="85">
        <f t="shared" si="5"/>
        <v>65363</v>
      </c>
      <c r="Y68" s="85">
        <f t="shared" si="5"/>
        <v>64872</v>
      </c>
      <c r="Z68" s="85">
        <f t="shared" si="5"/>
        <v>66901</v>
      </c>
      <c r="AA68" s="85">
        <f t="shared" si="5"/>
        <v>62555</v>
      </c>
      <c r="AB68" s="85">
        <f t="shared" si="5"/>
        <v>69288</v>
      </c>
      <c r="AC68" s="85">
        <f t="shared" si="5"/>
        <v>59188</v>
      </c>
      <c r="AD68" s="85">
        <f t="shared" si="5"/>
        <v>60890</v>
      </c>
      <c r="AE68" s="39"/>
      <c r="AF68" s="40" t="s">
        <v>49</v>
      </c>
      <c r="AH68" s="84"/>
      <c r="AI68" s="71" t="s">
        <v>42</v>
      </c>
      <c r="AJ68" s="72"/>
      <c r="AK68" s="85">
        <f t="shared" ref="AK68:AT68" si="11">AK56-ROUND(AVERAGE($AK$53:$AO$53),0)</f>
        <v>306287</v>
      </c>
      <c r="AL68" s="85">
        <f t="shared" si="11"/>
        <v>328421</v>
      </c>
      <c r="AM68" s="85">
        <f t="shared" si="11"/>
        <v>334927</v>
      </c>
      <c r="AN68" s="85">
        <f t="shared" si="11"/>
        <v>299604</v>
      </c>
      <c r="AO68" s="85">
        <f t="shared" si="11"/>
        <v>329073</v>
      </c>
      <c r="AP68" s="85">
        <f t="shared" si="11"/>
        <v>325674</v>
      </c>
      <c r="AQ68" s="85">
        <f t="shared" si="11"/>
        <v>297432</v>
      </c>
      <c r="AR68" s="85">
        <f t="shared" si="11"/>
        <v>330452</v>
      </c>
      <c r="AS68" s="85">
        <f t="shared" si="11"/>
        <v>297287</v>
      </c>
      <c r="AT68" s="85">
        <f t="shared" si="11"/>
        <v>265878</v>
      </c>
      <c r="AU68" s="72"/>
      <c r="AV68" s="73" t="s">
        <v>49</v>
      </c>
      <c r="AX68" s="84"/>
      <c r="AY68" s="71" t="s">
        <v>42</v>
      </c>
      <c r="AZ68" s="72"/>
      <c r="BA68" s="85">
        <f t="shared" si="7"/>
        <v>504772</v>
      </c>
      <c r="BB68" s="85">
        <f t="shared" si="7"/>
        <v>495248</v>
      </c>
      <c r="BC68" s="85">
        <f t="shared" si="7"/>
        <v>472381</v>
      </c>
      <c r="BD68" s="85">
        <f t="shared" si="7"/>
        <v>476533</v>
      </c>
      <c r="BE68" s="85">
        <f t="shared" si="7"/>
        <v>500538</v>
      </c>
      <c r="BF68" s="85">
        <f t="shared" si="7"/>
        <v>486815</v>
      </c>
      <c r="BG68" s="85">
        <f t="shared" si="7"/>
        <v>470777</v>
      </c>
      <c r="BH68" s="85">
        <f t="shared" si="7"/>
        <v>487978</v>
      </c>
      <c r="BI68" s="85">
        <f t="shared" si="7"/>
        <v>479736</v>
      </c>
      <c r="BJ68" s="85">
        <f t="shared" si="7"/>
        <v>476850</v>
      </c>
      <c r="BK68" s="72"/>
      <c r="BL68" s="73" t="s">
        <v>49</v>
      </c>
    </row>
    <row r="69" spans="2:64" ht="27" x14ac:dyDescent="0.2">
      <c r="C69" s="6" t="s">
        <v>43</v>
      </c>
      <c r="D69" s="15"/>
      <c r="E69" s="13">
        <f t="shared" ref="E69:N69" si="12">E57-ROUND(AVERAGE($E$53:$I$53),0)</f>
        <v>14928</v>
      </c>
      <c r="F69" s="13">
        <f t="shared" si="12"/>
        <v>16611</v>
      </c>
      <c r="G69" s="13">
        <f t="shared" si="12"/>
        <v>19416</v>
      </c>
      <c r="H69" s="13">
        <f t="shared" si="12"/>
        <v>20382</v>
      </c>
      <c r="I69" s="13">
        <f t="shared" si="12"/>
        <v>20232</v>
      </c>
      <c r="J69" s="13">
        <f t="shared" si="12"/>
        <v>18023</v>
      </c>
      <c r="K69" s="13">
        <f t="shared" si="12"/>
        <v>20372</v>
      </c>
      <c r="L69" s="13">
        <f t="shared" si="12"/>
        <v>19103</v>
      </c>
      <c r="M69" s="13">
        <f t="shared" si="12"/>
        <v>17439</v>
      </c>
      <c r="N69" s="13">
        <f t="shared" si="12"/>
        <v>15413</v>
      </c>
      <c r="O69" s="15"/>
      <c r="P69" s="8" t="s">
        <v>49</v>
      </c>
      <c r="R69" s="34"/>
      <c r="S69" s="38" t="s">
        <v>43</v>
      </c>
      <c r="T69" s="39"/>
      <c r="U69" s="85">
        <f t="shared" si="5"/>
        <v>65539</v>
      </c>
      <c r="V69" s="85">
        <f t="shared" si="5"/>
        <v>59384</v>
      </c>
      <c r="W69" s="85">
        <f t="shared" si="5"/>
        <v>66904</v>
      </c>
      <c r="X69" s="85">
        <f t="shared" si="5"/>
        <v>61693</v>
      </c>
      <c r="Y69" s="85">
        <f t="shared" si="5"/>
        <v>62042</v>
      </c>
      <c r="Z69" s="85">
        <f t="shared" si="5"/>
        <v>57710</v>
      </c>
      <c r="AA69" s="85">
        <f t="shared" si="5"/>
        <v>63562</v>
      </c>
      <c r="AB69" s="85">
        <f t="shared" si="5"/>
        <v>69364</v>
      </c>
      <c r="AC69" s="85">
        <f t="shared" si="5"/>
        <v>63009</v>
      </c>
      <c r="AD69" s="85">
        <f t="shared" si="5"/>
        <v>67839</v>
      </c>
      <c r="AE69" s="39"/>
      <c r="AF69" s="40" t="s">
        <v>49</v>
      </c>
      <c r="AH69" s="84"/>
      <c r="AI69" s="71" t="s">
        <v>43</v>
      </c>
      <c r="AJ69" s="72"/>
      <c r="AK69" s="85">
        <f t="shared" ref="AK69:AT69" si="13">AK57-ROUND(AVERAGE($AK$53:$AO$53),0)</f>
        <v>337829</v>
      </c>
      <c r="AL69" s="85">
        <f t="shared" si="13"/>
        <v>321600</v>
      </c>
      <c r="AM69" s="85">
        <f t="shared" si="13"/>
        <v>323905</v>
      </c>
      <c r="AN69" s="85">
        <f t="shared" si="13"/>
        <v>299843</v>
      </c>
      <c r="AO69" s="85">
        <f t="shared" si="13"/>
        <v>314271</v>
      </c>
      <c r="AP69" s="85">
        <f t="shared" si="13"/>
        <v>293315</v>
      </c>
      <c r="AQ69" s="85">
        <f t="shared" si="13"/>
        <v>311299</v>
      </c>
      <c r="AR69" s="85">
        <f t="shared" si="13"/>
        <v>356553</v>
      </c>
      <c r="AS69" s="85">
        <f t="shared" si="13"/>
        <v>300302</v>
      </c>
      <c r="AT69" s="85">
        <f t="shared" si="13"/>
        <v>269050</v>
      </c>
      <c r="AU69" s="72"/>
      <c r="AV69" s="73" t="s">
        <v>49</v>
      </c>
      <c r="AX69" s="84"/>
      <c r="AY69" s="71" t="s">
        <v>43</v>
      </c>
      <c r="AZ69" s="72"/>
      <c r="BA69" s="85">
        <f t="shared" si="7"/>
        <v>530650</v>
      </c>
      <c r="BB69" s="85">
        <f t="shared" si="7"/>
        <v>493025</v>
      </c>
      <c r="BC69" s="85">
        <f t="shared" si="7"/>
        <v>493495</v>
      </c>
      <c r="BD69" s="85">
        <f t="shared" si="7"/>
        <v>478682</v>
      </c>
      <c r="BE69" s="85">
        <f t="shared" si="7"/>
        <v>465867</v>
      </c>
      <c r="BF69" s="85">
        <f t="shared" si="7"/>
        <v>497789</v>
      </c>
      <c r="BG69" s="85">
        <f t="shared" si="7"/>
        <v>476019</v>
      </c>
      <c r="BH69" s="85">
        <f t="shared" si="7"/>
        <v>421479</v>
      </c>
      <c r="BI69" s="85">
        <f t="shared" si="7"/>
        <v>472656</v>
      </c>
      <c r="BJ69" s="85">
        <f t="shared" si="7"/>
        <v>492224</v>
      </c>
      <c r="BK69" s="72"/>
      <c r="BL69" s="73" t="s">
        <v>49</v>
      </c>
    </row>
    <row r="70" spans="2:64" ht="27" x14ac:dyDescent="0.2">
      <c r="C70" s="6" t="s">
        <v>44</v>
      </c>
      <c r="D70" s="15"/>
      <c r="E70" s="13">
        <f t="shared" ref="E70:N70" si="14">E58-ROUND(AVERAGE($E$53:$I$53),0)</f>
        <v>12297</v>
      </c>
      <c r="F70" s="13">
        <f t="shared" si="14"/>
        <v>15614</v>
      </c>
      <c r="G70" s="13">
        <f t="shared" si="14"/>
        <v>13918</v>
      </c>
      <c r="H70" s="13">
        <f t="shared" si="14"/>
        <v>14145</v>
      </c>
      <c r="I70" s="13">
        <f t="shared" si="14"/>
        <v>13354</v>
      </c>
      <c r="J70" s="13">
        <f t="shared" si="14"/>
        <v>14157</v>
      </c>
      <c r="K70" s="13">
        <f t="shared" si="14"/>
        <v>15383</v>
      </c>
      <c r="L70" s="13">
        <f t="shared" si="14"/>
        <v>13422</v>
      </c>
      <c r="M70" s="13">
        <f t="shared" si="14"/>
        <v>15206</v>
      </c>
      <c r="N70" s="13">
        <f t="shared" si="14"/>
        <v>15907</v>
      </c>
      <c r="O70" s="15"/>
      <c r="P70" s="8" t="s">
        <v>49</v>
      </c>
      <c r="R70" s="34"/>
      <c r="S70" s="38" t="s">
        <v>44</v>
      </c>
      <c r="T70" s="39"/>
      <c r="U70" s="85">
        <f t="shared" si="5"/>
        <v>59476</v>
      </c>
      <c r="V70" s="85">
        <f t="shared" si="5"/>
        <v>61729</v>
      </c>
      <c r="W70" s="85">
        <f t="shared" si="5"/>
        <v>53822</v>
      </c>
      <c r="X70" s="85">
        <f t="shared" si="5"/>
        <v>55269</v>
      </c>
      <c r="Y70" s="85">
        <f t="shared" si="5"/>
        <v>58842</v>
      </c>
      <c r="Z70" s="85">
        <f t="shared" si="5"/>
        <v>62450</v>
      </c>
      <c r="AA70" s="85">
        <f t="shared" si="5"/>
        <v>62593</v>
      </c>
      <c r="AB70" s="85">
        <f t="shared" si="5"/>
        <v>57155</v>
      </c>
      <c r="AC70" s="85">
        <f t="shared" si="5"/>
        <v>55911</v>
      </c>
      <c r="AD70" s="85">
        <f t="shared" si="5"/>
        <v>62445</v>
      </c>
      <c r="AE70" s="39"/>
      <c r="AF70" s="40" t="s">
        <v>49</v>
      </c>
      <c r="AH70" s="84"/>
      <c r="AI70" s="71" t="s">
        <v>44</v>
      </c>
      <c r="AJ70" s="72"/>
      <c r="AK70" s="85">
        <f t="shared" ref="AK70:AT70" si="15">AK58-ROUND(AVERAGE($AK$53:$AO$53),0)</f>
        <v>281930</v>
      </c>
      <c r="AL70" s="85">
        <f t="shared" si="15"/>
        <v>306694</v>
      </c>
      <c r="AM70" s="85">
        <f t="shared" si="15"/>
        <v>273262</v>
      </c>
      <c r="AN70" s="85">
        <f t="shared" si="15"/>
        <v>282208</v>
      </c>
      <c r="AO70" s="85">
        <f t="shared" si="15"/>
        <v>293275</v>
      </c>
      <c r="AP70" s="85">
        <f t="shared" si="15"/>
        <v>275990</v>
      </c>
      <c r="AQ70" s="85">
        <f t="shared" si="15"/>
        <v>304863</v>
      </c>
      <c r="AR70" s="85">
        <f t="shared" si="15"/>
        <v>278125</v>
      </c>
      <c r="AS70" s="85">
        <f t="shared" si="15"/>
        <v>262850</v>
      </c>
      <c r="AT70" s="85">
        <f t="shared" si="15"/>
        <v>217664</v>
      </c>
      <c r="AU70" s="72"/>
      <c r="AV70" s="73" t="s">
        <v>49</v>
      </c>
      <c r="AX70" s="84"/>
      <c r="AY70" s="71" t="s">
        <v>44</v>
      </c>
      <c r="AZ70" s="72"/>
      <c r="BA70" s="85">
        <f t="shared" si="7"/>
        <v>508947</v>
      </c>
      <c r="BB70" s="85">
        <f t="shared" si="7"/>
        <v>519591</v>
      </c>
      <c r="BC70" s="85">
        <f t="shared" si="7"/>
        <v>486197</v>
      </c>
      <c r="BD70" s="85">
        <f t="shared" si="7"/>
        <v>487109</v>
      </c>
      <c r="BE70" s="85">
        <f t="shared" si="7"/>
        <v>491624</v>
      </c>
      <c r="BF70" s="85">
        <f t="shared" si="7"/>
        <v>487659</v>
      </c>
      <c r="BG70" s="85">
        <f t="shared" si="7"/>
        <v>470795</v>
      </c>
      <c r="BH70" s="85">
        <f t="shared" si="7"/>
        <v>464541</v>
      </c>
      <c r="BI70" s="85">
        <f t="shared" si="7"/>
        <v>482129</v>
      </c>
      <c r="BJ70" s="85">
        <f t="shared" si="7"/>
        <v>446211</v>
      </c>
      <c r="BK70" s="72"/>
      <c r="BL70" s="73" t="s">
        <v>49</v>
      </c>
    </row>
    <row r="71" spans="2:64" ht="27" x14ac:dyDescent="0.2">
      <c r="C71" s="6" t="s">
        <v>45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8" t="s">
        <v>49</v>
      </c>
      <c r="R71" s="34"/>
      <c r="S71" s="38" t="s">
        <v>45</v>
      </c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40" t="s">
        <v>49</v>
      </c>
      <c r="AH71" s="84"/>
      <c r="AI71" s="71" t="s">
        <v>45</v>
      </c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3" t="s">
        <v>49</v>
      </c>
      <c r="AX71" s="84"/>
      <c r="AY71" s="71" t="s">
        <v>45</v>
      </c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3" t="s">
        <v>49</v>
      </c>
    </row>
    <row r="72" spans="2:64" x14ac:dyDescent="0.2"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</row>
    <row r="73" spans="2:64" x14ac:dyDescent="0.2"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</row>
    <row r="74" spans="2:64" x14ac:dyDescent="0.2">
      <c r="C74">
        <v>0</v>
      </c>
      <c r="D74">
        <v>8</v>
      </c>
      <c r="E74">
        <v>16</v>
      </c>
      <c r="F74">
        <v>32</v>
      </c>
      <c r="G74">
        <v>64</v>
      </c>
      <c r="H74" t="s">
        <v>64</v>
      </c>
      <c r="R74" s="34"/>
      <c r="S74" s="34">
        <v>0</v>
      </c>
      <c r="T74" s="34">
        <v>8</v>
      </c>
      <c r="U74" s="34">
        <v>16</v>
      </c>
      <c r="V74" s="34">
        <v>32</v>
      </c>
      <c r="W74" s="34">
        <v>64</v>
      </c>
      <c r="X74" s="34" t="s">
        <v>64</v>
      </c>
      <c r="Y74" s="34"/>
      <c r="Z74" s="34"/>
      <c r="AA74" s="34"/>
      <c r="AB74" s="34"/>
      <c r="AC74" s="34"/>
      <c r="AD74" s="34"/>
      <c r="AE74" s="34"/>
      <c r="AF74" s="34"/>
      <c r="AH74" s="84"/>
      <c r="AI74" s="84">
        <v>0</v>
      </c>
      <c r="AJ74" s="84">
        <v>8</v>
      </c>
      <c r="AK74" s="84">
        <v>16</v>
      </c>
      <c r="AL74" s="84">
        <v>32</v>
      </c>
      <c r="AM74" s="84">
        <v>64</v>
      </c>
      <c r="AN74" s="84" t="s">
        <v>64</v>
      </c>
      <c r="AO74" s="84"/>
      <c r="AP74" s="84"/>
      <c r="AQ74" s="84"/>
      <c r="AR74" s="84"/>
      <c r="AS74" s="84"/>
      <c r="AT74" s="84"/>
      <c r="AU74" s="84"/>
      <c r="AV74" s="84"/>
      <c r="AX74" s="84"/>
      <c r="AY74" s="84">
        <v>0</v>
      </c>
      <c r="AZ74" s="84">
        <v>8</v>
      </c>
      <c r="BA74" s="84">
        <v>16</v>
      </c>
      <c r="BB74" s="84">
        <v>32</v>
      </c>
      <c r="BC74" s="84">
        <v>64</v>
      </c>
      <c r="BD74" s="84" t="s">
        <v>64</v>
      </c>
      <c r="BE74" s="84"/>
      <c r="BF74" s="84"/>
      <c r="BG74" s="84"/>
      <c r="BH74" s="84"/>
      <c r="BI74" s="84"/>
      <c r="BJ74" s="84"/>
      <c r="BK74" s="84"/>
      <c r="BL74" s="84"/>
    </row>
    <row r="75" spans="2:64" x14ac:dyDescent="0.2">
      <c r="B75" t="s">
        <v>57</v>
      </c>
      <c r="C75">
        <f xml:space="preserve"> ROUND(AVERAGE(E66:N66),0)</f>
        <v>15409</v>
      </c>
      <c r="D75">
        <f xml:space="preserve"> ROUND(AVERAGE(E67:N67),0)</f>
        <v>18364</v>
      </c>
      <c r="E75">
        <f xml:space="preserve"> ROUND(AVERAGE(E68:N68),0)</f>
        <v>17669</v>
      </c>
      <c r="F75">
        <f xml:space="preserve"> ROUND(AVERAGE(E69:N69),0)</f>
        <v>18192</v>
      </c>
      <c r="G75">
        <f xml:space="preserve"> ROUND(AVERAGE(E70:N70),0)</f>
        <v>14340</v>
      </c>
      <c r="H75">
        <f xml:space="preserve"> ROUND(AVERAGE(J65:N65),0)</f>
        <v>758198</v>
      </c>
      <c r="R75" s="34" t="s">
        <v>57</v>
      </c>
      <c r="S75" s="34">
        <f xml:space="preserve"> ROUND(AVERAGE(U66:AD66),0)</f>
        <v>59730</v>
      </c>
      <c r="T75" s="34">
        <f xml:space="preserve"> ROUND(AVERAGE(U67:AD67),0)</f>
        <v>63171</v>
      </c>
      <c r="U75" s="34">
        <f xml:space="preserve"> ROUND(AVERAGE(U68:AD68),0)</f>
        <v>61590</v>
      </c>
      <c r="V75" s="34">
        <f xml:space="preserve"> ROUND(AVERAGE(U69:AD69),0)</f>
        <v>63705</v>
      </c>
      <c r="W75" s="34">
        <f xml:space="preserve"> ROUND(AVERAGE(U70:AD70),0)</f>
        <v>58969</v>
      </c>
      <c r="X75" s="34">
        <f xml:space="preserve"> ROUND(AVERAGE(Z65:AD65),0)</f>
        <v>775944</v>
      </c>
      <c r="Y75" s="34"/>
      <c r="Z75" s="34"/>
      <c r="AA75" s="34"/>
      <c r="AB75" s="34"/>
      <c r="AC75" s="34"/>
      <c r="AD75" s="34"/>
      <c r="AE75" s="34"/>
      <c r="AF75" s="34"/>
      <c r="AH75" s="84" t="s">
        <v>57</v>
      </c>
      <c r="AI75" s="84">
        <f xml:space="preserve"> ROUND(AVERAGE(AK66:AT66),0)</f>
        <v>322161</v>
      </c>
      <c r="AJ75" s="84">
        <f xml:space="preserve"> ROUND(AVERAGE(AK67:AT67),0)</f>
        <v>330177</v>
      </c>
      <c r="AK75" s="84">
        <f xml:space="preserve"> ROUND(AVERAGE(AK68:AT68),0)</f>
        <v>311504</v>
      </c>
      <c r="AL75" s="84">
        <f xml:space="preserve"> ROUND(AVERAGE(AK69:AT69),0)</f>
        <v>312797</v>
      </c>
      <c r="AM75" s="84">
        <f xml:space="preserve"> ROUND(AVERAGE(AK70:AT70),0)</f>
        <v>277686</v>
      </c>
      <c r="AN75" s="84">
        <f xml:space="preserve"> ROUND(AVERAGE(AP65:AT65),0)</f>
        <v>791620</v>
      </c>
      <c r="AO75" s="84"/>
      <c r="AP75" s="84"/>
      <c r="AQ75" s="84"/>
      <c r="AR75" s="84"/>
      <c r="AS75" s="84"/>
      <c r="AT75" s="84"/>
      <c r="AU75" s="84"/>
      <c r="AV75" s="84"/>
      <c r="AX75" s="84" t="s">
        <v>57</v>
      </c>
      <c r="AY75" s="84">
        <f xml:space="preserve"> ROUND(AVERAGE(BA66:BJ66),0)</f>
        <v>507795</v>
      </c>
      <c r="AZ75" s="84">
        <f xml:space="preserve"> ROUND(AVERAGE(BA67:BJ67),0)</f>
        <v>505334</v>
      </c>
      <c r="BA75" s="84">
        <f xml:space="preserve"> ROUND(AVERAGE(BA68:BJ68),0)</f>
        <v>485163</v>
      </c>
      <c r="BB75" s="84">
        <f xml:space="preserve"> ROUND(AVERAGE(BA69:BJ69),0)</f>
        <v>482189</v>
      </c>
      <c r="BC75" s="84">
        <f xml:space="preserve"> ROUND(AVERAGE(BA70:BJ70),0)</f>
        <v>484480</v>
      </c>
      <c r="BD75" s="84">
        <f xml:space="preserve"> ROUND(AVERAGE(BF65:BJ65),0)</f>
        <v>779024</v>
      </c>
      <c r="BE75" s="84"/>
      <c r="BF75" s="84"/>
      <c r="BG75" s="84"/>
      <c r="BH75" s="84"/>
      <c r="BI75" s="84"/>
      <c r="BJ75" s="84"/>
      <c r="BK75" s="84"/>
      <c r="BL75" s="84"/>
    </row>
    <row r="76" spans="2:64" x14ac:dyDescent="0.2">
      <c r="B76" t="s">
        <v>56</v>
      </c>
      <c r="C76">
        <f>ROUND(_xlfn.STDEV.P(E66:N66),0)</f>
        <v>1329</v>
      </c>
      <c r="D76">
        <f>ROUND(_xlfn.STDEV.P(E67:N67),0)</f>
        <v>2345</v>
      </c>
      <c r="E76">
        <f>ROUND(_xlfn.STDEV.P(E68:N68),0)</f>
        <v>1460</v>
      </c>
      <c r="F76">
        <f>ROUND(_xlfn.STDEV.P(E69:N69),0)</f>
        <v>1937</v>
      </c>
      <c r="G76">
        <f>ROUND(_xlfn.STDEV.P(E70:N70),0)</f>
        <v>1102</v>
      </c>
      <c r="H76">
        <f>ROUND(_xlfn.STDEV.P(J65:N65),0)</f>
        <v>5272</v>
      </c>
      <c r="R76" s="34" t="s">
        <v>56</v>
      </c>
      <c r="S76" s="34">
        <f>ROUND(_xlfn.STDEV.P(U66:AD66),0)</f>
        <v>3474</v>
      </c>
      <c r="T76" s="34">
        <f>ROUND(_xlfn.STDEV.P(U67:AD67),0)</f>
        <v>4113</v>
      </c>
      <c r="U76" s="34">
        <f>ROUND(_xlfn.STDEV.P(U68:AD68),0)</f>
        <v>5506</v>
      </c>
      <c r="V76" s="34">
        <f>ROUND(_xlfn.STDEV.P(U69:AD69),0)</f>
        <v>3530</v>
      </c>
      <c r="W76" s="34">
        <f>ROUND(_xlfn.STDEV.P(U70:AD70),0)</f>
        <v>3131</v>
      </c>
      <c r="X76" s="34">
        <f>ROUND(_xlfn.STDEV.P(Z65:AD65),0)</f>
        <v>6204</v>
      </c>
      <c r="Y76" s="34"/>
      <c r="Z76" s="34"/>
      <c r="AA76" s="34"/>
      <c r="AB76" s="34"/>
      <c r="AC76" s="34"/>
      <c r="AD76" s="34"/>
      <c r="AE76" s="34"/>
      <c r="AF76" s="34"/>
      <c r="AH76" s="84" t="s">
        <v>56</v>
      </c>
      <c r="AI76" s="84">
        <f>ROUND(_xlfn.STDEV.P(AK66:AT66),0)</f>
        <v>38829</v>
      </c>
      <c r="AJ76" s="84">
        <f>ROUND(_xlfn.STDEV.P(AK67:AT67),0)</f>
        <v>29417</v>
      </c>
      <c r="AK76" s="84">
        <f>ROUND(_xlfn.STDEV.P(AK68:AT68),0)</f>
        <v>20866</v>
      </c>
      <c r="AL76" s="84">
        <f>ROUND(_xlfn.STDEV.P(AK69:AT69),0)</f>
        <v>23160</v>
      </c>
      <c r="AM76" s="84">
        <f>ROUND(_xlfn.STDEV.P(AK70:AT70),0)</f>
        <v>23889</v>
      </c>
      <c r="AN76" s="84">
        <f>ROUND(_xlfn.STDEV.P(AP65:AT65),0)</f>
        <v>5937</v>
      </c>
      <c r="AO76" s="84"/>
      <c r="AP76" s="84"/>
      <c r="AQ76" s="84"/>
      <c r="AR76" s="84"/>
      <c r="AS76" s="84"/>
      <c r="AT76" s="84"/>
      <c r="AU76" s="84"/>
      <c r="AV76" s="84"/>
      <c r="AX76" s="84" t="s">
        <v>56</v>
      </c>
      <c r="AY76" s="84">
        <f>ROUND(_xlfn.STDEV.P(BA66:BJ66),0)</f>
        <v>17623</v>
      </c>
      <c r="AZ76" s="84">
        <f>ROUND(_xlfn.STDEV.P(BA67:BJ67),0)</f>
        <v>18789</v>
      </c>
      <c r="BA76" s="84">
        <f>ROUND(_xlfn.STDEV.P(BA68:BJ68),0)</f>
        <v>11299</v>
      </c>
      <c r="BB76" s="84">
        <f>ROUND(_xlfn.STDEV.P(BA69:BJ69),0)</f>
        <v>26516</v>
      </c>
      <c r="BC76" s="84">
        <f>ROUND(_xlfn.STDEV.P(BA70:BJ70),0)</f>
        <v>19893</v>
      </c>
      <c r="BD76" s="84">
        <f>ROUND(_xlfn.STDEV.P(BF65:BJ65),0)</f>
        <v>9839</v>
      </c>
      <c r="BE76" s="84"/>
      <c r="BF76" s="84"/>
      <c r="BG76" s="84"/>
      <c r="BH76" s="84"/>
      <c r="BI76" s="84"/>
      <c r="BJ76" s="84"/>
      <c r="BK76" s="84"/>
      <c r="BL76" s="84"/>
    </row>
    <row r="77" spans="2:64" x14ac:dyDescent="0.2"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</row>
    <row r="78" spans="2:64" x14ac:dyDescent="0.2">
      <c r="B78" t="s">
        <v>73</v>
      </c>
      <c r="C78">
        <v>0</v>
      </c>
      <c r="D78">
        <v>8</v>
      </c>
      <c r="E78">
        <v>16</v>
      </c>
      <c r="F78">
        <v>32</v>
      </c>
      <c r="G78">
        <v>64</v>
      </c>
      <c r="R78" s="34" t="s">
        <v>73</v>
      </c>
      <c r="S78" s="34">
        <v>0</v>
      </c>
      <c r="T78" s="34">
        <v>8</v>
      </c>
      <c r="U78" s="34">
        <v>16</v>
      </c>
      <c r="V78" s="34">
        <v>32</v>
      </c>
      <c r="W78" s="34">
        <v>64</v>
      </c>
      <c r="X78" s="34"/>
      <c r="Y78" s="34"/>
      <c r="Z78" s="34"/>
      <c r="AA78" s="34"/>
      <c r="AB78" s="34"/>
      <c r="AC78" s="34"/>
      <c r="AD78" s="34"/>
      <c r="AE78" s="34"/>
      <c r="AF78" s="34"/>
      <c r="AH78" s="84" t="s">
        <v>73</v>
      </c>
      <c r="AI78" s="84">
        <v>0</v>
      </c>
      <c r="AJ78" s="84">
        <v>8</v>
      </c>
      <c r="AK78" s="84">
        <v>16</v>
      </c>
      <c r="AL78" s="84">
        <v>32</v>
      </c>
      <c r="AM78" s="84">
        <v>64</v>
      </c>
      <c r="AN78" s="84"/>
      <c r="AO78" s="84"/>
      <c r="AP78" s="84"/>
      <c r="AQ78" s="84"/>
      <c r="AR78" s="84"/>
      <c r="AS78" s="84"/>
      <c r="AT78" s="84"/>
      <c r="AU78" s="84"/>
      <c r="AV78" s="84"/>
      <c r="AX78" s="84" t="s">
        <v>73</v>
      </c>
      <c r="AY78" s="84">
        <v>0</v>
      </c>
      <c r="AZ78" s="84">
        <v>8</v>
      </c>
      <c r="BA78" s="84">
        <v>16</v>
      </c>
      <c r="BB78" s="84">
        <v>32</v>
      </c>
      <c r="BC78" s="84">
        <v>64</v>
      </c>
      <c r="BD78" s="84"/>
      <c r="BE78" s="84"/>
      <c r="BF78" s="84"/>
      <c r="BG78" s="84"/>
      <c r="BH78" s="84"/>
      <c r="BI78" s="84"/>
      <c r="BJ78" s="84"/>
      <c r="BK78" s="84"/>
      <c r="BL78" s="84"/>
    </row>
    <row r="79" spans="2:64" x14ac:dyDescent="0.2">
      <c r="B79" t="s">
        <v>57</v>
      </c>
      <c r="C79">
        <f t="shared" ref="C79:G80" si="16">C75/$H$75</f>
        <v>2.0323187346840799E-2</v>
      </c>
      <c r="D79">
        <f t="shared" si="16"/>
        <v>2.422058617933574E-2</v>
      </c>
      <c r="E79">
        <f t="shared" si="16"/>
        <v>2.3303939076600045E-2</v>
      </c>
      <c r="F79">
        <f t="shared" si="16"/>
        <v>2.3993732507867339E-2</v>
      </c>
      <c r="G79">
        <f t="shared" si="16"/>
        <v>1.8913265400330784E-2</v>
      </c>
      <c r="R79" s="34" t="s">
        <v>57</v>
      </c>
      <c r="S79" s="34">
        <f>S75/$X$75</f>
        <v>7.6977204540533847E-2</v>
      </c>
      <c r="T79" s="84">
        <f t="shared" ref="T79:W79" si="17">T75/$X$75</f>
        <v>8.1411802913612316E-2</v>
      </c>
      <c r="U79" s="84">
        <f t="shared" si="17"/>
        <v>7.937428474219789E-2</v>
      </c>
      <c r="V79" s="84">
        <f t="shared" si="17"/>
        <v>8.2099996906993294E-2</v>
      </c>
      <c r="W79" s="84">
        <f t="shared" si="17"/>
        <v>7.5996463662326152E-2</v>
      </c>
      <c r="X79" s="34"/>
      <c r="Y79" s="34"/>
      <c r="Z79" s="34"/>
      <c r="AA79" s="34"/>
      <c r="AB79" s="34"/>
      <c r="AC79" s="34"/>
      <c r="AD79" s="34"/>
      <c r="AE79" s="34"/>
      <c r="AF79" s="34"/>
      <c r="AH79" s="84" t="s">
        <v>57</v>
      </c>
      <c r="AI79" s="84">
        <f>AI75/$AN$75</f>
        <v>0.4069641999949471</v>
      </c>
      <c r="AJ79" s="84">
        <f t="shared" ref="AJ79:AM80" si="18">AJ75/$AN$75</f>
        <v>0.41709027058437131</v>
      </c>
      <c r="AK79" s="84">
        <f t="shared" si="18"/>
        <v>0.39350193274550921</v>
      </c>
      <c r="AL79" s="84">
        <f t="shared" si="18"/>
        <v>0.39513529218564464</v>
      </c>
      <c r="AM79" s="84">
        <f t="shared" si="18"/>
        <v>0.35078194083019631</v>
      </c>
      <c r="AN79" s="84"/>
      <c r="AO79" s="84"/>
      <c r="AP79" s="84"/>
      <c r="AQ79" s="84"/>
      <c r="AR79" s="84"/>
      <c r="AS79" s="84"/>
      <c r="AT79" s="84"/>
      <c r="AU79" s="84"/>
      <c r="AV79" s="84"/>
      <c r="AX79" s="84" t="s">
        <v>57</v>
      </c>
      <c r="AY79" s="84">
        <f>AY75/$BD$75</f>
        <v>0.65183486002998625</v>
      </c>
      <c r="AZ79" s="84">
        <f t="shared" ref="AZ79:BC79" si="19">AZ75/$BD$75</f>
        <v>0.6486757789233708</v>
      </c>
      <c r="BA79" s="84">
        <f t="shared" si="19"/>
        <v>0.62278312349812071</v>
      </c>
      <c r="BB79" s="84">
        <f t="shared" si="19"/>
        <v>0.61896552609418964</v>
      </c>
      <c r="BC79" s="84">
        <f t="shared" si="19"/>
        <v>0.62190638542586618</v>
      </c>
      <c r="BD79" s="84"/>
      <c r="BE79" s="84"/>
      <c r="BF79" s="84"/>
      <c r="BG79" s="84"/>
      <c r="BH79" s="84"/>
      <c r="BI79" s="84"/>
      <c r="BJ79" s="84"/>
      <c r="BK79" s="84"/>
      <c r="BL79" s="84"/>
    </row>
    <row r="80" spans="2:64" x14ac:dyDescent="0.2">
      <c r="B80" t="s">
        <v>56</v>
      </c>
      <c r="C80">
        <f t="shared" si="16"/>
        <v>1.752840287101786E-3</v>
      </c>
      <c r="D80">
        <f t="shared" si="16"/>
        <v>3.0928596487988626E-3</v>
      </c>
      <c r="E80">
        <f t="shared" si="16"/>
        <v>1.9256183740922557E-3</v>
      </c>
      <c r="F80">
        <f t="shared" si="16"/>
        <v>2.554741637408698E-3</v>
      </c>
      <c r="G80">
        <f t="shared" si="16"/>
        <v>1.4534461974312779E-3</v>
      </c>
      <c r="R80" s="34" t="s">
        <v>56</v>
      </c>
      <c r="S80" s="84">
        <f>S76/$X$75</f>
        <v>4.4771272153660575E-3</v>
      </c>
      <c r="T80" s="84">
        <f t="shared" ref="T80:W80" si="20">T76/$X$75</f>
        <v>5.3006402523893478E-3</v>
      </c>
      <c r="U80" s="84">
        <f t="shared" si="20"/>
        <v>7.095872898044189E-3</v>
      </c>
      <c r="V80" s="84">
        <f t="shared" si="20"/>
        <v>4.5492973719752968E-3</v>
      </c>
      <c r="W80" s="84">
        <f t="shared" si="20"/>
        <v>4.0350850061344635E-3</v>
      </c>
      <c r="X80" s="34"/>
      <c r="Y80" s="34"/>
      <c r="Z80" s="34"/>
      <c r="AA80" s="34"/>
      <c r="AB80" s="34"/>
      <c r="AC80" s="34"/>
      <c r="AD80" s="34"/>
      <c r="AE80" s="34"/>
      <c r="AF80" s="34"/>
      <c r="AH80" s="84" t="s">
        <v>56</v>
      </c>
      <c r="AI80" s="84">
        <f>AI76/$AN$75</f>
        <v>4.9050049266061997E-2</v>
      </c>
      <c r="AJ80" s="84">
        <f t="shared" si="18"/>
        <v>3.7160506303529468E-2</v>
      </c>
      <c r="AK80" s="84">
        <f t="shared" si="18"/>
        <v>2.6358606402061596E-2</v>
      </c>
      <c r="AL80" s="84">
        <f t="shared" si="18"/>
        <v>2.9256461433516082E-2</v>
      </c>
      <c r="AM80" s="84">
        <f t="shared" si="18"/>
        <v>3.0177357823197998E-2</v>
      </c>
      <c r="AN80" s="84"/>
      <c r="AO80" s="84"/>
      <c r="AP80" s="84"/>
      <c r="AQ80" s="84"/>
      <c r="AR80" s="84"/>
      <c r="AS80" s="84"/>
      <c r="AT80" s="84"/>
      <c r="AU80" s="84"/>
      <c r="AV80" s="84"/>
      <c r="AX80" s="84" t="s">
        <v>56</v>
      </c>
      <c r="AY80" s="84">
        <f>AY76/$BD$75</f>
        <v>2.2621896116165868E-2</v>
      </c>
      <c r="AZ80" s="84">
        <f t="shared" ref="AZ80:BC80" si="21">AZ76/$BD$75</f>
        <v>2.4118640760746782E-2</v>
      </c>
      <c r="BA80" s="84">
        <f t="shared" si="21"/>
        <v>1.4504046088438867E-2</v>
      </c>
      <c r="BB80" s="84">
        <f t="shared" si="21"/>
        <v>3.4037462260469512E-2</v>
      </c>
      <c r="BC80" s="84">
        <f t="shared" si="21"/>
        <v>2.5535798640349976E-2</v>
      </c>
      <c r="BD80" s="84"/>
      <c r="BE80" s="84"/>
      <c r="BF80" s="84"/>
      <c r="BG80" s="84"/>
      <c r="BH80" s="84"/>
      <c r="BI80" s="84"/>
      <c r="BJ80" s="84"/>
      <c r="BK80" s="84"/>
      <c r="BL80" s="84"/>
    </row>
    <row r="81" spans="1:64" x14ac:dyDescent="0.2"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</row>
    <row r="82" spans="1:64" x14ac:dyDescent="0.2">
      <c r="B82" t="s">
        <v>100</v>
      </c>
      <c r="C82">
        <v>0</v>
      </c>
      <c r="D82">
        <v>8</v>
      </c>
      <c r="E82">
        <v>16</v>
      </c>
      <c r="F82">
        <v>32</v>
      </c>
      <c r="G82">
        <v>64</v>
      </c>
      <c r="R82" s="34" t="s">
        <v>100</v>
      </c>
      <c r="S82" s="34">
        <v>0</v>
      </c>
      <c r="T82" s="34">
        <v>8</v>
      </c>
      <c r="U82" s="34">
        <v>16</v>
      </c>
      <c r="V82" s="34">
        <v>32</v>
      </c>
      <c r="W82" s="34">
        <v>64</v>
      </c>
      <c r="X82" s="34"/>
      <c r="Y82" s="34"/>
      <c r="Z82" s="34"/>
      <c r="AA82" s="34"/>
      <c r="AB82" s="34"/>
      <c r="AC82" s="34"/>
      <c r="AD82" s="34"/>
      <c r="AE82" s="34"/>
      <c r="AF82" s="34"/>
      <c r="AH82" s="84" t="s">
        <v>100</v>
      </c>
      <c r="AI82" s="84">
        <v>0</v>
      </c>
      <c r="AJ82" s="84">
        <v>8</v>
      </c>
      <c r="AK82" s="84">
        <v>16</v>
      </c>
      <c r="AL82" s="84">
        <v>32</v>
      </c>
      <c r="AM82" s="84">
        <v>64</v>
      </c>
      <c r="AN82" s="84"/>
      <c r="AO82" s="84"/>
      <c r="AP82" s="84"/>
      <c r="AQ82" s="84"/>
      <c r="AR82" s="84"/>
      <c r="AS82" s="84"/>
      <c r="AT82" s="84"/>
      <c r="AU82" s="84"/>
      <c r="AV82" s="84"/>
      <c r="AX82" s="84" t="s">
        <v>100</v>
      </c>
      <c r="AY82" s="84">
        <v>0</v>
      </c>
      <c r="AZ82" s="84">
        <v>8</v>
      </c>
      <c r="BA82" s="84">
        <v>16</v>
      </c>
      <c r="BB82" s="84">
        <v>32</v>
      </c>
      <c r="BC82" s="84">
        <v>64</v>
      </c>
      <c r="BD82" s="84"/>
      <c r="BE82" s="84"/>
      <c r="BF82" s="84"/>
      <c r="BG82" s="84"/>
      <c r="BH82" s="84"/>
      <c r="BI82" s="84"/>
      <c r="BJ82" s="84"/>
      <c r="BK82" s="84"/>
      <c r="BL82" s="84"/>
    </row>
    <row r="83" spans="1:64" x14ac:dyDescent="0.2">
      <c r="B83" t="s">
        <v>57</v>
      </c>
      <c r="C83">
        <f xml:space="preserve"> C79 *'Calibration Plates'!$AA$105</f>
        <v>1822.7073853668878</v>
      </c>
      <c r="D83">
        <f xml:space="preserve"> D79 *'Calibration Plates'!$AA$105</f>
        <v>2172.2498815547747</v>
      </c>
      <c r="E83">
        <f xml:space="preserve"> E79 *'Calibration Plates'!$AA$105</f>
        <v>2090.0393790672688</v>
      </c>
      <c r="F83">
        <f xml:space="preserve"> F79 *'Calibration Plates'!$AA$105</f>
        <v>2151.904260795277</v>
      </c>
      <c r="G83">
        <f xml:space="preserve"> G79 *'Calibration Plates'!$AA$105</f>
        <v>1696.2569865767518</v>
      </c>
      <c r="R83" s="34" t="s">
        <v>57</v>
      </c>
      <c r="S83" s="34">
        <f xml:space="preserve"> S79 *'Calibration Plates'!$AA$105</f>
        <v>6903.7851605859951</v>
      </c>
      <c r="T83" s="34">
        <f xml:space="preserve"> T79 *'Calibration Plates'!$AA$105</f>
        <v>7301.5069877679207</v>
      </c>
      <c r="U83" s="34">
        <f xml:space="preserve"> U79 *'Calibration Plates'!$AA$105</f>
        <v>7118.7699320356851</v>
      </c>
      <c r="V83" s="34">
        <f xml:space="preserve"> V79 *'Calibration Plates'!$AA$105</f>
        <v>7363.2284221518648</v>
      </c>
      <c r="W83" s="34">
        <f xml:space="preserve"> W79 *'Calibration Plates'!$AA$105</f>
        <v>6815.8263374283542</v>
      </c>
      <c r="X83" s="34"/>
      <c r="Y83" s="34"/>
      <c r="Z83" s="34"/>
      <c r="AA83" s="34"/>
      <c r="AB83" s="34"/>
      <c r="AC83" s="34"/>
      <c r="AD83" s="34"/>
      <c r="AE83" s="34"/>
      <c r="AF83" s="34"/>
      <c r="AH83" s="84" t="s">
        <v>57</v>
      </c>
      <c r="AI83" s="84">
        <f xml:space="preserve"> AI79 *'Calibration Plates'!$AA$105</f>
        <v>36499.031389681353</v>
      </c>
      <c r="AJ83" s="84">
        <f xml:space="preserve"> AJ79 *'Calibration Plates'!$AA$105</f>
        <v>37407.199155548995</v>
      </c>
      <c r="AK83" s="84">
        <f xml:space="preserve"> AK79 *'Calibration Plates'!$AA$105</f>
        <v>35291.653161032213</v>
      </c>
      <c r="AL83" s="84">
        <f xml:space="preserve"> AL79 *'Calibration Plates'!$AA$105</f>
        <v>35438.142796918801</v>
      </c>
      <c r="AM83" s="84">
        <f xml:space="preserve"> AM79 *'Calibration Plates'!$AA$105</f>
        <v>31460.263751587114</v>
      </c>
      <c r="AN83" s="84"/>
      <c r="AO83" s="84"/>
      <c r="AP83" s="84"/>
      <c r="AQ83" s="84"/>
      <c r="AR83" s="84"/>
      <c r="AS83" s="84"/>
      <c r="AT83" s="84"/>
      <c r="AU83" s="84"/>
      <c r="AV83" s="84"/>
      <c r="AX83" s="84" t="s">
        <v>57</v>
      </c>
      <c r="AY83" s="84">
        <f xml:space="preserve"> AY79 *'Calibration Plates'!$AA$105</f>
        <v>58460.525563227464</v>
      </c>
      <c r="AZ83" s="84">
        <f xml:space="preserve"> AZ79 *'Calibration Plates'!$AA$105</f>
        <v>58177.199903441324</v>
      </c>
      <c r="BA83" s="84">
        <f xml:space="preserve"> BA79 *'Calibration Plates'!$AA$105</f>
        <v>55854.988654539971</v>
      </c>
      <c r="BB83" s="84">
        <f xml:space="preserve"> BB79 *'Calibration Plates'!$AA$105</f>
        <v>55512.60323714705</v>
      </c>
      <c r="BC83" s="84">
        <f xml:space="preserve"> BC79 *'Calibration Plates'!$AA$105</f>
        <v>55776.357437297418</v>
      </c>
      <c r="BD83" s="84"/>
      <c r="BE83" s="84"/>
      <c r="BF83" s="84"/>
      <c r="BG83" s="84"/>
      <c r="BH83" s="84"/>
      <c r="BI83" s="84"/>
      <c r="BJ83" s="84"/>
      <c r="BK83" s="84"/>
      <c r="BL83" s="84"/>
    </row>
    <row r="84" spans="1:64" x14ac:dyDescent="0.2">
      <c r="B84" t="s">
        <v>56</v>
      </c>
      <c r="C84">
        <f xml:space="preserve"> C80 *'Calibration Plates'!$AA$105</f>
        <v>157.20540691495839</v>
      </c>
      <c r="D84">
        <f xml:space="preserve"> D80 *'Calibration Plates'!$AA$105</f>
        <v>277.38651558734193</v>
      </c>
      <c r="E84">
        <f xml:space="preserve"> E80 *'Calibration Plates'!$AA$105</f>
        <v>172.70119947015746</v>
      </c>
      <c r="F84">
        <f xml:space="preserve"> F80 *'Calibration Plates'!$AA$105</f>
        <v>229.12481052992808</v>
      </c>
      <c r="G84">
        <f xml:space="preserve"> G80 *'Calibration Plates'!$AA$105</f>
        <v>130.35391905213254</v>
      </c>
      <c r="R84" s="34" t="s">
        <v>56</v>
      </c>
      <c r="S84" s="34">
        <f xml:space="preserve"> S80 *'Calibration Plates'!$AA$105</f>
        <v>401.53607312700069</v>
      </c>
      <c r="T84" s="34">
        <f xml:space="preserve"> T80 *'Calibration Plates'!$AA$105</f>
        <v>475.39374460891014</v>
      </c>
      <c r="U84" s="34">
        <f xml:space="preserve"> U80 *'Calibration Plates'!$AA$105</f>
        <v>636.40115677526353</v>
      </c>
      <c r="V84" s="34">
        <f xml:space="preserve"> V80 *'Calibration Plates'!$AA$105</f>
        <v>408.00873291258267</v>
      </c>
      <c r="W84" s="34">
        <f xml:space="preserve"> W80 *'Calibration Plates'!$AA$105</f>
        <v>361.8910319403106</v>
      </c>
      <c r="X84" s="34"/>
      <c r="Y84" s="34"/>
      <c r="Z84" s="34"/>
      <c r="AA84" s="34"/>
      <c r="AB84" s="34"/>
      <c r="AC84" s="34"/>
      <c r="AD84" s="34"/>
      <c r="AE84" s="34"/>
      <c r="AF84" s="34"/>
      <c r="AH84" s="84" t="s">
        <v>56</v>
      </c>
      <c r="AI84" s="84">
        <f xml:space="preserve"> AI80 *'Calibration Plates'!$AA$105</f>
        <v>4399.1075574943497</v>
      </c>
      <c r="AJ84" s="84">
        <f xml:space="preserve"> AJ80 *'Calibration Plates'!$AA$105</f>
        <v>3332.7808343972615</v>
      </c>
      <c r="AK84" s="84">
        <f xml:space="preserve"> AK80 *'Calibration Plates'!$AA$105</f>
        <v>2364.0005741759278</v>
      </c>
      <c r="AL84" s="84">
        <f xml:space="preserve"> AL80 *'Calibration Plates'!$AA$105</f>
        <v>2623.8978864139985</v>
      </c>
      <c r="AM84" s="84">
        <f xml:space="preserve"> AM80 *'Calibration Plates'!$AA$105</f>
        <v>2706.4894908697756</v>
      </c>
      <c r="AN84" s="84"/>
      <c r="AO84" s="84"/>
      <c r="AP84" s="84"/>
      <c r="AQ84" s="84"/>
      <c r="AR84" s="84"/>
      <c r="AS84" s="84"/>
      <c r="AT84" s="84"/>
      <c r="AU84" s="84"/>
      <c r="AV84" s="84"/>
      <c r="AX84" s="84" t="s">
        <v>56</v>
      </c>
      <c r="AY84" s="84">
        <f xml:space="preserve"> AY80 *'Calibration Plates'!$AA$105</f>
        <v>2028.8696068310196</v>
      </c>
      <c r="AZ84" s="84">
        <f xml:space="preserve"> AZ80 *'Calibration Plates'!$AA$105</f>
        <v>2163.1067946858102</v>
      </c>
      <c r="BA84" s="84">
        <f xml:space="preserve"> BA80 *'Calibration Plates'!$AA$105</f>
        <v>1300.8113083801675</v>
      </c>
      <c r="BB84" s="84">
        <f xml:space="preserve"> BB80 *'Calibration Plates'!$AA$105</f>
        <v>3052.6871982483867</v>
      </c>
      <c r="BC84" s="84">
        <f xml:space="preserve"> BC80 *'Calibration Plates'!$AA$105</f>
        <v>2290.2061560851998</v>
      </c>
      <c r="BD84" s="84"/>
      <c r="BE84" s="84"/>
      <c r="BF84" s="84"/>
      <c r="BG84" s="84"/>
      <c r="BH84" s="84"/>
      <c r="BI84" s="84"/>
      <c r="BJ84" s="84"/>
      <c r="BK84" s="84"/>
      <c r="BL84" s="84"/>
    </row>
    <row r="85" spans="1:64" x14ac:dyDescent="0.2"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</row>
    <row r="86" spans="1:64" x14ac:dyDescent="0.2"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</row>
    <row r="87" spans="1:64" x14ac:dyDescent="0.2"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</row>
    <row r="88" spans="1:64" x14ac:dyDescent="0.2"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</row>
    <row r="89" spans="1:64" x14ac:dyDescent="0.2"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</row>
    <row r="90" spans="1:64" x14ac:dyDescent="0.2"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</row>
    <row r="91" spans="1:64" x14ac:dyDescent="0.2"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</row>
    <row r="92" spans="1:64" x14ac:dyDescent="0.2">
      <c r="A92" s="84"/>
      <c r="B92" s="84"/>
      <c r="C92" s="84" t="s">
        <v>124</v>
      </c>
      <c r="D92" s="84" t="s">
        <v>185</v>
      </c>
      <c r="E92" s="84" t="s">
        <v>186</v>
      </c>
      <c r="F92" s="84" t="s">
        <v>187</v>
      </c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 t="s">
        <v>124</v>
      </c>
      <c r="T92" s="84" t="s">
        <v>185</v>
      </c>
      <c r="U92" s="84" t="s">
        <v>186</v>
      </c>
      <c r="V92" s="84" t="s">
        <v>187</v>
      </c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 t="s">
        <v>124</v>
      </c>
      <c r="AJ92" s="84" t="s">
        <v>185</v>
      </c>
      <c r="AK92" s="84" t="s">
        <v>186</v>
      </c>
      <c r="AL92" s="84" t="s">
        <v>187</v>
      </c>
      <c r="AX92" s="84"/>
      <c r="AY92" s="84" t="s">
        <v>124</v>
      </c>
      <c r="AZ92" s="84" t="s">
        <v>185</v>
      </c>
      <c r="BA92" s="84" t="s">
        <v>186</v>
      </c>
      <c r="BB92" s="84" t="s">
        <v>187</v>
      </c>
      <c r="BC92" s="84"/>
      <c r="BD92" s="84"/>
      <c r="BE92" s="84"/>
      <c r="BF92" s="84"/>
      <c r="BG92" s="84"/>
      <c r="BH92" s="84"/>
      <c r="BI92" s="84"/>
      <c r="BJ92" s="84"/>
      <c r="BK92" s="84"/>
      <c r="BL92" s="84"/>
    </row>
    <row r="93" spans="1:64" x14ac:dyDescent="0.2">
      <c r="A93" s="84"/>
      <c r="B93" s="84"/>
      <c r="C93" s="84" t="s">
        <v>125</v>
      </c>
      <c r="D93" s="84">
        <f>E53</f>
        <v>18905</v>
      </c>
      <c r="E93" s="84">
        <f>D93-AVERAGE($D$93,$D$94,$D$95,$D$96,$D$97)</f>
        <v>432.20000000000073</v>
      </c>
      <c r="F93" s="84">
        <f>E93/AVERAGE($D$98,$D$99,$D$100,$D$101,$D$102)</f>
        <v>5.5647786848118204E-4</v>
      </c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 t="s">
        <v>125</v>
      </c>
      <c r="T93" s="84">
        <f>U53</f>
        <v>20099</v>
      </c>
      <c r="U93" s="84">
        <f>ROUND(T93-AVERAGE($T$93:$T$97),0)</f>
        <v>-1923</v>
      </c>
      <c r="V93" s="84">
        <f>U93/AVERAGE($T$98:$T$102)</f>
        <v>-2.4098783205692077E-3</v>
      </c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 t="s">
        <v>125</v>
      </c>
      <c r="AJ93" s="84">
        <f>AK53</f>
        <v>23020</v>
      </c>
      <c r="AK93" s="84">
        <f>ROUND(AJ93-AVERAGE($AJ$93:$AJ$97),0)</f>
        <v>-927</v>
      </c>
      <c r="AL93" s="84">
        <f>AK93/AVERAGE($AJ$98:$AJ$102)</f>
        <v>-1.1366322726073339E-3</v>
      </c>
      <c r="AX93" s="84"/>
      <c r="AY93" s="84" t="s">
        <v>125</v>
      </c>
      <c r="AZ93" s="84">
        <f>BA53</f>
        <v>22836</v>
      </c>
      <c r="BA93" s="84">
        <f>ROUND(AZ93-AVERAGE($AZ$93:$AZ$97),0)</f>
        <v>-529</v>
      </c>
      <c r="BB93" s="84">
        <f>BA93/AVERAGE($AZ$98:$AZ$102)</f>
        <v>-6.5928089279344913E-4</v>
      </c>
      <c r="BC93" s="84"/>
      <c r="BD93" s="84"/>
      <c r="BE93" s="84"/>
      <c r="BF93" s="84"/>
      <c r="BG93" s="84"/>
      <c r="BH93" s="84"/>
      <c r="BI93" s="84"/>
      <c r="BJ93" s="84"/>
      <c r="BK93" s="84"/>
      <c r="BL93" s="84"/>
    </row>
    <row r="94" spans="1:64" x14ac:dyDescent="0.2">
      <c r="A94" s="84"/>
      <c r="B94" s="84"/>
      <c r="C94" s="84" t="s">
        <v>126</v>
      </c>
      <c r="D94" s="84">
        <f>F53</f>
        <v>18764</v>
      </c>
      <c r="E94" s="84">
        <f t="shared" ref="E94:E152" si="22">D94-AVERAGE($D$93,$D$94,$D$95,$D$96,$D$97)</f>
        <v>291.20000000000073</v>
      </c>
      <c r="F94" s="84">
        <f t="shared" ref="F94:F152" si="23">E94/AVERAGE($D$98,$D$99,$D$100,$D$101,$D$102)</f>
        <v>3.7493372351161578E-4</v>
      </c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 t="s">
        <v>126</v>
      </c>
      <c r="T94" s="84">
        <f>V53</f>
        <v>22207</v>
      </c>
      <c r="U94" s="84">
        <f t="shared" ref="U94:U152" si="24">ROUND(T94-AVERAGE($T$93:$T$97),0)</f>
        <v>185</v>
      </c>
      <c r="V94" s="84">
        <f t="shared" ref="V94:V152" si="25">U94/AVERAGE($T$98:$T$102)</f>
        <v>2.3183956802147864E-4</v>
      </c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 t="s">
        <v>126</v>
      </c>
      <c r="AJ94" s="84">
        <f>AL53</f>
        <v>23431</v>
      </c>
      <c r="AK94" s="84">
        <f t="shared" ref="AK94:AK152" si="26">ROUND(AJ94-AVERAGE($AJ$93:$AJ$97),0)</f>
        <v>-516</v>
      </c>
      <c r="AL94" s="84">
        <f t="shared" ref="AL94:AL152" si="27">AK94/AVERAGE($AJ$98:$AJ$102)</f>
        <v>-6.3268851420214057E-4</v>
      </c>
      <c r="AX94" s="84"/>
      <c r="AY94" s="84" t="s">
        <v>126</v>
      </c>
      <c r="AZ94" s="84">
        <f>BB53</f>
        <v>23009</v>
      </c>
      <c r="BA94" s="84">
        <f t="shared" ref="BA94:BA152" si="28">ROUND(AZ94-AVERAGE($AZ$93:$AZ$97),0)</f>
        <v>-356</v>
      </c>
      <c r="BB94" s="84">
        <f t="shared" ref="BB94:BB152" si="29">BA94/AVERAGE($AZ$98:$AZ$102)</f>
        <v>-4.4367485412942894E-4</v>
      </c>
      <c r="BC94" s="84"/>
      <c r="BD94" s="84"/>
      <c r="BE94" s="84"/>
      <c r="BF94" s="84"/>
      <c r="BG94" s="84"/>
      <c r="BH94" s="84"/>
      <c r="BI94" s="84"/>
      <c r="BJ94" s="84"/>
      <c r="BK94" s="84"/>
      <c r="BL94" s="84"/>
    </row>
    <row r="95" spans="1:64" x14ac:dyDescent="0.2">
      <c r="A95" s="84"/>
      <c r="B95" s="84"/>
      <c r="C95" s="84" t="s">
        <v>127</v>
      </c>
      <c r="D95" s="84">
        <f>G53</f>
        <v>18701</v>
      </c>
      <c r="E95" s="84">
        <f t="shared" si="22"/>
        <v>228.20000000000073</v>
      </c>
      <c r="F95" s="84">
        <f t="shared" si="23"/>
        <v>2.9381825448266064E-4</v>
      </c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 t="s">
        <v>127</v>
      </c>
      <c r="T95" s="84">
        <f>W53</f>
        <v>22599</v>
      </c>
      <c r="U95" s="84">
        <f t="shared" si="24"/>
        <v>577</v>
      </c>
      <c r="V95" s="84">
        <f t="shared" si="25"/>
        <v>7.2308881485617926E-4</v>
      </c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 t="s">
        <v>127</v>
      </c>
      <c r="AJ95" s="84">
        <f>AM53</f>
        <v>24566</v>
      </c>
      <c r="AK95" s="84">
        <f t="shared" si="26"/>
        <v>619</v>
      </c>
      <c r="AL95" s="84">
        <f t="shared" si="27"/>
        <v>7.5898098893628879E-4</v>
      </c>
      <c r="AX95" s="84"/>
      <c r="AY95" s="84" t="s">
        <v>127</v>
      </c>
      <c r="AZ95" s="84">
        <f>BC53</f>
        <v>23155</v>
      </c>
      <c r="BA95" s="84">
        <f t="shared" si="28"/>
        <v>-210</v>
      </c>
      <c r="BB95" s="84">
        <f t="shared" si="29"/>
        <v>-2.6171831282915752E-4</v>
      </c>
      <c r="BC95" s="84"/>
      <c r="BD95" s="84"/>
      <c r="BE95" s="84"/>
      <c r="BF95" s="84"/>
      <c r="BG95" s="84"/>
      <c r="BH95" s="84"/>
      <c r="BI95" s="84"/>
      <c r="BJ95" s="84"/>
      <c r="BK95" s="84"/>
      <c r="BL95" s="84"/>
    </row>
    <row r="96" spans="1:64" x14ac:dyDescent="0.2">
      <c r="A96" s="84"/>
      <c r="B96" s="84"/>
      <c r="C96" s="84" t="s">
        <v>128</v>
      </c>
      <c r="D96" s="84">
        <f>H53</f>
        <v>18653</v>
      </c>
      <c r="E96" s="84">
        <f t="shared" si="22"/>
        <v>180.20000000000073</v>
      </c>
      <c r="F96" s="84">
        <f t="shared" si="23"/>
        <v>2.3201599236536151E-4</v>
      </c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 t="s">
        <v>128</v>
      </c>
      <c r="T96" s="84">
        <f>X53</f>
        <v>22686</v>
      </c>
      <c r="U96" s="84">
        <f t="shared" si="24"/>
        <v>664</v>
      </c>
      <c r="V96" s="84">
        <f t="shared" si="25"/>
        <v>8.3211607116898275E-4</v>
      </c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 t="s">
        <v>128</v>
      </c>
      <c r="AJ96" s="84">
        <f>AN53</f>
        <v>24550</v>
      </c>
      <c r="AK96" s="84">
        <f t="shared" si="26"/>
        <v>603</v>
      </c>
      <c r="AL96" s="84">
        <f t="shared" si="27"/>
        <v>7.3936274043389684E-4</v>
      </c>
      <c r="AX96" s="84"/>
      <c r="AY96" s="84" t="s">
        <v>128</v>
      </c>
      <c r="AZ96" s="84">
        <f>BD53</f>
        <v>23470</v>
      </c>
      <c r="BA96" s="84">
        <f t="shared" si="28"/>
        <v>105</v>
      </c>
      <c r="BB96" s="84">
        <f t="shared" si="29"/>
        <v>1.3085915641457876E-4</v>
      </c>
      <c r="BC96" s="84"/>
      <c r="BD96" s="84"/>
      <c r="BE96" s="84"/>
      <c r="BF96" s="84"/>
      <c r="BG96" s="84"/>
      <c r="BH96" s="84"/>
      <c r="BI96" s="84"/>
      <c r="BJ96" s="84"/>
      <c r="BK96" s="84"/>
      <c r="BL96" s="84"/>
    </row>
    <row r="97" spans="1:64" x14ac:dyDescent="0.2">
      <c r="A97" s="84"/>
      <c r="B97" s="84"/>
      <c r="C97" s="84" t="s">
        <v>129</v>
      </c>
      <c r="D97" s="84">
        <f>I53</f>
        <v>17341</v>
      </c>
      <c r="E97" s="84">
        <f t="shared" si="22"/>
        <v>-1131.7999999999993</v>
      </c>
      <c r="F97" s="84">
        <f t="shared" si="23"/>
        <v>-1.4572458388408152E-3</v>
      </c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 t="s">
        <v>129</v>
      </c>
      <c r="T97" s="84">
        <f>Y53</f>
        <v>22518</v>
      </c>
      <c r="U97" s="84">
        <f t="shared" si="24"/>
        <v>496</v>
      </c>
      <c r="V97" s="84">
        <f t="shared" si="25"/>
        <v>6.215806796683967E-4</v>
      </c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 t="s">
        <v>129</v>
      </c>
      <c r="AJ97" s="84">
        <f>AO53</f>
        <v>24170</v>
      </c>
      <c r="AK97" s="84">
        <f t="shared" si="26"/>
        <v>223</v>
      </c>
      <c r="AL97" s="84">
        <f t="shared" si="27"/>
        <v>2.7342933850208791E-4</v>
      </c>
      <c r="AX97" s="84"/>
      <c r="AY97" s="84" t="s">
        <v>129</v>
      </c>
      <c r="AZ97" s="84">
        <f>BE53</f>
        <v>24355</v>
      </c>
      <c r="BA97" s="84">
        <f t="shared" si="28"/>
        <v>990</v>
      </c>
      <c r="BB97" s="84">
        <f t="shared" si="29"/>
        <v>1.2338149033374569E-3</v>
      </c>
      <c r="BC97" s="84"/>
      <c r="BD97" s="84"/>
      <c r="BE97" s="84"/>
      <c r="BF97" s="84"/>
      <c r="BG97" s="84"/>
      <c r="BH97" s="84"/>
      <c r="BI97" s="84"/>
      <c r="BJ97" s="84"/>
      <c r="BK97" s="84"/>
      <c r="BL97" s="84"/>
    </row>
    <row r="98" spans="1:64" x14ac:dyDescent="0.2">
      <c r="A98" s="84"/>
      <c r="B98" s="84"/>
      <c r="C98" s="84" t="s">
        <v>130</v>
      </c>
      <c r="D98" s="84">
        <f>J53</f>
        <v>777137</v>
      </c>
      <c r="E98" s="84">
        <f t="shared" si="22"/>
        <v>758664.2</v>
      </c>
      <c r="F98" s="84">
        <f t="shared" si="23"/>
        <v>0.97681591140439716</v>
      </c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 t="s">
        <v>130</v>
      </c>
      <c r="T98" s="84">
        <f>Z53</f>
        <v>789326</v>
      </c>
      <c r="U98" s="84">
        <f t="shared" si="24"/>
        <v>767304</v>
      </c>
      <c r="V98" s="84">
        <f t="shared" si="25"/>
        <v>0.96157528595217645</v>
      </c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 t="s">
        <v>130</v>
      </c>
      <c r="AJ98" s="84">
        <f>AP53</f>
        <v>821554</v>
      </c>
      <c r="AK98" s="84">
        <f t="shared" si="26"/>
        <v>797607</v>
      </c>
      <c r="AL98" s="84">
        <f t="shared" si="27"/>
        <v>0.97797827082795885</v>
      </c>
      <c r="AX98" s="84"/>
      <c r="AY98" s="84" t="s">
        <v>130</v>
      </c>
      <c r="AZ98" s="84">
        <f>BF53</f>
        <v>817221</v>
      </c>
      <c r="BA98" s="84">
        <f t="shared" si="28"/>
        <v>793856</v>
      </c>
      <c r="BB98" s="84">
        <f t="shared" si="29"/>
        <v>0.9893650140443031</v>
      </c>
      <c r="BC98" s="84"/>
      <c r="BD98" s="84"/>
      <c r="BE98" s="84"/>
      <c r="BF98" s="84"/>
      <c r="BG98" s="84"/>
      <c r="BH98" s="84"/>
      <c r="BI98" s="84"/>
      <c r="BJ98" s="84"/>
      <c r="BK98" s="84"/>
      <c r="BL98" s="84"/>
    </row>
    <row r="99" spans="1:64" x14ac:dyDescent="0.2">
      <c r="A99" s="84"/>
      <c r="B99" s="84"/>
      <c r="C99" s="84" t="s">
        <v>131</v>
      </c>
      <c r="D99" s="84">
        <f>K53</f>
        <v>767436</v>
      </c>
      <c r="E99" s="84">
        <f t="shared" si="22"/>
        <v>748963.2</v>
      </c>
      <c r="F99" s="84">
        <f t="shared" si="23"/>
        <v>0.96432541672106553</v>
      </c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 t="s">
        <v>131</v>
      </c>
      <c r="T99" s="84">
        <f>AA53</f>
        <v>794516</v>
      </c>
      <c r="U99" s="84">
        <f t="shared" si="24"/>
        <v>772494</v>
      </c>
      <c r="V99" s="84">
        <f t="shared" si="25"/>
        <v>0.96807932572531952</v>
      </c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 t="s">
        <v>131</v>
      </c>
      <c r="AJ99" s="84">
        <f>AQ53</f>
        <v>823171</v>
      </c>
      <c r="AK99" s="84">
        <f t="shared" si="26"/>
        <v>799224</v>
      </c>
      <c r="AL99" s="84">
        <f t="shared" si="27"/>
        <v>0.97996094006723178</v>
      </c>
      <c r="AX99" s="84"/>
      <c r="AY99" s="84" t="s">
        <v>131</v>
      </c>
      <c r="AZ99" s="84">
        <f>BG53</f>
        <v>787361</v>
      </c>
      <c r="BA99" s="84">
        <f t="shared" si="28"/>
        <v>763996</v>
      </c>
      <c r="BB99" s="84">
        <f t="shared" si="29"/>
        <v>0.95215116251535725</v>
      </c>
      <c r="BC99" s="84"/>
      <c r="BD99" s="84"/>
      <c r="BE99" s="84"/>
      <c r="BF99" s="84"/>
      <c r="BG99" s="84"/>
      <c r="BH99" s="84"/>
      <c r="BI99" s="84"/>
      <c r="BJ99" s="84"/>
      <c r="BK99" s="84"/>
      <c r="BL99" s="84"/>
    </row>
    <row r="100" spans="1:64" x14ac:dyDescent="0.2">
      <c r="A100" s="84"/>
      <c r="B100" s="84"/>
      <c r="C100" s="84" t="s">
        <v>132</v>
      </c>
      <c r="D100" s="84">
        <f>L53</f>
        <v>780763</v>
      </c>
      <c r="E100" s="84">
        <f t="shared" si="22"/>
        <v>762290.2</v>
      </c>
      <c r="F100" s="84">
        <f t="shared" si="23"/>
        <v>0.98148455728850814</v>
      </c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 t="s">
        <v>132</v>
      </c>
      <c r="T100" s="84">
        <f>AB53</f>
        <v>807085</v>
      </c>
      <c r="U100" s="84">
        <f t="shared" si="24"/>
        <v>785063</v>
      </c>
      <c r="V100" s="84">
        <f t="shared" si="25"/>
        <v>0.98383063129538417</v>
      </c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 t="s">
        <v>132</v>
      </c>
      <c r="AJ100" s="84">
        <f>AR53</f>
        <v>807789</v>
      </c>
      <c r="AK100" s="84">
        <f t="shared" si="26"/>
        <v>783842</v>
      </c>
      <c r="AL100" s="84">
        <f t="shared" si="27"/>
        <v>0.96110044641324477</v>
      </c>
      <c r="AX100" s="84"/>
      <c r="AY100" s="84" t="s">
        <v>132</v>
      </c>
      <c r="AZ100" s="84">
        <f>BH53</f>
        <v>807391</v>
      </c>
      <c r="BA100" s="84">
        <f t="shared" si="28"/>
        <v>784026</v>
      </c>
      <c r="BB100" s="84">
        <f t="shared" si="29"/>
        <v>0.9771141044485383</v>
      </c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</row>
    <row r="101" spans="1:64" x14ac:dyDescent="0.2">
      <c r="A101" s="84"/>
      <c r="B101" s="84"/>
      <c r="C101" s="84" t="s">
        <v>133</v>
      </c>
      <c r="D101" s="84">
        <f>M53</f>
        <v>782600</v>
      </c>
      <c r="E101" s="84">
        <f t="shared" si="22"/>
        <v>764127.2</v>
      </c>
      <c r="F101" s="84">
        <f t="shared" si="23"/>
        <v>0.98384978136162227</v>
      </c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 t="s">
        <v>133</v>
      </c>
      <c r="T101" s="84">
        <f>AC53</f>
        <v>802477</v>
      </c>
      <c r="U101" s="84">
        <f t="shared" si="24"/>
        <v>780455</v>
      </c>
      <c r="V101" s="84">
        <f t="shared" si="25"/>
        <v>0.97805594627136816</v>
      </c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 t="s">
        <v>133</v>
      </c>
      <c r="AJ101" s="84">
        <f>AS53</f>
        <v>814269</v>
      </c>
      <c r="AK101" s="84">
        <f t="shared" si="26"/>
        <v>790322</v>
      </c>
      <c r="AL101" s="84">
        <f t="shared" si="27"/>
        <v>0.96904583705671343</v>
      </c>
      <c r="AX101" s="84"/>
      <c r="AY101" s="84" t="s">
        <v>133</v>
      </c>
      <c r="AZ101" s="84">
        <f>BI53</f>
        <v>799070</v>
      </c>
      <c r="BA101" s="84">
        <f t="shared" si="28"/>
        <v>775705</v>
      </c>
      <c r="BB101" s="84">
        <f t="shared" si="29"/>
        <v>0.966743827872103</v>
      </c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</row>
    <row r="102" spans="1:64" x14ac:dyDescent="0.2">
      <c r="A102" s="84"/>
      <c r="B102" s="84"/>
      <c r="C102" s="84" t="s">
        <v>134</v>
      </c>
      <c r="D102" s="84">
        <f>N53</f>
        <v>775417</v>
      </c>
      <c r="E102" s="84">
        <f t="shared" si="22"/>
        <v>756944.2</v>
      </c>
      <c r="F102" s="84">
        <f t="shared" si="23"/>
        <v>0.97460133034519392</v>
      </c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 t="s">
        <v>134</v>
      </c>
      <c r="T102" s="84">
        <f>AD53</f>
        <v>796424</v>
      </c>
      <c r="U102" s="84">
        <f t="shared" si="24"/>
        <v>774402</v>
      </c>
      <c r="V102" s="84">
        <f t="shared" si="25"/>
        <v>0.97047040624307612</v>
      </c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 t="s">
        <v>134</v>
      </c>
      <c r="AJ102" s="84">
        <f>AT53</f>
        <v>811053</v>
      </c>
      <c r="AK102" s="84">
        <f t="shared" si="26"/>
        <v>787106</v>
      </c>
      <c r="AL102" s="84">
        <f t="shared" si="27"/>
        <v>0.96510256910773273</v>
      </c>
      <c r="AX102" s="84"/>
      <c r="AY102" s="84" t="s">
        <v>134</v>
      </c>
      <c r="AZ102" s="84">
        <f>BJ53</f>
        <v>800904</v>
      </c>
      <c r="BA102" s="84">
        <f t="shared" si="28"/>
        <v>777539</v>
      </c>
      <c r="BB102" s="84">
        <f t="shared" si="29"/>
        <v>0.96902950113747766</v>
      </c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</row>
    <row r="103" spans="1:64" x14ac:dyDescent="0.2">
      <c r="A103" s="84"/>
      <c r="B103" s="84"/>
      <c r="C103" s="84" t="s">
        <v>135</v>
      </c>
      <c r="D103" s="84">
        <f>E54</f>
        <v>35647</v>
      </c>
      <c r="E103" s="84">
        <f t="shared" si="22"/>
        <v>17174.2</v>
      </c>
      <c r="F103" s="84">
        <f t="shared" si="23"/>
        <v>2.2112591876144148E-2</v>
      </c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 t="s">
        <v>135</v>
      </c>
      <c r="T103" s="84">
        <f>U54</f>
        <v>74117</v>
      </c>
      <c r="U103" s="84">
        <f t="shared" si="24"/>
        <v>52095</v>
      </c>
      <c r="V103" s="84">
        <f t="shared" si="25"/>
        <v>6.5284769167994208E-2</v>
      </c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 t="s">
        <v>135</v>
      </c>
      <c r="AJ103" s="84">
        <f>AK54</f>
        <v>313540</v>
      </c>
      <c r="AK103" s="84">
        <f t="shared" si="26"/>
        <v>289593</v>
      </c>
      <c r="AL103" s="84">
        <f t="shared" si="27"/>
        <v>0.35508171490957463</v>
      </c>
      <c r="AX103" s="84"/>
      <c r="AY103" s="84" t="s">
        <v>135</v>
      </c>
      <c r="AZ103" s="84">
        <f>BA54</f>
        <v>541141</v>
      </c>
      <c r="BA103" s="84">
        <f t="shared" si="28"/>
        <v>517776</v>
      </c>
      <c r="BB103" s="84">
        <f t="shared" si="29"/>
        <v>0.64529267211157071</v>
      </c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</row>
    <row r="104" spans="1:64" x14ac:dyDescent="0.2">
      <c r="A104" s="84"/>
      <c r="B104" s="84"/>
      <c r="C104" s="84" t="s">
        <v>136</v>
      </c>
      <c r="D104" s="84">
        <f>F54</f>
        <v>34666</v>
      </c>
      <c r="E104" s="84">
        <f t="shared" si="22"/>
        <v>16193.2</v>
      </c>
      <c r="F104" s="84">
        <f t="shared" si="23"/>
        <v>2.0849508144121846E-2</v>
      </c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 t="s">
        <v>136</v>
      </c>
      <c r="T104" s="84">
        <f>V54</f>
        <v>79122</v>
      </c>
      <c r="U104" s="84">
        <f t="shared" si="24"/>
        <v>57100</v>
      </c>
      <c r="V104" s="84">
        <f t="shared" si="25"/>
        <v>7.1556969373115842E-2</v>
      </c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 t="s">
        <v>136</v>
      </c>
      <c r="AJ104" s="84">
        <f>AL54</f>
        <v>349770</v>
      </c>
      <c r="AK104" s="84">
        <f t="shared" si="26"/>
        <v>325823</v>
      </c>
      <c r="AL104" s="84">
        <f t="shared" si="27"/>
        <v>0.3995047863621784</v>
      </c>
      <c r="AX104" s="84"/>
      <c r="AY104" s="84" t="s">
        <v>136</v>
      </c>
      <c r="AZ104" s="84">
        <f>BB54</f>
        <v>508162</v>
      </c>
      <c r="BA104" s="84">
        <f t="shared" si="28"/>
        <v>484797</v>
      </c>
      <c r="BB104" s="84">
        <f t="shared" si="29"/>
        <v>0.60419168049827177</v>
      </c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</row>
    <row r="105" spans="1:64" x14ac:dyDescent="0.2">
      <c r="A105" s="84"/>
      <c r="B105" s="84"/>
      <c r="C105" s="84" t="s">
        <v>137</v>
      </c>
      <c r="D105" s="84">
        <f>G54</f>
        <v>34477</v>
      </c>
      <c r="E105" s="84">
        <f t="shared" si="22"/>
        <v>16004.2</v>
      </c>
      <c r="F105" s="84">
        <f t="shared" si="23"/>
        <v>2.0606161737034983E-2</v>
      </c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 t="s">
        <v>137</v>
      </c>
      <c r="T105" s="84">
        <f>W54</f>
        <v>80791</v>
      </c>
      <c r="U105" s="84">
        <f t="shared" si="24"/>
        <v>58769</v>
      </c>
      <c r="V105" s="84">
        <f t="shared" si="25"/>
        <v>7.3648538232725824E-2</v>
      </c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 t="s">
        <v>137</v>
      </c>
      <c r="AJ105" s="84">
        <f>AM54</f>
        <v>353693</v>
      </c>
      <c r="AK105" s="84">
        <f t="shared" si="26"/>
        <v>329746</v>
      </c>
      <c r="AL105" s="84">
        <f t="shared" si="27"/>
        <v>0.40431493566685861</v>
      </c>
      <c r="AX105" s="84"/>
      <c r="AY105" s="84" t="s">
        <v>137</v>
      </c>
      <c r="AZ105" s="84">
        <f>BC54</f>
        <v>519702</v>
      </c>
      <c r="BA105" s="84">
        <f t="shared" si="28"/>
        <v>496337</v>
      </c>
      <c r="BB105" s="84">
        <f t="shared" si="29"/>
        <v>0.61857372492707408</v>
      </c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</row>
    <row r="106" spans="1:64" x14ac:dyDescent="0.2">
      <c r="A106" s="84"/>
      <c r="B106" s="84"/>
      <c r="C106" s="84" t="s">
        <v>138</v>
      </c>
      <c r="D106" s="84">
        <f>H54</f>
        <v>31474</v>
      </c>
      <c r="E106" s="84">
        <f t="shared" si="22"/>
        <v>13001.2</v>
      </c>
      <c r="F106" s="84">
        <f t="shared" si="23"/>
        <v>1.6739657713321452E-2</v>
      </c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 t="s">
        <v>138</v>
      </c>
      <c r="T106" s="84">
        <f>X54</f>
        <v>81662</v>
      </c>
      <c r="U106" s="84">
        <f t="shared" si="24"/>
        <v>59640</v>
      </c>
      <c r="V106" s="84">
        <f t="shared" si="25"/>
        <v>7.4740063982708035E-2</v>
      </c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 t="s">
        <v>138</v>
      </c>
      <c r="AJ106" s="84">
        <f>AN54</f>
        <v>365904</v>
      </c>
      <c r="AK106" s="84">
        <f t="shared" si="26"/>
        <v>341957</v>
      </c>
      <c r="AL106" s="84">
        <f t="shared" si="27"/>
        <v>0.41928733769577786</v>
      </c>
      <c r="AX106" s="84"/>
      <c r="AY106" s="84" t="s">
        <v>138</v>
      </c>
      <c r="AZ106" s="84">
        <f>BD54</f>
        <v>545223</v>
      </c>
      <c r="BA106" s="84">
        <f t="shared" si="28"/>
        <v>521858</v>
      </c>
      <c r="BB106" s="84">
        <f t="shared" si="29"/>
        <v>0.65037997760189747</v>
      </c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</row>
    <row r="107" spans="1:64" x14ac:dyDescent="0.2">
      <c r="A107" s="84"/>
      <c r="B107" s="84"/>
      <c r="C107" s="84" t="s">
        <v>139</v>
      </c>
      <c r="D107" s="84">
        <f>I54</f>
        <v>35071</v>
      </c>
      <c r="E107" s="84">
        <f t="shared" si="22"/>
        <v>16598.2</v>
      </c>
      <c r="F107" s="84">
        <f t="shared" si="23"/>
        <v>2.1370964730736557E-2</v>
      </c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 t="s">
        <v>139</v>
      </c>
      <c r="T107" s="84">
        <f>Y54</f>
        <v>87371</v>
      </c>
      <c r="U107" s="84">
        <f t="shared" si="24"/>
        <v>65349</v>
      </c>
      <c r="V107" s="84">
        <f t="shared" si="25"/>
        <v>8.1894507733165436E-2</v>
      </c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 t="s">
        <v>139</v>
      </c>
      <c r="AJ107" s="84">
        <f>AO54</f>
        <v>327680</v>
      </c>
      <c r="AK107" s="84">
        <f t="shared" si="26"/>
        <v>303733</v>
      </c>
      <c r="AL107" s="84">
        <f t="shared" si="27"/>
        <v>0.37241934202356353</v>
      </c>
      <c r="AX107" s="84"/>
      <c r="AY107" s="84" t="s">
        <v>139</v>
      </c>
      <c r="AZ107" s="84">
        <f>BE54</f>
        <v>548945</v>
      </c>
      <c r="BA107" s="84">
        <f t="shared" si="28"/>
        <v>525580</v>
      </c>
      <c r="BB107" s="84">
        <f t="shared" si="29"/>
        <v>0.65501862312737424</v>
      </c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</row>
    <row r="108" spans="1:64" x14ac:dyDescent="0.2">
      <c r="A108" s="84"/>
      <c r="B108" s="84"/>
      <c r="C108" s="84" t="s">
        <v>140</v>
      </c>
      <c r="D108" s="84">
        <f>J54</f>
        <v>35198</v>
      </c>
      <c r="E108" s="84">
        <f t="shared" si="22"/>
        <v>16725.2</v>
      </c>
      <c r="F108" s="84">
        <f t="shared" si="23"/>
        <v>2.1534483215921912E-2</v>
      </c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 t="s">
        <v>140</v>
      </c>
      <c r="T108" s="84">
        <f>Z54</f>
        <v>81606</v>
      </c>
      <c r="U108" s="84">
        <f t="shared" si="24"/>
        <v>59584</v>
      </c>
      <c r="V108" s="84">
        <f t="shared" si="25"/>
        <v>7.4669885518874504E-2</v>
      </c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 t="s">
        <v>140</v>
      </c>
      <c r="AJ108" s="84">
        <f>AP54</f>
        <v>354088</v>
      </c>
      <c r="AK108" s="84">
        <f t="shared" si="26"/>
        <v>330141</v>
      </c>
      <c r="AL108" s="84">
        <f t="shared" si="27"/>
        <v>0.4047992611767614</v>
      </c>
      <c r="AX108" s="84"/>
      <c r="AY108" s="84" t="s">
        <v>140</v>
      </c>
      <c r="AZ108" s="84">
        <f>BF54</f>
        <v>528688</v>
      </c>
      <c r="BA108" s="84">
        <f t="shared" si="28"/>
        <v>505323</v>
      </c>
      <c r="BB108" s="84">
        <f t="shared" si="29"/>
        <v>0.62977277616080174</v>
      </c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</row>
    <row r="109" spans="1:64" x14ac:dyDescent="0.2">
      <c r="A109" s="84"/>
      <c r="B109" s="84"/>
      <c r="C109" s="84" t="s">
        <v>141</v>
      </c>
      <c r="D109" s="84">
        <f>K54</f>
        <v>34248</v>
      </c>
      <c r="E109" s="84">
        <f t="shared" si="22"/>
        <v>15775.2</v>
      </c>
      <c r="F109" s="84">
        <f t="shared" si="23"/>
        <v>2.0311313444850366E-2</v>
      </c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 t="s">
        <v>141</v>
      </c>
      <c r="T109" s="84">
        <f>AA54</f>
        <v>82077</v>
      </c>
      <c r="U109" s="84">
        <f t="shared" si="24"/>
        <v>60055</v>
      </c>
      <c r="V109" s="84">
        <f t="shared" si="25"/>
        <v>7.5260136527188645E-2</v>
      </c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 t="s">
        <v>141</v>
      </c>
      <c r="AJ109" s="84">
        <f>AQ54</f>
        <v>417989</v>
      </c>
      <c r="AK109" s="84">
        <f t="shared" si="26"/>
        <v>394042</v>
      </c>
      <c r="AL109" s="84">
        <f t="shared" si="27"/>
        <v>0.4831508672737207</v>
      </c>
      <c r="AX109" s="84"/>
      <c r="AY109" s="84" t="s">
        <v>141</v>
      </c>
      <c r="AZ109" s="84">
        <f>BG54</f>
        <v>546853</v>
      </c>
      <c r="BA109" s="84">
        <f t="shared" si="28"/>
        <v>523488</v>
      </c>
      <c r="BB109" s="84">
        <f t="shared" si="29"/>
        <v>0.65241141022052385</v>
      </c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</row>
    <row r="110" spans="1:64" x14ac:dyDescent="0.2">
      <c r="A110" s="84"/>
      <c r="B110" s="84"/>
      <c r="C110" s="84" t="s">
        <v>142</v>
      </c>
      <c r="D110" s="84">
        <f>L54</f>
        <v>32619</v>
      </c>
      <c r="E110" s="84">
        <f t="shared" si="22"/>
        <v>14146.2</v>
      </c>
      <c r="F110" s="84">
        <f t="shared" si="23"/>
        <v>1.8213899174244527E-2</v>
      </c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 t="s">
        <v>142</v>
      </c>
      <c r="T110" s="84">
        <f>AB54</f>
        <v>82041</v>
      </c>
      <c r="U110" s="84">
        <f t="shared" si="24"/>
        <v>60019</v>
      </c>
      <c r="V110" s="84">
        <f t="shared" si="25"/>
        <v>7.5215021800438514E-2</v>
      </c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 t="s">
        <v>142</v>
      </c>
      <c r="AJ110" s="84">
        <f>AR54</f>
        <v>363182</v>
      </c>
      <c r="AK110" s="84">
        <f t="shared" si="26"/>
        <v>339235</v>
      </c>
      <c r="AL110" s="84">
        <f t="shared" si="27"/>
        <v>0.41594978316930847</v>
      </c>
      <c r="AX110" s="84"/>
      <c r="AY110" s="84" t="s">
        <v>142</v>
      </c>
      <c r="AZ110" s="84">
        <f>BH54</f>
        <v>541598</v>
      </c>
      <c r="BA110" s="84">
        <f t="shared" si="28"/>
        <v>518233</v>
      </c>
      <c r="BB110" s="84">
        <f t="shared" si="29"/>
        <v>0.64586222101139423</v>
      </c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</row>
    <row r="111" spans="1:64" x14ac:dyDescent="0.2">
      <c r="A111" s="84"/>
      <c r="B111" s="84"/>
      <c r="C111" s="84" t="s">
        <v>143</v>
      </c>
      <c r="D111" s="84">
        <f>M54</f>
        <v>32997</v>
      </c>
      <c r="E111" s="84">
        <f t="shared" si="22"/>
        <v>14524.2</v>
      </c>
      <c r="F111" s="84">
        <f t="shared" si="23"/>
        <v>1.8700591988418256E-2</v>
      </c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 t="s">
        <v>143</v>
      </c>
      <c r="T111" s="84">
        <f>AC54</f>
        <v>86497</v>
      </c>
      <c r="U111" s="84">
        <f t="shared" si="24"/>
        <v>64475</v>
      </c>
      <c r="V111" s="84">
        <f t="shared" si="25"/>
        <v>8.079922242262072E-2</v>
      </c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 t="s">
        <v>143</v>
      </c>
      <c r="AJ111" s="84">
        <f>AS54</f>
        <v>356238</v>
      </c>
      <c r="AK111" s="84">
        <f t="shared" si="26"/>
        <v>332291</v>
      </c>
      <c r="AL111" s="84">
        <f t="shared" si="27"/>
        <v>0.40743546331927033</v>
      </c>
      <c r="AX111" s="84"/>
      <c r="AY111" s="84" t="s">
        <v>143</v>
      </c>
      <c r="AZ111" s="84">
        <f>BI54</f>
        <v>537883</v>
      </c>
      <c r="BA111" s="84">
        <f t="shared" si="28"/>
        <v>514518</v>
      </c>
      <c r="BB111" s="84">
        <f t="shared" si="29"/>
        <v>0.64123229942967841</v>
      </c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</row>
    <row r="112" spans="1:64" x14ac:dyDescent="0.2">
      <c r="A112" s="84"/>
      <c r="B112" s="84"/>
      <c r="C112" s="84" t="s">
        <v>144</v>
      </c>
      <c r="D112" s="84">
        <f>N54</f>
        <v>32426</v>
      </c>
      <c r="E112" s="84">
        <f t="shared" si="22"/>
        <v>13953.2</v>
      </c>
      <c r="F112" s="84">
        <f t="shared" si="23"/>
        <v>1.7965402578647885E-2</v>
      </c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 t="s">
        <v>144</v>
      </c>
      <c r="T112" s="84">
        <f>AD54</f>
        <v>82231</v>
      </c>
      <c r="U112" s="84">
        <f t="shared" si="24"/>
        <v>60209</v>
      </c>
      <c r="V112" s="84">
        <f t="shared" si="25"/>
        <v>7.5453127302730849E-2</v>
      </c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 t="s">
        <v>144</v>
      </c>
      <c r="AJ112" s="84">
        <f>AT54</f>
        <v>258992</v>
      </c>
      <c r="AK112" s="84">
        <f t="shared" si="26"/>
        <v>235045</v>
      </c>
      <c r="AL112" s="84">
        <f t="shared" si="27"/>
        <v>0.28819820120279482</v>
      </c>
      <c r="AX112" s="84"/>
      <c r="AY112" s="84" t="s">
        <v>144</v>
      </c>
      <c r="AZ112" s="84">
        <f>BJ54</f>
        <v>493409</v>
      </c>
      <c r="BA112" s="84">
        <f t="shared" si="28"/>
        <v>470044</v>
      </c>
      <c r="BB112" s="84">
        <f t="shared" si="29"/>
        <v>0.58580534588318334</v>
      </c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</row>
    <row r="113" spans="1:64" x14ac:dyDescent="0.2">
      <c r="A113" s="84"/>
      <c r="B113" s="84"/>
      <c r="C113" s="84" t="s">
        <v>145</v>
      </c>
      <c r="D113" s="84">
        <f>E55</f>
        <v>34798</v>
      </c>
      <c r="E113" s="84">
        <f t="shared" si="22"/>
        <v>16325.2</v>
      </c>
      <c r="F113" s="84">
        <f t="shared" si="23"/>
        <v>2.101946436494442E-2</v>
      </c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 t="s">
        <v>145</v>
      </c>
      <c r="T113" s="84">
        <f>U55</f>
        <v>83151</v>
      </c>
      <c r="U113" s="84">
        <f t="shared" si="24"/>
        <v>61129</v>
      </c>
      <c r="V113" s="84">
        <f t="shared" si="25"/>
        <v>7.660605920856739E-2</v>
      </c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 t="s">
        <v>145</v>
      </c>
      <c r="AJ113" s="84">
        <f>AK55</f>
        <v>379020</v>
      </c>
      <c r="AK113" s="84">
        <f t="shared" si="26"/>
        <v>355073</v>
      </c>
      <c r="AL113" s="84">
        <f t="shared" si="27"/>
        <v>0.43536939690561371</v>
      </c>
      <c r="AX113" s="84"/>
      <c r="AY113" s="84" t="s">
        <v>145</v>
      </c>
      <c r="AZ113" s="84">
        <f>BA55</f>
        <v>554793</v>
      </c>
      <c r="BA113" s="84">
        <f t="shared" si="28"/>
        <v>531428</v>
      </c>
      <c r="BB113" s="84">
        <f t="shared" si="29"/>
        <v>0.66230685500082631</v>
      </c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</row>
    <row r="114" spans="1:64" x14ac:dyDescent="0.2">
      <c r="A114" s="84"/>
      <c r="B114" s="84"/>
      <c r="C114" s="84" t="s">
        <v>146</v>
      </c>
      <c r="D114" s="84">
        <f>F55</f>
        <v>38998</v>
      </c>
      <c r="E114" s="84">
        <f t="shared" si="22"/>
        <v>20525.2</v>
      </c>
      <c r="F114" s="84">
        <f t="shared" si="23"/>
        <v>2.6427162300208095E-2</v>
      </c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 t="s">
        <v>146</v>
      </c>
      <c r="T114" s="84">
        <f>V55</f>
        <v>90251</v>
      </c>
      <c r="U114" s="84">
        <f t="shared" si="24"/>
        <v>68229</v>
      </c>
      <c r="V114" s="84">
        <f t="shared" si="25"/>
        <v>8.5503685873175486E-2</v>
      </c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 t="s">
        <v>146</v>
      </c>
      <c r="AJ114" s="84">
        <f>AL55</f>
        <v>373016</v>
      </c>
      <c r="AK114" s="84">
        <f t="shared" si="26"/>
        <v>349069</v>
      </c>
      <c r="AL114" s="84">
        <f t="shared" si="27"/>
        <v>0.4280076491550911</v>
      </c>
      <c r="AX114" s="84"/>
      <c r="AY114" s="84" t="s">
        <v>146</v>
      </c>
      <c r="AZ114" s="84">
        <f>BB55</f>
        <v>518803</v>
      </c>
      <c r="BA114" s="84">
        <f t="shared" si="28"/>
        <v>495438</v>
      </c>
      <c r="BB114" s="84">
        <f t="shared" si="29"/>
        <v>0.6174533212926292</v>
      </c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</row>
    <row r="115" spans="1:64" x14ac:dyDescent="0.2">
      <c r="A115" s="84"/>
      <c r="B115" s="84"/>
      <c r="C115" s="84" t="s">
        <v>147</v>
      </c>
      <c r="D115" s="84">
        <f>G55</f>
        <v>38908</v>
      </c>
      <c r="E115" s="84">
        <f t="shared" si="22"/>
        <v>20435.2</v>
      </c>
      <c r="F115" s="84">
        <f t="shared" si="23"/>
        <v>2.6311283058738158E-2</v>
      </c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 t="s">
        <v>147</v>
      </c>
      <c r="T115" s="84">
        <f>W55</f>
        <v>90099</v>
      </c>
      <c r="U115" s="84">
        <f t="shared" si="24"/>
        <v>68077</v>
      </c>
      <c r="V115" s="84">
        <f t="shared" si="25"/>
        <v>8.5313201471341624E-2</v>
      </c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 t="s">
        <v>147</v>
      </c>
      <c r="AJ115" s="84">
        <f>AM55</f>
        <v>380335</v>
      </c>
      <c r="AK115" s="84">
        <f t="shared" si="26"/>
        <v>356388</v>
      </c>
      <c r="AL115" s="84">
        <f t="shared" si="27"/>
        <v>0.43698177170440405</v>
      </c>
      <c r="AX115" s="84"/>
      <c r="AY115" s="84" t="s">
        <v>147</v>
      </c>
      <c r="AZ115" s="84">
        <f>BC55</f>
        <v>521446</v>
      </c>
      <c r="BA115" s="84">
        <f t="shared" si="28"/>
        <v>498081</v>
      </c>
      <c r="BB115" s="84">
        <f t="shared" si="29"/>
        <v>0.62074723320123615</v>
      </c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</row>
    <row r="116" spans="1:64" x14ac:dyDescent="0.2">
      <c r="A116" s="84"/>
      <c r="B116" s="84"/>
      <c r="C116" s="84" t="s">
        <v>148</v>
      </c>
      <c r="D116" s="84">
        <f>H55</f>
        <v>39669</v>
      </c>
      <c r="E116" s="84">
        <f t="shared" si="22"/>
        <v>21196.2</v>
      </c>
      <c r="F116" s="84">
        <f t="shared" si="23"/>
        <v>2.7291106422722838E-2</v>
      </c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 t="s">
        <v>148</v>
      </c>
      <c r="T116" s="84">
        <f>X55</f>
        <v>84954</v>
      </c>
      <c r="U116" s="84">
        <f t="shared" si="24"/>
        <v>62932</v>
      </c>
      <c r="V116" s="84">
        <f t="shared" si="25"/>
        <v>7.8865555106636176E-2</v>
      </c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 t="s">
        <v>148</v>
      </c>
      <c r="AJ116" s="84">
        <f>AN55</f>
        <v>360817</v>
      </c>
      <c r="AK116" s="84">
        <f t="shared" si="26"/>
        <v>336870</v>
      </c>
      <c r="AL116" s="84">
        <f t="shared" si="27"/>
        <v>0.41304996081254863</v>
      </c>
      <c r="AX116" s="84"/>
      <c r="AY116" s="84" t="s">
        <v>148</v>
      </c>
      <c r="AZ116" s="84">
        <f>BD55</f>
        <v>526208</v>
      </c>
      <c r="BA116" s="84">
        <f t="shared" si="28"/>
        <v>502843</v>
      </c>
      <c r="BB116" s="84">
        <f t="shared" si="29"/>
        <v>0.62668200751405734</v>
      </c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</row>
    <row r="117" spans="1:64" x14ac:dyDescent="0.2">
      <c r="A117" s="84"/>
      <c r="B117" s="84"/>
      <c r="C117" s="84" t="s">
        <v>149</v>
      </c>
      <c r="D117" s="84">
        <f>I55</f>
        <v>37987</v>
      </c>
      <c r="E117" s="84">
        <f t="shared" si="22"/>
        <v>19514.2</v>
      </c>
      <c r="F117" s="84">
        <f t="shared" si="23"/>
        <v>2.5125452154362481E-2</v>
      </c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 t="s">
        <v>149</v>
      </c>
      <c r="T117" s="84">
        <f>Y55</f>
        <v>83343</v>
      </c>
      <c r="U117" s="84">
        <f t="shared" si="24"/>
        <v>61321</v>
      </c>
      <c r="V117" s="84">
        <f t="shared" si="25"/>
        <v>7.6846671084568052E-2</v>
      </c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 t="s">
        <v>149</v>
      </c>
      <c r="AJ117" s="84">
        <f>AO55</f>
        <v>356491</v>
      </c>
      <c r="AK117" s="84">
        <f t="shared" si="26"/>
        <v>332544</v>
      </c>
      <c r="AL117" s="84">
        <f t="shared" si="27"/>
        <v>0.40774567687371444</v>
      </c>
      <c r="AX117" s="84"/>
      <c r="AY117" s="84" t="s">
        <v>149</v>
      </c>
      <c r="AZ117" s="84">
        <f>BE55</f>
        <v>537787</v>
      </c>
      <c r="BA117" s="84">
        <f t="shared" si="28"/>
        <v>514422</v>
      </c>
      <c r="BB117" s="84">
        <f t="shared" si="29"/>
        <v>0.64111265677238505</v>
      </c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</row>
    <row r="118" spans="1:64" x14ac:dyDescent="0.2">
      <c r="A118" s="84"/>
      <c r="B118" s="84"/>
      <c r="C118" s="84" t="s">
        <v>150</v>
      </c>
      <c r="D118" s="84">
        <f>J55</f>
        <v>34405</v>
      </c>
      <c r="E118" s="84">
        <f t="shared" si="22"/>
        <v>15932.2</v>
      </c>
      <c r="F118" s="84">
        <f t="shared" si="23"/>
        <v>2.0513458343859033E-2</v>
      </c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 t="s">
        <v>150</v>
      </c>
      <c r="T118" s="84">
        <f>Z55</f>
        <v>75479</v>
      </c>
      <c r="U118" s="84">
        <f t="shared" si="24"/>
        <v>53457</v>
      </c>
      <c r="V118" s="84">
        <f t="shared" si="25"/>
        <v>6.6991609663373961E-2</v>
      </c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 t="s">
        <v>150</v>
      </c>
      <c r="AJ118" s="84">
        <f>AP55</f>
        <v>319703</v>
      </c>
      <c r="AK118" s="84">
        <f t="shared" si="26"/>
        <v>295756</v>
      </c>
      <c r="AL118" s="84">
        <f t="shared" si="27"/>
        <v>0.36263841900458971</v>
      </c>
      <c r="AX118" s="84"/>
      <c r="AY118" s="84" t="s">
        <v>150</v>
      </c>
      <c r="AZ118" s="84">
        <f>BF55</f>
        <v>521273</v>
      </c>
      <c r="BA118" s="84">
        <f t="shared" si="28"/>
        <v>497908</v>
      </c>
      <c r="BB118" s="84">
        <f t="shared" si="29"/>
        <v>0.62053162716257215</v>
      </c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</row>
    <row r="119" spans="1:64" x14ac:dyDescent="0.2">
      <c r="A119" s="84"/>
      <c r="B119" s="84"/>
      <c r="C119" s="84" t="s">
        <v>151</v>
      </c>
      <c r="D119" s="84">
        <f>K55</f>
        <v>39031</v>
      </c>
      <c r="E119" s="84">
        <f t="shared" si="22"/>
        <v>20558.2</v>
      </c>
      <c r="F119" s="84">
        <f t="shared" si="23"/>
        <v>2.6469651355413737E-2</v>
      </c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 t="s">
        <v>151</v>
      </c>
      <c r="T119" s="84">
        <f>AA55</f>
        <v>88993</v>
      </c>
      <c r="U119" s="84">
        <f t="shared" si="24"/>
        <v>66971</v>
      </c>
      <c r="V119" s="84">
        <f t="shared" si="25"/>
        <v>8.3927176810629431E-2</v>
      </c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 t="s">
        <v>151</v>
      </c>
      <c r="AJ119" s="84">
        <f>AQ55</f>
        <v>373660</v>
      </c>
      <c r="AK119" s="84">
        <f t="shared" si="26"/>
        <v>349713</v>
      </c>
      <c r="AL119" s="84">
        <f t="shared" si="27"/>
        <v>0.4287972836573124</v>
      </c>
      <c r="AX119" s="84"/>
      <c r="AY119" s="84" t="s">
        <v>151</v>
      </c>
      <c r="AZ119" s="84">
        <f>BG55</f>
        <v>544370</v>
      </c>
      <c r="BA119" s="84">
        <f t="shared" si="28"/>
        <v>521005</v>
      </c>
      <c r="BB119" s="84">
        <f t="shared" si="29"/>
        <v>0.64931690274073905</v>
      </c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</row>
    <row r="120" spans="1:64" x14ac:dyDescent="0.2">
      <c r="A120" s="84"/>
      <c r="B120" s="84"/>
      <c r="C120" s="84" t="s">
        <v>152</v>
      </c>
      <c r="D120" s="84">
        <f>L55</f>
        <v>37356</v>
      </c>
      <c r="E120" s="84">
        <f t="shared" si="22"/>
        <v>18883.2</v>
      </c>
      <c r="F120" s="84">
        <f t="shared" si="23"/>
        <v>2.4313009916945488E-2</v>
      </c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 t="s">
        <v>152</v>
      </c>
      <c r="T120" s="84">
        <f>AB55</f>
        <v>84098</v>
      </c>
      <c r="U120" s="84">
        <f t="shared" si="24"/>
        <v>62076</v>
      </c>
      <c r="V120" s="84">
        <f t="shared" si="25"/>
        <v>7.7792827159466532E-2</v>
      </c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 t="s">
        <v>152</v>
      </c>
      <c r="AJ120" s="84">
        <f>AR55</f>
        <v>375131</v>
      </c>
      <c r="AK120" s="84">
        <f t="shared" si="26"/>
        <v>351184</v>
      </c>
      <c r="AL120" s="84">
        <f t="shared" si="27"/>
        <v>0.43060093637900104</v>
      </c>
      <c r="AX120" s="84"/>
      <c r="AY120" s="84" t="s">
        <v>152</v>
      </c>
      <c r="AZ120" s="84">
        <f>BH55</f>
        <v>557178</v>
      </c>
      <c r="BA120" s="84">
        <f t="shared" si="28"/>
        <v>533813</v>
      </c>
      <c r="BB120" s="84">
        <f t="shared" si="29"/>
        <v>0.66527922726795741</v>
      </c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</row>
    <row r="121" spans="1:64" x14ac:dyDescent="0.2">
      <c r="A121" s="84"/>
      <c r="B121" s="84"/>
      <c r="C121" s="84" t="s">
        <v>153</v>
      </c>
      <c r="D121" s="84">
        <f>M55</f>
        <v>34194</v>
      </c>
      <c r="E121" s="84">
        <f t="shared" si="22"/>
        <v>15721.2</v>
      </c>
      <c r="F121" s="84">
        <f t="shared" si="23"/>
        <v>2.0241785899968404E-2</v>
      </c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 t="s">
        <v>153</v>
      </c>
      <c r="T121" s="84">
        <f>AC55</f>
        <v>86542</v>
      </c>
      <c r="U121" s="84">
        <f t="shared" si="24"/>
        <v>64520</v>
      </c>
      <c r="V121" s="84">
        <f t="shared" si="25"/>
        <v>8.0855615831058381E-2</v>
      </c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 t="s">
        <v>153</v>
      </c>
      <c r="AJ121" s="84">
        <f>AS55</f>
        <v>337072</v>
      </c>
      <c r="AK121" s="84">
        <f t="shared" si="26"/>
        <v>313125</v>
      </c>
      <c r="AL121" s="84">
        <f t="shared" si="27"/>
        <v>0.38393525389446759</v>
      </c>
      <c r="AX121" s="84"/>
      <c r="AY121" s="84" t="s">
        <v>153</v>
      </c>
      <c r="AZ121" s="84">
        <f>BI55</f>
        <v>510699</v>
      </c>
      <c r="BA121" s="84">
        <f t="shared" si="28"/>
        <v>487334</v>
      </c>
      <c r="BB121" s="84">
        <f t="shared" si="29"/>
        <v>0.60735348697278402</v>
      </c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</row>
    <row r="122" spans="1:64" x14ac:dyDescent="0.2">
      <c r="A122" s="84"/>
      <c r="B122" s="84"/>
      <c r="C122" s="84" t="s">
        <v>154</v>
      </c>
      <c r="D122" s="84">
        <f>N55</f>
        <v>33024</v>
      </c>
      <c r="E122" s="84">
        <f t="shared" si="22"/>
        <v>14551.2</v>
      </c>
      <c r="F122" s="84">
        <f t="shared" si="23"/>
        <v>1.8735355760859239E-2</v>
      </c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 t="s">
        <v>154</v>
      </c>
      <c r="T122" s="84">
        <f>AD55</f>
        <v>85020</v>
      </c>
      <c r="U122" s="84">
        <f t="shared" si="24"/>
        <v>62998</v>
      </c>
      <c r="V122" s="84">
        <f t="shared" si="25"/>
        <v>7.8948265439011414E-2</v>
      </c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 t="s">
        <v>154</v>
      </c>
      <c r="AJ122" s="84">
        <f>AT55</f>
        <v>285998</v>
      </c>
      <c r="AK122" s="84">
        <f t="shared" si="26"/>
        <v>262051</v>
      </c>
      <c r="AL122" s="84">
        <f t="shared" si="27"/>
        <v>0.32131135239376968</v>
      </c>
      <c r="AX122" s="84"/>
      <c r="AY122" s="84" t="s">
        <v>154</v>
      </c>
      <c r="AZ122" s="84">
        <f>BJ55</f>
        <v>494432</v>
      </c>
      <c r="BA122" s="84">
        <f t="shared" si="28"/>
        <v>471067</v>
      </c>
      <c r="BB122" s="84">
        <f t="shared" si="29"/>
        <v>0.58708028794996547</v>
      </c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</row>
    <row r="123" spans="1:64" x14ac:dyDescent="0.2">
      <c r="A123" s="84"/>
      <c r="B123" s="84"/>
      <c r="C123" s="84" t="s">
        <v>155</v>
      </c>
      <c r="D123" s="84">
        <f>E56</f>
        <v>33523</v>
      </c>
      <c r="E123" s="84">
        <f t="shared" si="22"/>
        <v>15050.2</v>
      </c>
      <c r="F123" s="84">
        <f t="shared" si="23"/>
        <v>1.937784177745366E-2</v>
      </c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 t="s">
        <v>155</v>
      </c>
      <c r="T123" s="84">
        <f>U56</f>
        <v>70527</v>
      </c>
      <c r="U123" s="84">
        <f t="shared" si="24"/>
        <v>48505</v>
      </c>
      <c r="V123" s="84">
        <f t="shared" si="25"/>
        <v>6.0785828361523353E-2</v>
      </c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 t="s">
        <v>155</v>
      </c>
      <c r="AJ123" s="84">
        <f>AK56</f>
        <v>330234</v>
      </c>
      <c r="AK123" s="84">
        <f t="shared" si="26"/>
        <v>306287</v>
      </c>
      <c r="AL123" s="84">
        <f t="shared" si="27"/>
        <v>0.37555090494075782</v>
      </c>
      <c r="AX123" s="84"/>
      <c r="AY123" s="84" t="s">
        <v>155</v>
      </c>
      <c r="AZ123" s="84">
        <f>BA56</f>
        <v>528137</v>
      </c>
      <c r="BA123" s="84">
        <f t="shared" si="28"/>
        <v>504772</v>
      </c>
      <c r="BB123" s="84">
        <f t="shared" si="29"/>
        <v>0.62908607715904519</v>
      </c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</row>
    <row r="124" spans="1:64" x14ac:dyDescent="0.2">
      <c r="A124" s="84"/>
      <c r="B124" s="84"/>
      <c r="C124" s="84" t="s">
        <v>156</v>
      </c>
      <c r="D124" s="84">
        <f>F56</f>
        <v>36978</v>
      </c>
      <c r="E124" s="84">
        <f t="shared" si="22"/>
        <v>18505.2</v>
      </c>
      <c r="F124" s="84">
        <f t="shared" si="23"/>
        <v>2.3826317102771756E-2</v>
      </c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 t="s">
        <v>156</v>
      </c>
      <c r="T124" s="84">
        <f>V56</f>
        <v>81731</v>
      </c>
      <c r="U124" s="84">
        <f t="shared" si="24"/>
        <v>59709</v>
      </c>
      <c r="V124" s="84">
        <f t="shared" si="25"/>
        <v>7.4826533875645765E-2</v>
      </c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 t="s">
        <v>156</v>
      </c>
      <c r="AJ124" s="84">
        <f>AL56</f>
        <v>352368</v>
      </c>
      <c r="AK124" s="84">
        <f t="shared" si="26"/>
        <v>328421</v>
      </c>
      <c r="AL124" s="84">
        <f t="shared" si="27"/>
        <v>0.40269029946275431</v>
      </c>
      <c r="AX124" s="84"/>
      <c r="AY124" s="84" t="s">
        <v>156</v>
      </c>
      <c r="AZ124" s="84">
        <f>BB56</f>
        <v>518613</v>
      </c>
      <c r="BA124" s="84">
        <f t="shared" si="28"/>
        <v>495248</v>
      </c>
      <c r="BB124" s="84">
        <f t="shared" si="29"/>
        <v>0.61721652853340281</v>
      </c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</row>
    <row r="125" spans="1:64" x14ac:dyDescent="0.2">
      <c r="A125" s="84"/>
      <c r="B125" s="84"/>
      <c r="C125" s="84" t="s">
        <v>157</v>
      </c>
      <c r="D125" s="84">
        <f>G56</f>
        <v>36195</v>
      </c>
      <c r="E125" s="84">
        <f t="shared" si="22"/>
        <v>17722.2</v>
      </c>
      <c r="F125" s="84">
        <f t="shared" si="23"/>
        <v>2.2818167701983312E-2</v>
      </c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 t="s">
        <v>157</v>
      </c>
      <c r="T125" s="84">
        <f>W56</f>
        <v>80647</v>
      </c>
      <c r="U125" s="84">
        <f t="shared" si="24"/>
        <v>58625</v>
      </c>
      <c r="V125" s="84">
        <f t="shared" si="25"/>
        <v>7.3468079325725327E-2</v>
      </c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 t="s">
        <v>157</v>
      </c>
      <c r="AJ125" s="84">
        <f>AM56</f>
        <v>358874</v>
      </c>
      <c r="AK125" s="84">
        <f t="shared" si="26"/>
        <v>334927</v>
      </c>
      <c r="AL125" s="84">
        <f t="shared" si="27"/>
        <v>0.41066756976003943</v>
      </c>
      <c r="AX125" s="84"/>
      <c r="AY125" s="84" t="s">
        <v>157</v>
      </c>
      <c r="AZ125" s="84">
        <f>BC56</f>
        <v>495746</v>
      </c>
      <c r="BA125" s="84">
        <f t="shared" si="28"/>
        <v>472381</v>
      </c>
      <c r="BB125" s="84">
        <f t="shared" si="29"/>
        <v>0.58871789682166786</v>
      </c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</row>
    <row r="126" spans="1:64" x14ac:dyDescent="0.2">
      <c r="A126" s="84"/>
      <c r="B126" s="84"/>
      <c r="C126" s="84" t="s">
        <v>158</v>
      </c>
      <c r="D126" s="84">
        <f>H56</f>
        <v>36878</v>
      </c>
      <c r="E126" s="84">
        <f t="shared" si="22"/>
        <v>18405.2</v>
      </c>
      <c r="F126" s="84">
        <f t="shared" si="23"/>
        <v>2.3697562390027384E-2</v>
      </c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 t="s">
        <v>158</v>
      </c>
      <c r="T126" s="84">
        <f>X56</f>
        <v>87385</v>
      </c>
      <c r="U126" s="84">
        <f t="shared" si="24"/>
        <v>65363</v>
      </c>
      <c r="V126" s="84">
        <f t="shared" si="25"/>
        <v>8.1912052349123826E-2</v>
      </c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 t="s">
        <v>158</v>
      </c>
      <c r="AJ126" s="84">
        <f>AN56</f>
        <v>323551</v>
      </c>
      <c r="AK126" s="84">
        <f t="shared" si="26"/>
        <v>299604</v>
      </c>
      <c r="AL126" s="84">
        <f t="shared" si="27"/>
        <v>0.36735660776941498</v>
      </c>
      <c r="AX126" s="84"/>
      <c r="AY126" s="84" t="s">
        <v>158</v>
      </c>
      <c r="AZ126" s="84">
        <f>BD56</f>
        <v>499898</v>
      </c>
      <c r="BA126" s="84">
        <f t="shared" si="28"/>
        <v>476533</v>
      </c>
      <c r="BB126" s="84">
        <f t="shared" si="29"/>
        <v>0.59389244174960432</v>
      </c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</row>
    <row r="127" spans="1:64" x14ac:dyDescent="0.2">
      <c r="A127" s="84"/>
      <c r="B127" s="84"/>
      <c r="C127" s="84" t="s">
        <v>159</v>
      </c>
      <c r="D127" s="84">
        <f>I56</f>
        <v>36449</v>
      </c>
      <c r="E127" s="84">
        <f t="shared" si="22"/>
        <v>17976.2</v>
      </c>
      <c r="F127" s="84">
        <f t="shared" si="23"/>
        <v>2.3145204672354022E-2</v>
      </c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 t="s">
        <v>159</v>
      </c>
      <c r="T127" s="84">
        <f>Y56</f>
        <v>86894</v>
      </c>
      <c r="U127" s="84">
        <f t="shared" si="24"/>
        <v>64872</v>
      </c>
      <c r="V127" s="84">
        <f t="shared" si="25"/>
        <v>8.1296737603726285E-2</v>
      </c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 t="s">
        <v>159</v>
      </c>
      <c r="AJ127" s="84">
        <f>AO56</f>
        <v>353020</v>
      </c>
      <c r="AK127" s="84">
        <f t="shared" si="26"/>
        <v>329073</v>
      </c>
      <c r="AL127" s="84">
        <f t="shared" si="27"/>
        <v>0.40348974308922675</v>
      </c>
      <c r="AX127" s="84"/>
      <c r="AY127" s="84" t="s">
        <v>159</v>
      </c>
      <c r="AZ127" s="84">
        <f>BE56</f>
        <v>523903</v>
      </c>
      <c r="BA127" s="84">
        <f t="shared" si="28"/>
        <v>500538</v>
      </c>
      <c r="BB127" s="84">
        <f t="shared" si="29"/>
        <v>0.62380933746133738</v>
      </c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</row>
    <row r="128" spans="1:64" x14ac:dyDescent="0.2">
      <c r="A128" s="84"/>
      <c r="B128" s="84"/>
      <c r="C128" s="84" t="s">
        <v>160</v>
      </c>
      <c r="D128" s="84">
        <f>J56</f>
        <v>37412</v>
      </c>
      <c r="E128" s="84">
        <f t="shared" si="22"/>
        <v>18939.2</v>
      </c>
      <c r="F128" s="84">
        <f t="shared" si="23"/>
        <v>2.4385112556082337E-2</v>
      </c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 t="s">
        <v>160</v>
      </c>
      <c r="T128" s="84">
        <f>Z56</f>
        <v>88923</v>
      </c>
      <c r="U128" s="84">
        <f t="shared" si="24"/>
        <v>66901</v>
      </c>
      <c r="V128" s="84">
        <f t="shared" si="25"/>
        <v>8.3839453730837524E-2</v>
      </c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 t="s">
        <v>160</v>
      </c>
      <c r="AJ128" s="84">
        <f>AP56</f>
        <v>349621</v>
      </c>
      <c r="AK128" s="84">
        <f t="shared" si="26"/>
        <v>325674</v>
      </c>
      <c r="AL128" s="84">
        <f t="shared" si="27"/>
        <v>0.39932209142299985</v>
      </c>
      <c r="AX128" s="84"/>
      <c r="AY128" s="84" t="s">
        <v>160</v>
      </c>
      <c r="AZ128" s="84">
        <f>BF56</f>
        <v>510180</v>
      </c>
      <c r="BA128" s="84">
        <f t="shared" si="28"/>
        <v>486815</v>
      </c>
      <c r="BB128" s="84">
        <f t="shared" si="29"/>
        <v>0.60670666885679192</v>
      </c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</row>
    <row r="129" spans="1:64" x14ac:dyDescent="0.2">
      <c r="A129" s="84"/>
      <c r="B129" s="84"/>
      <c r="C129" s="84" t="s">
        <v>161</v>
      </c>
      <c r="D129" s="84">
        <f>K56</f>
        <v>36680</v>
      </c>
      <c r="E129" s="84">
        <f t="shared" si="22"/>
        <v>18207.2</v>
      </c>
      <c r="F129" s="84">
        <f t="shared" si="23"/>
        <v>2.3442628058793522E-2</v>
      </c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 t="s">
        <v>161</v>
      </c>
      <c r="T129" s="84">
        <f>AA56</f>
        <v>84577</v>
      </c>
      <c r="U129" s="84">
        <f t="shared" si="24"/>
        <v>62555</v>
      </c>
      <c r="V129" s="84">
        <f t="shared" si="25"/>
        <v>7.8393103662614025E-2</v>
      </c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 t="s">
        <v>161</v>
      </c>
      <c r="AJ129" s="84">
        <f>AQ56</f>
        <v>321379</v>
      </c>
      <c r="AK129" s="84">
        <f t="shared" si="26"/>
        <v>297432</v>
      </c>
      <c r="AL129" s="84">
        <f t="shared" si="27"/>
        <v>0.36469343053521525</v>
      </c>
      <c r="AX129" s="84"/>
      <c r="AY129" s="84" t="s">
        <v>161</v>
      </c>
      <c r="AZ129" s="84">
        <f>BG56</f>
        <v>494142</v>
      </c>
      <c r="BA129" s="84">
        <f t="shared" si="28"/>
        <v>470777</v>
      </c>
      <c r="BB129" s="84">
        <f t="shared" si="29"/>
        <v>0.58671886742272517</v>
      </c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</row>
    <row r="130" spans="1:64" x14ac:dyDescent="0.2">
      <c r="A130" s="84"/>
      <c r="B130" s="84"/>
      <c r="C130" s="84" t="s">
        <v>162</v>
      </c>
      <c r="D130" s="84">
        <f>L56</f>
        <v>38315</v>
      </c>
      <c r="E130" s="84">
        <f t="shared" si="22"/>
        <v>19842.2</v>
      </c>
      <c r="F130" s="84">
        <f t="shared" si="23"/>
        <v>2.5547767612164027E-2</v>
      </c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 t="s">
        <v>162</v>
      </c>
      <c r="T130" s="84">
        <f>AB56</f>
        <v>91310</v>
      </c>
      <c r="U130" s="84">
        <f t="shared" si="24"/>
        <v>69288</v>
      </c>
      <c r="V130" s="84">
        <f t="shared" si="25"/>
        <v>8.6830810751741677E-2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 t="s">
        <v>162</v>
      </c>
      <c r="AJ130" s="84">
        <f>AR56</f>
        <v>354399</v>
      </c>
      <c r="AK130" s="84">
        <f t="shared" si="26"/>
        <v>330452</v>
      </c>
      <c r="AL130" s="84">
        <f t="shared" si="27"/>
        <v>0.40518059088202668</v>
      </c>
      <c r="AX130" s="84"/>
      <c r="AY130" s="84" t="s">
        <v>162</v>
      </c>
      <c r="AZ130" s="84">
        <f>BH56</f>
        <v>511343</v>
      </c>
      <c r="BA130" s="84">
        <f t="shared" si="28"/>
        <v>487978</v>
      </c>
      <c r="BB130" s="84">
        <f t="shared" si="29"/>
        <v>0.60815608979879343</v>
      </c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</row>
    <row r="131" spans="1:64" x14ac:dyDescent="0.2">
      <c r="A131" s="84"/>
      <c r="B131" s="84"/>
      <c r="C131" s="84" t="s">
        <v>163</v>
      </c>
      <c r="D131" s="84">
        <f>M56</f>
        <v>35236</v>
      </c>
      <c r="E131" s="84">
        <f t="shared" si="22"/>
        <v>16763.2</v>
      </c>
      <c r="F131" s="84">
        <f t="shared" si="23"/>
        <v>2.1583410006764774E-2</v>
      </c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 t="s">
        <v>163</v>
      </c>
      <c r="T131" s="84">
        <f>AC56</f>
        <v>81210</v>
      </c>
      <c r="U131" s="84">
        <f t="shared" si="24"/>
        <v>59188</v>
      </c>
      <c r="V131" s="84">
        <f t="shared" si="25"/>
        <v>7.4173623524623117E-2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 t="s">
        <v>163</v>
      </c>
      <c r="AJ131" s="84">
        <f>AS56</f>
        <v>321234</v>
      </c>
      <c r="AK131" s="84">
        <f t="shared" si="26"/>
        <v>297287</v>
      </c>
      <c r="AL131" s="84">
        <f t="shared" si="27"/>
        <v>0.36451564015816235</v>
      </c>
      <c r="AX131" s="84"/>
      <c r="AY131" s="84" t="s">
        <v>163</v>
      </c>
      <c r="AZ131" s="84">
        <f>BI56</f>
        <v>503101</v>
      </c>
      <c r="BA131" s="84">
        <f t="shared" si="28"/>
        <v>479736</v>
      </c>
      <c r="BB131" s="84">
        <f t="shared" si="29"/>
        <v>0.5978842691590891</v>
      </c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</row>
    <row r="132" spans="1:64" x14ac:dyDescent="0.2">
      <c r="A132" s="84"/>
      <c r="B132" s="84"/>
      <c r="C132" s="84" t="s">
        <v>164</v>
      </c>
      <c r="D132" s="84">
        <f>N56</f>
        <v>33757</v>
      </c>
      <c r="E132" s="84">
        <f t="shared" si="22"/>
        <v>15284.2</v>
      </c>
      <c r="F132" s="84">
        <f t="shared" si="23"/>
        <v>1.9679127805275493E-2</v>
      </c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 t="s">
        <v>164</v>
      </c>
      <c r="T132" s="84">
        <f>AD56</f>
        <v>82912</v>
      </c>
      <c r="U132" s="84">
        <f t="shared" si="24"/>
        <v>60890</v>
      </c>
      <c r="V132" s="84">
        <f t="shared" si="25"/>
        <v>7.6306547550420725E-2</v>
      </c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 t="s">
        <v>164</v>
      </c>
      <c r="AJ132" s="84">
        <f>AT56</f>
        <v>289825</v>
      </c>
      <c r="AK132" s="84">
        <f t="shared" si="26"/>
        <v>265878</v>
      </c>
      <c r="AL132" s="84">
        <f t="shared" si="27"/>
        <v>0.32600379220743553</v>
      </c>
      <c r="AX132" s="84"/>
      <c r="AY132" s="84" t="s">
        <v>164</v>
      </c>
      <c r="AZ132" s="84">
        <f>BJ56</f>
        <v>500215</v>
      </c>
      <c r="BA132" s="84">
        <f t="shared" si="28"/>
        <v>476850</v>
      </c>
      <c r="BB132" s="84">
        <f t="shared" si="29"/>
        <v>0.59428751177420835</v>
      </c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</row>
    <row r="133" spans="1:64" x14ac:dyDescent="0.2">
      <c r="A133" s="84"/>
      <c r="B133" s="84"/>
      <c r="C133" s="84" t="s">
        <v>165</v>
      </c>
      <c r="D133" s="84">
        <f>E57</f>
        <v>33401</v>
      </c>
      <c r="E133" s="84">
        <f t="shared" si="22"/>
        <v>14928.2</v>
      </c>
      <c r="F133" s="84">
        <f t="shared" si="23"/>
        <v>1.9220761027905525E-2</v>
      </c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 t="s">
        <v>165</v>
      </c>
      <c r="T133" s="84">
        <f>U57</f>
        <v>87561</v>
      </c>
      <c r="U133" s="84">
        <f t="shared" si="24"/>
        <v>65539</v>
      </c>
      <c r="V133" s="84">
        <f t="shared" si="25"/>
        <v>8.2132613235457771E-2</v>
      </c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 t="s">
        <v>165</v>
      </c>
      <c r="AJ133" s="84">
        <f>AK57</f>
        <v>361776</v>
      </c>
      <c r="AK133" s="84">
        <f t="shared" si="26"/>
        <v>337829</v>
      </c>
      <c r="AL133" s="84">
        <f t="shared" si="27"/>
        <v>0.41422582958216075</v>
      </c>
      <c r="AX133" s="84"/>
      <c r="AY133" s="84" t="s">
        <v>165</v>
      </c>
      <c r="AZ133" s="84">
        <f>BA57</f>
        <v>554015</v>
      </c>
      <c r="BA133" s="84">
        <f t="shared" si="28"/>
        <v>530650</v>
      </c>
      <c r="BB133" s="84">
        <f t="shared" si="29"/>
        <v>0.66133725096567819</v>
      </c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</row>
    <row r="134" spans="1:64" x14ac:dyDescent="0.2">
      <c r="A134" s="84"/>
      <c r="B134" s="84"/>
      <c r="C134" s="84" t="s">
        <v>166</v>
      </c>
      <c r="D134" s="84">
        <f>F57</f>
        <v>35084</v>
      </c>
      <c r="E134" s="84">
        <f t="shared" si="22"/>
        <v>16611.2</v>
      </c>
      <c r="F134" s="84">
        <f t="shared" si="23"/>
        <v>2.1387702843393325E-2</v>
      </c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 t="s">
        <v>166</v>
      </c>
      <c r="T134" s="84">
        <f>V57</f>
        <v>81406</v>
      </c>
      <c r="U134" s="84">
        <f t="shared" si="24"/>
        <v>59384</v>
      </c>
      <c r="V134" s="84">
        <f t="shared" si="25"/>
        <v>7.4419248148040462E-2</v>
      </c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 t="s">
        <v>166</v>
      </c>
      <c r="AJ134" s="84">
        <f>AL57</f>
        <v>345547</v>
      </c>
      <c r="AK134" s="84">
        <f t="shared" si="26"/>
        <v>321600</v>
      </c>
      <c r="AL134" s="84">
        <f t="shared" si="27"/>
        <v>0.39432679489807831</v>
      </c>
      <c r="AX134" s="84"/>
      <c r="AY134" s="84" t="s">
        <v>166</v>
      </c>
      <c r="AZ134" s="84">
        <f>BB57</f>
        <v>516390</v>
      </c>
      <c r="BA134" s="84">
        <f t="shared" si="28"/>
        <v>493025</v>
      </c>
      <c r="BB134" s="84">
        <f t="shared" si="29"/>
        <v>0.6144460532504542</v>
      </c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</row>
    <row r="135" spans="1:64" x14ac:dyDescent="0.2">
      <c r="A135" s="84"/>
      <c r="B135" s="84"/>
      <c r="C135" s="84" t="s">
        <v>167</v>
      </c>
      <c r="D135" s="84">
        <f>G57</f>
        <v>37889</v>
      </c>
      <c r="E135" s="84">
        <f t="shared" si="22"/>
        <v>19416.2</v>
      </c>
      <c r="F135" s="84">
        <f t="shared" si="23"/>
        <v>2.4999272535872995E-2</v>
      </c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 t="s">
        <v>167</v>
      </c>
      <c r="T135" s="84">
        <f>W57</f>
        <v>88926</v>
      </c>
      <c r="U135" s="84">
        <f t="shared" si="24"/>
        <v>66904</v>
      </c>
      <c r="V135" s="84">
        <f t="shared" si="25"/>
        <v>8.3843213291400029E-2</v>
      </c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 t="s">
        <v>167</v>
      </c>
      <c r="AJ135" s="84">
        <f>AM57</f>
        <v>347852</v>
      </c>
      <c r="AK135" s="84">
        <f t="shared" si="26"/>
        <v>323905</v>
      </c>
      <c r="AL135" s="84">
        <f t="shared" si="27"/>
        <v>0.39715304882295416</v>
      </c>
      <c r="AX135" s="84"/>
      <c r="AY135" s="84" t="s">
        <v>167</v>
      </c>
      <c r="AZ135" s="84">
        <f>BC57</f>
        <v>516860</v>
      </c>
      <c r="BA135" s="84">
        <f t="shared" si="28"/>
        <v>493495</v>
      </c>
      <c r="BB135" s="84">
        <f t="shared" si="29"/>
        <v>0.61503180376011946</v>
      </c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</row>
    <row r="136" spans="1:64" x14ac:dyDescent="0.2">
      <c r="A136" s="84"/>
      <c r="B136" s="84"/>
      <c r="C136" s="84" t="s">
        <v>168</v>
      </c>
      <c r="D136" s="84">
        <f>H57</f>
        <v>38855</v>
      </c>
      <c r="E136" s="84">
        <f t="shared" si="22"/>
        <v>20382.2</v>
      </c>
      <c r="F136" s="84">
        <f t="shared" si="23"/>
        <v>2.6243043060983642E-2</v>
      </c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 t="s">
        <v>168</v>
      </c>
      <c r="T136" s="84">
        <f>X57</f>
        <v>83715</v>
      </c>
      <c r="U136" s="84">
        <f t="shared" si="24"/>
        <v>61693</v>
      </c>
      <c r="V136" s="84">
        <f t="shared" si="25"/>
        <v>7.7312856594319357E-2</v>
      </c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 t="s">
        <v>168</v>
      </c>
      <c r="AJ136" s="84">
        <f>AN57</f>
        <v>323790</v>
      </c>
      <c r="AK136" s="84">
        <f t="shared" si="26"/>
        <v>299843</v>
      </c>
      <c r="AL136" s="84">
        <f t="shared" si="27"/>
        <v>0.36764965535641947</v>
      </c>
      <c r="AX136" s="84"/>
      <c r="AY136" s="84" t="s">
        <v>168</v>
      </c>
      <c r="AZ136" s="84">
        <f>BD57</f>
        <v>502047</v>
      </c>
      <c r="BA136" s="84">
        <f t="shared" si="28"/>
        <v>478682</v>
      </c>
      <c r="BB136" s="84">
        <f t="shared" si="29"/>
        <v>0.59657069248422268</v>
      </c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</row>
    <row r="137" spans="1:64" x14ac:dyDescent="0.2">
      <c r="A137" s="84"/>
      <c r="B137" s="84"/>
      <c r="C137" s="84" t="s">
        <v>169</v>
      </c>
      <c r="D137" s="84">
        <f>I57</f>
        <v>38705</v>
      </c>
      <c r="E137" s="84">
        <f t="shared" si="22"/>
        <v>20232.2</v>
      </c>
      <c r="F137" s="84">
        <f t="shared" si="23"/>
        <v>2.6049910991867081E-2</v>
      </c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 t="s">
        <v>169</v>
      </c>
      <c r="T137" s="84">
        <f>Y57</f>
        <v>84064</v>
      </c>
      <c r="U137" s="84">
        <f t="shared" si="24"/>
        <v>62042</v>
      </c>
      <c r="V137" s="84">
        <f t="shared" si="25"/>
        <v>7.7750218806424742E-2</v>
      </c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 t="s">
        <v>169</v>
      </c>
      <c r="AJ137" s="84">
        <f>AO57</f>
        <v>338218</v>
      </c>
      <c r="AK137" s="84">
        <f t="shared" si="26"/>
        <v>314271</v>
      </c>
      <c r="AL137" s="84">
        <f t="shared" si="27"/>
        <v>0.38534041094345139</v>
      </c>
      <c r="AX137" s="84"/>
      <c r="AY137" s="84" t="s">
        <v>169</v>
      </c>
      <c r="AZ137" s="84">
        <f>BE57</f>
        <v>489232</v>
      </c>
      <c r="BA137" s="84">
        <f t="shared" si="28"/>
        <v>465867</v>
      </c>
      <c r="BB137" s="84">
        <f t="shared" si="29"/>
        <v>0.58059964401324338</v>
      </c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</row>
    <row r="138" spans="1:64" x14ac:dyDescent="0.2">
      <c r="A138" s="84"/>
      <c r="B138" s="84"/>
      <c r="C138" s="84" t="s">
        <v>170</v>
      </c>
      <c r="D138" s="84">
        <f>J57</f>
        <v>36496</v>
      </c>
      <c r="E138" s="84">
        <f t="shared" si="22"/>
        <v>18023.2</v>
      </c>
      <c r="F138" s="84">
        <f t="shared" si="23"/>
        <v>2.3205719387343875E-2</v>
      </c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 t="s">
        <v>170</v>
      </c>
      <c r="T138" s="84">
        <f>Z57</f>
        <v>79732</v>
      </c>
      <c r="U138" s="84">
        <f t="shared" si="24"/>
        <v>57710</v>
      </c>
      <c r="V138" s="84">
        <f t="shared" si="25"/>
        <v>7.2321413354159633E-2</v>
      </c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 t="s">
        <v>170</v>
      </c>
      <c r="AJ138" s="84">
        <f>AP57</f>
        <v>317262</v>
      </c>
      <c r="AK138" s="84">
        <f t="shared" si="26"/>
        <v>293315</v>
      </c>
      <c r="AL138" s="84">
        <f t="shared" si="27"/>
        <v>0.35964540996744354</v>
      </c>
      <c r="AX138" s="84"/>
      <c r="AY138" s="84" t="s">
        <v>170</v>
      </c>
      <c r="AZ138" s="84">
        <f>BF57</f>
        <v>521154</v>
      </c>
      <c r="BA138" s="84">
        <f t="shared" si="28"/>
        <v>497789</v>
      </c>
      <c r="BB138" s="84">
        <f t="shared" si="29"/>
        <v>0.62038332011863562</v>
      </c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</row>
    <row r="139" spans="1:64" x14ac:dyDescent="0.2">
      <c r="A139" s="84"/>
      <c r="B139" s="84"/>
      <c r="C139" s="84" t="s">
        <v>171</v>
      </c>
      <c r="D139" s="84">
        <f>K57</f>
        <v>38845</v>
      </c>
      <c r="E139" s="84">
        <f t="shared" si="22"/>
        <v>20372.2</v>
      </c>
      <c r="F139" s="84">
        <f t="shared" si="23"/>
        <v>2.6230167589709204E-2</v>
      </c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 t="s">
        <v>171</v>
      </c>
      <c r="T139" s="84">
        <f>AA57</f>
        <v>85584</v>
      </c>
      <c r="U139" s="84">
        <f t="shared" si="24"/>
        <v>63562</v>
      </c>
      <c r="V139" s="84">
        <f t="shared" si="25"/>
        <v>7.9655062824763381E-2</v>
      </c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 t="s">
        <v>171</v>
      </c>
      <c r="AJ139" s="84">
        <f>AQ57</f>
        <v>335246</v>
      </c>
      <c r="AK139" s="84">
        <f t="shared" si="26"/>
        <v>311299</v>
      </c>
      <c r="AL139" s="84">
        <f t="shared" si="27"/>
        <v>0.38169632128413211</v>
      </c>
      <c r="AX139" s="84"/>
      <c r="AY139" s="84" t="s">
        <v>171</v>
      </c>
      <c r="AZ139" s="84">
        <f>BG57</f>
        <v>499384</v>
      </c>
      <c r="BA139" s="84">
        <f t="shared" si="28"/>
        <v>476019</v>
      </c>
      <c r="BB139" s="84">
        <f t="shared" si="29"/>
        <v>0.59325185502201294</v>
      </c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</row>
    <row r="140" spans="1:64" x14ac:dyDescent="0.2">
      <c r="A140" s="84"/>
      <c r="B140" s="84"/>
      <c r="C140" s="84" t="s">
        <v>172</v>
      </c>
      <c r="D140" s="84">
        <f>L57</f>
        <v>37576</v>
      </c>
      <c r="E140" s="84">
        <f t="shared" si="22"/>
        <v>19103.2</v>
      </c>
      <c r="F140" s="84">
        <f t="shared" si="23"/>
        <v>2.4596270284983106E-2</v>
      </c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 t="s">
        <v>172</v>
      </c>
      <c r="T140" s="84">
        <f>AB57</f>
        <v>91386</v>
      </c>
      <c r="U140" s="84">
        <f t="shared" si="24"/>
        <v>69364</v>
      </c>
      <c r="V140" s="84">
        <f t="shared" si="25"/>
        <v>8.6926052952658608E-2</v>
      </c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 t="s">
        <v>172</v>
      </c>
      <c r="AJ140" s="84">
        <f>AR57</f>
        <v>380500</v>
      </c>
      <c r="AK140" s="84">
        <f t="shared" si="26"/>
        <v>356553</v>
      </c>
      <c r="AL140" s="84">
        <f t="shared" si="27"/>
        <v>0.43718408489208493</v>
      </c>
      <c r="AX140" s="84"/>
      <c r="AY140" s="84" t="s">
        <v>172</v>
      </c>
      <c r="AZ140" s="84">
        <f>BH57</f>
        <v>444844</v>
      </c>
      <c r="BA140" s="84">
        <f t="shared" si="28"/>
        <v>421479</v>
      </c>
      <c r="BB140" s="84">
        <f t="shared" si="29"/>
        <v>0.52527987034724033</v>
      </c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</row>
    <row r="141" spans="1:64" x14ac:dyDescent="0.2">
      <c r="A141" s="84"/>
      <c r="B141" s="84"/>
      <c r="C141" s="84" t="s">
        <v>173</v>
      </c>
      <c r="D141" s="84">
        <f>M57</f>
        <v>35912</v>
      </c>
      <c r="E141" s="84">
        <f t="shared" si="22"/>
        <v>17439.2</v>
      </c>
      <c r="F141" s="84">
        <f t="shared" si="23"/>
        <v>2.2453791864916736E-2</v>
      </c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 t="s">
        <v>173</v>
      </c>
      <c r="T141" s="84">
        <f>AC57</f>
        <v>85031</v>
      </c>
      <c r="U141" s="84">
        <f t="shared" si="24"/>
        <v>63009</v>
      </c>
      <c r="V141" s="84">
        <f t="shared" si="25"/>
        <v>7.8962050494407285E-2</v>
      </c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 t="s">
        <v>173</v>
      </c>
      <c r="AJ141" s="84">
        <f>AS57</f>
        <v>324249</v>
      </c>
      <c r="AK141" s="84">
        <f t="shared" si="26"/>
        <v>300302</v>
      </c>
      <c r="AL141" s="84">
        <f t="shared" si="27"/>
        <v>0.3682124538603318</v>
      </c>
      <c r="AX141" s="84"/>
      <c r="AY141" s="84" t="s">
        <v>173</v>
      </c>
      <c r="AZ141" s="84">
        <f>BI57</f>
        <v>496021</v>
      </c>
      <c r="BA141" s="84">
        <f t="shared" si="28"/>
        <v>472656</v>
      </c>
      <c r="BB141" s="84">
        <f t="shared" si="29"/>
        <v>0.589060623183706</v>
      </c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</row>
    <row r="142" spans="1:64" x14ac:dyDescent="0.2">
      <c r="A142" s="84"/>
      <c r="B142" s="84"/>
      <c r="C142" s="84" t="s">
        <v>174</v>
      </c>
      <c r="D142" s="84">
        <f>N57</f>
        <v>33886</v>
      </c>
      <c r="E142" s="84">
        <f t="shared" si="22"/>
        <v>15413.2</v>
      </c>
      <c r="F142" s="84">
        <f t="shared" si="23"/>
        <v>1.9845221384715735E-2</v>
      </c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 t="s">
        <v>174</v>
      </c>
      <c r="T142" s="84">
        <f>AD57</f>
        <v>89861</v>
      </c>
      <c r="U142" s="84">
        <f t="shared" si="24"/>
        <v>67839</v>
      </c>
      <c r="V142" s="84">
        <f t="shared" si="25"/>
        <v>8.5014943000049123E-2</v>
      </c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 t="s">
        <v>174</v>
      </c>
      <c r="AJ142" s="84">
        <f>AT57</f>
        <v>292997</v>
      </c>
      <c r="AK142" s="84">
        <f t="shared" si="26"/>
        <v>269050</v>
      </c>
      <c r="AL142" s="84">
        <f t="shared" si="27"/>
        <v>0.32989310997303473</v>
      </c>
      <c r="AX142" s="84"/>
      <c r="AY142" s="84" t="s">
        <v>174</v>
      </c>
      <c r="AZ142" s="84">
        <f>BJ57</f>
        <v>515589</v>
      </c>
      <c r="BA142" s="84">
        <f t="shared" si="28"/>
        <v>492224</v>
      </c>
      <c r="BB142" s="84">
        <f t="shared" si="29"/>
        <v>0.61344778482866302</v>
      </c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</row>
    <row r="143" spans="1:64" x14ac:dyDescent="0.2">
      <c r="A143" s="84"/>
      <c r="B143" s="84"/>
      <c r="C143" s="84" t="s">
        <v>175</v>
      </c>
      <c r="D143" s="84">
        <f>E58</f>
        <v>30770</v>
      </c>
      <c r="E143" s="84">
        <f t="shared" si="22"/>
        <v>12297.2</v>
      </c>
      <c r="F143" s="84">
        <f t="shared" si="23"/>
        <v>1.5833224535601067E-2</v>
      </c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 t="s">
        <v>175</v>
      </c>
      <c r="T143" s="84">
        <f>U58</f>
        <v>81498</v>
      </c>
      <c r="U143" s="84">
        <f t="shared" si="24"/>
        <v>59476</v>
      </c>
      <c r="V143" s="84">
        <f t="shared" si="25"/>
        <v>7.4534541338624125E-2</v>
      </c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 t="s">
        <v>175</v>
      </c>
      <c r="AJ143" s="84">
        <f>AK58</f>
        <v>305877</v>
      </c>
      <c r="AK143" s="84">
        <f t="shared" si="26"/>
        <v>281930</v>
      </c>
      <c r="AL143" s="84">
        <f t="shared" si="27"/>
        <v>0.34568580001746024</v>
      </c>
      <c r="AX143" s="84"/>
      <c r="AY143" s="84" t="s">
        <v>175</v>
      </c>
      <c r="AZ143" s="84">
        <f>BA58</f>
        <v>532312</v>
      </c>
      <c r="BA143" s="84">
        <f t="shared" si="28"/>
        <v>508947</v>
      </c>
      <c r="BB143" s="84">
        <f t="shared" si="29"/>
        <v>0.63428928647362492</v>
      </c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</row>
    <row r="144" spans="1:64" x14ac:dyDescent="0.2">
      <c r="A144" s="84"/>
      <c r="B144" s="84"/>
      <c r="C144" s="84" t="s">
        <v>176</v>
      </c>
      <c r="D144" s="84">
        <f>F58</f>
        <v>34087</v>
      </c>
      <c r="E144" s="84">
        <f t="shared" si="22"/>
        <v>15614.2</v>
      </c>
      <c r="F144" s="84">
        <f t="shared" si="23"/>
        <v>2.0104018357331926E-2</v>
      </c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 t="s">
        <v>176</v>
      </c>
      <c r="T144" s="84">
        <f>V58</f>
        <v>83751</v>
      </c>
      <c r="U144" s="84">
        <f t="shared" si="24"/>
        <v>61729</v>
      </c>
      <c r="V144" s="84">
        <f t="shared" si="25"/>
        <v>7.7357971321069488E-2</v>
      </c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 t="s">
        <v>176</v>
      </c>
      <c r="AJ144" s="84">
        <f>AL58</f>
        <v>330641</v>
      </c>
      <c r="AK144" s="84">
        <f t="shared" si="26"/>
        <v>306694</v>
      </c>
      <c r="AL144" s="84">
        <f t="shared" si="27"/>
        <v>0.37604994413703741</v>
      </c>
      <c r="AX144" s="84"/>
      <c r="AY144" s="84" t="s">
        <v>176</v>
      </c>
      <c r="AZ144" s="84">
        <f>BB58</f>
        <v>542956</v>
      </c>
      <c r="BA144" s="84">
        <f t="shared" si="28"/>
        <v>519591</v>
      </c>
      <c r="BB144" s="84">
        <f t="shared" si="29"/>
        <v>0.64755466610102275</v>
      </c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</row>
    <row r="145" spans="1:64" x14ac:dyDescent="0.2">
      <c r="A145" s="84"/>
      <c r="B145" s="84"/>
      <c r="C145" s="84" t="s">
        <v>177</v>
      </c>
      <c r="D145" s="84">
        <f>G58</f>
        <v>32391</v>
      </c>
      <c r="E145" s="84">
        <f t="shared" si="22"/>
        <v>13918.2</v>
      </c>
      <c r="F145" s="84">
        <f t="shared" si="23"/>
        <v>1.7920338429187357E-2</v>
      </c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 t="s">
        <v>177</v>
      </c>
      <c r="T145" s="84">
        <f>W58</f>
        <v>75844</v>
      </c>
      <c r="U145" s="84">
        <f t="shared" si="24"/>
        <v>53822</v>
      </c>
      <c r="V145" s="84">
        <f t="shared" si="25"/>
        <v>6.7449022865146063E-2</v>
      </c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 t="s">
        <v>177</v>
      </c>
      <c r="AJ145" s="84">
        <f>AM58</f>
        <v>297209</v>
      </c>
      <c r="AK145" s="84">
        <f t="shared" si="26"/>
        <v>273262</v>
      </c>
      <c r="AL145" s="84">
        <f t="shared" si="27"/>
        <v>0.33505761389128941</v>
      </c>
      <c r="AX145" s="84"/>
      <c r="AY145" s="84" t="s">
        <v>177</v>
      </c>
      <c r="AZ145" s="84">
        <f>BC58</f>
        <v>509562</v>
      </c>
      <c r="BA145" s="84">
        <f t="shared" si="28"/>
        <v>486197</v>
      </c>
      <c r="BB145" s="84">
        <f t="shared" si="29"/>
        <v>0.60593646925046618</v>
      </c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</row>
    <row r="146" spans="1:64" x14ac:dyDescent="0.2">
      <c r="A146" s="84"/>
      <c r="B146" s="84"/>
      <c r="C146" s="84" t="s">
        <v>178</v>
      </c>
      <c r="D146" s="84">
        <f>H58</f>
        <v>32618</v>
      </c>
      <c r="E146" s="84">
        <f t="shared" si="22"/>
        <v>14145.2</v>
      </c>
      <c r="F146" s="84">
        <f t="shared" si="23"/>
        <v>1.8212611627117084E-2</v>
      </c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 t="s">
        <v>178</v>
      </c>
      <c r="T146" s="84">
        <f>X58</f>
        <v>77291</v>
      </c>
      <c r="U146" s="84">
        <f t="shared" si="24"/>
        <v>55269</v>
      </c>
      <c r="V146" s="84">
        <f t="shared" si="25"/>
        <v>6.9262384243130276E-2</v>
      </c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 t="s">
        <v>178</v>
      </c>
      <c r="AJ146" s="84">
        <f>AN58</f>
        <v>306155</v>
      </c>
      <c r="AK146" s="84">
        <f t="shared" si="26"/>
        <v>282208</v>
      </c>
      <c r="AL146" s="84">
        <f t="shared" si="27"/>
        <v>0.34602666708518931</v>
      </c>
      <c r="AX146" s="84"/>
      <c r="AY146" s="84" t="s">
        <v>178</v>
      </c>
      <c r="AZ146" s="84">
        <f>BD58</f>
        <v>510474</v>
      </c>
      <c r="BA146" s="84">
        <f t="shared" si="28"/>
        <v>487109</v>
      </c>
      <c r="BB146" s="84">
        <f t="shared" si="29"/>
        <v>0.60707307449475278</v>
      </c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</row>
    <row r="147" spans="1:64" x14ac:dyDescent="0.2">
      <c r="A147" s="84"/>
      <c r="B147" s="84"/>
      <c r="C147" s="84" t="s">
        <v>179</v>
      </c>
      <c r="D147" s="84">
        <f>I58</f>
        <v>31827</v>
      </c>
      <c r="E147" s="84">
        <f t="shared" si="22"/>
        <v>13354.2</v>
      </c>
      <c r="F147" s="84">
        <f t="shared" si="23"/>
        <v>1.7194161849309091E-2</v>
      </c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 t="s">
        <v>179</v>
      </c>
      <c r="T147" s="84">
        <f>Y58</f>
        <v>80864</v>
      </c>
      <c r="U147" s="84">
        <f t="shared" si="24"/>
        <v>58842</v>
      </c>
      <c r="V147" s="84">
        <f t="shared" si="25"/>
        <v>7.374002087308025E-2</v>
      </c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 t="s">
        <v>179</v>
      </c>
      <c r="AJ147" s="84">
        <f>AO58</f>
        <v>317222</v>
      </c>
      <c r="AK147" s="84">
        <f t="shared" si="26"/>
        <v>293275</v>
      </c>
      <c r="AL147" s="84">
        <f t="shared" si="27"/>
        <v>0.35959636434618758</v>
      </c>
      <c r="AX147" s="84"/>
      <c r="AY147" s="84" t="s">
        <v>179</v>
      </c>
      <c r="AZ147" s="84">
        <f>BE58</f>
        <v>514989</v>
      </c>
      <c r="BA147" s="84">
        <f t="shared" si="28"/>
        <v>491624</v>
      </c>
      <c r="BB147" s="84">
        <f t="shared" si="29"/>
        <v>0.61270001822057962</v>
      </c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</row>
    <row r="148" spans="1:64" x14ac:dyDescent="0.2">
      <c r="A148" s="84"/>
      <c r="B148" s="84"/>
      <c r="C148" s="84" t="s">
        <v>180</v>
      </c>
      <c r="D148" s="84">
        <f>J58</f>
        <v>32630</v>
      </c>
      <c r="E148" s="84">
        <f t="shared" si="22"/>
        <v>14157.2</v>
      </c>
      <c r="F148" s="84">
        <f t="shared" si="23"/>
        <v>1.8228062192646409E-2</v>
      </c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 t="s">
        <v>180</v>
      </c>
      <c r="T148" s="84">
        <f>Z58</f>
        <v>84472</v>
      </c>
      <c r="U148" s="84">
        <f t="shared" si="24"/>
        <v>62450</v>
      </c>
      <c r="V148" s="84">
        <f t="shared" si="25"/>
        <v>7.8261519042926164E-2</v>
      </c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 t="s">
        <v>180</v>
      </c>
      <c r="AJ148" s="84">
        <f>AP58</f>
        <v>299937</v>
      </c>
      <c r="AK148" s="84">
        <f t="shared" si="26"/>
        <v>275990</v>
      </c>
      <c r="AL148" s="84">
        <f t="shared" si="27"/>
        <v>0.33840252526094727</v>
      </c>
      <c r="AX148" s="84"/>
      <c r="AY148" s="84" t="s">
        <v>180</v>
      </c>
      <c r="AZ148" s="84">
        <f>BF58</f>
        <v>511024</v>
      </c>
      <c r="BA148" s="84">
        <f t="shared" si="28"/>
        <v>487659</v>
      </c>
      <c r="BB148" s="84">
        <f t="shared" si="29"/>
        <v>0.60775852721882917</v>
      </c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</row>
    <row r="149" spans="1:64" x14ac:dyDescent="0.2">
      <c r="A149" s="84"/>
      <c r="B149" s="84"/>
      <c r="C149" s="84" t="s">
        <v>181</v>
      </c>
      <c r="D149" s="84">
        <f>K58</f>
        <v>33856</v>
      </c>
      <c r="E149" s="84">
        <f t="shared" si="22"/>
        <v>15383.2</v>
      </c>
      <c r="F149" s="84">
        <f t="shared" si="23"/>
        <v>1.9806594970892422E-2</v>
      </c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 t="s">
        <v>181</v>
      </c>
      <c r="T149" s="84">
        <f>AA58</f>
        <v>84615</v>
      </c>
      <c r="U149" s="84">
        <f t="shared" si="24"/>
        <v>62593</v>
      </c>
      <c r="V149" s="84">
        <f t="shared" si="25"/>
        <v>7.8440724763072497E-2</v>
      </c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 t="s">
        <v>181</v>
      </c>
      <c r="AJ149" s="84">
        <f>AQ58</f>
        <v>328810</v>
      </c>
      <c r="AK149" s="84">
        <f t="shared" si="26"/>
        <v>304863</v>
      </c>
      <c r="AL149" s="84">
        <f t="shared" si="27"/>
        <v>0.37380488082404495</v>
      </c>
      <c r="AX149" s="84"/>
      <c r="AY149" s="84" t="s">
        <v>181</v>
      </c>
      <c r="AZ149" s="84">
        <f>BG58</f>
        <v>494160</v>
      </c>
      <c r="BA149" s="84">
        <f t="shared" si="28"/>
        <v>470795</v>
      </c>
      <c r="BB149" s="84">
        <f t="shared" si="29"/>
        <v>0.58674130042096762</v>
      </c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</row>
    <row r="150" spans="1:64" x14ac:dyDescent="0.2">
      <c r="A150" s="84"/>
      <c r="B150" s="84"/>
      <c r="C150" s="84" t="s">
        <v>182</v>
      </c>
      <c r="D150" s="84">
        <f>L58</f>
        <v>31895</v>
      </c>
      <c r="E150" s="84">
        <f t="shared" si="22"/>
        <v>13422.2</v>
      </c>
      <c r="F150" s="84">
        <f t="shared" si="23"/>
        <v>1.7281715053975265E-2</v>
      </c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 t="s">
        <v>182</v>
      </c>
      <c r="T150" s="84">
        <f>AB58</f>
        <v>79177</v>
      </c>
      <c r="U150" s="84">
        <f t="shared" si="24"/>
        <v>57155</v>
      </c>
      <c r="V150" s="84">
        <f t="shared" si="25"/>
        <v>7.1625894650095195E-2</v>
      </c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 t="s">
        <v>182</v>
      </c>
      <c r="AJ150" s="84">
        <f>AR58</f>
        <v>302072</v>
      </c>
      <c r="AK150" s="84">
        <f t="shared" si="26"/>
        <v>278125</v>
      </c>
      <c r="AL150" s="84">
        <f t="shared" si="27"/>
        <v>0.3410203352954852</v>
      </c>
      <c r="AX150" s="84"/>
      <c r="AY150" s="84" t="s">
        <v>182</v>
      </c>
      <c r="AZ150" s="84">
        <f>BH58</f>
        <v>487906</v>
      </c>
      <c r="BA150" s="84">
        <f t="shared" si="28"/>
        <v>464541</v>
      </c>
      <c r="BB150" s="84">
        <f t="shared" si="29"/>
        <v>0.57894707980937932</v>
      </c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</row>
    <row r="151" spans="1:64" x14ac:dyDescent="0.2">
      <c r="A151" s="84"/>
      <c r="B151" s="84"/>
      <c r="C151" s="84" t="s">
        <v>183</v>
      </c>
      <c r="D151" s="84">
        <f>M58</f>
        <v>33679</v>
      </c>
      <c r="E151" s="84">
        <f t="shared" si="22"/>
        <v>15206.2</v>
      </c>
      <c r="F151" s="84">
        <f t="shared" si="23"/>
        <v>1.9578699129334885E-2</v>
      </c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 t="s">
        <v>183</v>
      </c>
      <c r="T151" s="84">
        <f>AC58</f>
        <v>77933</v>
      </c>
      <c r="U151" s="84">
        <f t="shared" si="24"/>
        <v>55911</v>
      </c>
      <c r="V151" s="84">
        <f t="shared" si="25"/>
        <v>7.0066930203507516E-2</v>
      </c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 t="s">
        <v>183</v>
      </c>
      <c r="AJ151" s="84">
        <f>AS58</f>
        <v>286797</v>
      </c>
      <c r="AK151" s="84">
        <f t="shared" si="26"/>
        <v>262850</v>
      </c>
      <c r="AL151" s="84">
        <f t="shared" si="27"/>
        <v>0.32229103867835784</v>
      </c>
      <c r="AX151" s="84"/>
      <c r="AY151" s="84" t="s">
        <v>183</v>
      </c>
      <c r="AZ151" s="84">
        <f>BI58</f>
        <v>505494</v>
      </c>
      <c r="BA151" s="84">
        <f t="shared" si="28"/>
        <v>482129</v>
      </c>
      <c r="BB151" s="84">
        <f t="shared" si="29"/>
        <v>0.60086661164766131</v>
      </c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</row>
    <row r="152" spans="1:64" x14ac:dyDescent="0.2">
      <c r="A152" s="84"/>
      <c r="B152" s="84"/>
      <c r="C152" s="84" t="s">
        <v>184</v>
      </c>
      <c r="D152" s="84">
        <f>N58</f>
        <v>34380</v>
      </c>
      <c r="E152" s="84">
        <f t="shared" si="22"/>
        <v>15907.2</v>
      </c>
      <c r="F152" s="84">
        <f t="shared" si="23"/>
        <v>2.048126966567294E-2</v>
      </c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 t="s">
        <v>184</v>
      </c>
      <c r="T152" s="84">
        <f>AD58</f>
        <v>84467</v>
      </c>
      <c r="U152" s="84">
        <f t="shared" si="24"/>
        <v>62445</v>
      </c>
      <c r="V152" s="84">
        <f t="shared" si="25"/>
        <v>7.8255253108655318E-2</v>
      </c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 t="s">
        <v>184</v>
      </c>
      <c r="AJ152" s="84">
        <f>AT58</f>
        <v>241611</v>
      </c>
      <c r="AK152" s="84">
        <f t="shared" si="26"/>
        <v>217664</v>
      </c>
      <c r="AL152" s="84">
        <f t="shared" si="27"/>
        <v>0.26688665262654016</v>
      </c>
      <c r="AX152" s="84"/>
      <c r="AY152" s="84" t="s">
        <v>184</v>
      </c>
      <c r="AZ152" s="84">
        <f>BJ58</f>
        <v>469576</v>
      </c>
      <c r="BA152" s="84">
        <f t="shared" si="28"/>
        <v>446211</v>
      </c>
      <c r="BB152" s="84">
        <f t="shared" si="29"/>
        <v>0.55610280993243433</v>
      </c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</row>
    <row r="153" spans="1:64" x14ac:dyDescent="0.2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</row>
    <row r="154" spans="1:64" x14ac:dyDescent="0.2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</row>
    <row r="155" spans="1:64" x14ac:dyDescent="0.2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</row>
    <row r="156" spans="1:64" x14ac:dyDescent="0.2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</row>
    <row r="157" spans="1:64" x14ac:dyDescent="0.2">
      <c r="A157" s="84"/>
      <c r="B157" s="84" t="s">
        <v>188</v>
      </c>
      <c r="C157" s="84" t="s">
        <v>124</v>
      </c>
      <c r="D157" s="84" t="s">
        <v>191</v>
      </c>
      <c r="E157" s="84" t="s">
        <v>192</v>
      </c>
      <c r="F157" s="84" t="s">
        <v>193</v>
      </c>
      <c r="G157" s="84" t="s">
        <v>194</v>
      </c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</row>
    <row r="158" spans="1:64" x14ac:dyDescent="0.2">
      <c r="A158" s="84"/>
      <c r="B158" s="84" t="s">
        <v>190</v>
      </c>
      <c r="C158" s="84" t="s">
        <v>125</v>
      </c>
      <c r="D158" s="84">
        <f>F93/$F93</f>
        <v>1</v>
      </c>
      <c r="E158" s="84">
        <f>ROUND(V93/$F93,3)</f>
        <v>-4.3310000000000004</v>
      </c>
      <c r="F158" s="84">
        <f>ROUND(AL93/$F93,3)</f>
        <v>-2.0430000000000001</v>
      </c>
      <c r="G158" s="84">
        <f>ROUND(BB93/$F93,3)</f>
        <v>-1.1850000000000001</v>
      </c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</row>
    <row r="159" spans="1:64" x14ac:dyDescent="0.2">
      <c r="A159" s="84"/>
      <c r="B159" s="84" t="s">
        <v>190</v>
      </c>
      <c r="C159" s="84" t="s">
        <v>126</v>
      </c>
      <c r="D159" s="84">
        <f t="shared" ref="D159:D217" si="30">F94/$F94</f>
        <v>1</v>
      </c>
      <c r="E159" s="84">
        <f t="shared" ref="E159:E217" si="31">ROUND(V94/$F94,3)</f>
        <v>0.61799999999999999</v>
      </c>
      <c r="F159" s="84">
        <f t="shared" ref="F159:F217" si="32">ROUND(AL94/$F94,3)</f>
        <v>-1.6870000000000001</v>
      </c>
      <c r="G159" s="84">
        <f t="shared" ref="G159:G217" si="33">ROUND(BB94/$F94,3)</f>
        <v>-1.1830000000000001</v>
      </c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</row>
    <row r="160" spans="1:64" x14ac:dyDescent="0.2">
      <c r="A160" s="84"/>
      <c r="B160" s="84" t="s">
        <v>190</v>
      </c>
      <c r="C160" s="84" t="s">
        <v>127</v>
      </c>
      <c r="D160" s="84">
        <f t="shared" si="30"/>
        <v>1</v>
      </c>
      <c r="E160" s="84">
        <f t="shared" si="31"/>
        <v>2.4609999999999999</v>
      </c>
      <c r="F160" s="84">
        <f t="shared" si="32"/>
        <v>2.5830000000000002</v>
      </c>
      <c r="G160" s="84">
        <f t="shared" si="33"/>
        <v>-0.89100000000000001</v>
      </c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</row>
    <row r="161" spans="1:38" x14ac:dyDescent="0.2">
      <c r="A161" s="84"/>
      <c r="B161" s="84" t="s">
        <v>190</v>
      </c>
      <c r="C161" s="84" t="s">
        <v>128</v>
      </c>
      <c r="D161" s="84">
        <f t="shared" si="30"/>
        <v>1</v>
      </c>
      <c r="E161" s="84">
        <f t="shared" si="31"/>
        <v>3.5859999999999999</v>
      </c>
      <c r="F161" s="84">
        <f t="shared" si="32"/>
        <v>3.1869999999999998</v>
      </c>
      <c r="G161" s="84">
        <f t="shared" si="33"/>
        <v>0.56399999999999995</v>
      </c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</row>
    <row r="162" spans="1:38" x14ac:dyDescent="0.2">
      <c r="A162" s="84"/>
      <c r="B162" s="84" t="s">
        <v>190</v>
      </c>
      <c r="C162" s="84" t="s">
        <v>129</v>
      </c>
      <c r="D162" s="84">
        <f t="shared" si="30"/>
        <v>1</v>
      </c>
      <c r="E162" s="84">
        <f t="shared" si="31"/>
        <v>-0.42699999999999999</v>
      </c>
      <c r="F162" s="84">
        <f t="shared" si="32"/>
        <v>-0.188</v>
      </c>
      <c r="G162" s="84">
        <f t="shared" si="33"/>
        <v>-0.84699999999999998</v>
      </c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</row>
    <row r="163" spans="1:38" x14ac:dyDescent="0.2">
      <c r="A163" s="84"/>
      <c r="B163" s="84" t="s">
        <v>64</v>
      </c>
      <c r="C163" s="84" t="s">
        <v>130</v>
      </c>
      <c r="D163" s="84">
        <f t="shared" si="30"/>
        <v>1</v>
      </c>
      <c r="E163" s="84">
        <f t="shared" si="31"/>
        <v>0.98399999999999999</v>
      </c>
      <c r="F163" s="84">
        <f t="shared" si="32"/>
        <v>1.0009999999999999</v>
      </c>
      <c r="G163" s="84">
        <f t="shared" si="33"/>
        <v>1.0129999999999999</v>
      </c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</row>
    <row r="164" spans="1:38" x14ac:dyDescent="0.2">
      <c r="A164" s="84"/>
      <c r="B164" s="84" t="s">
        <v>64</v>
      </c>
      <c r="C164" s="84" t="s">
        <v>131</v>
      </c>
      <c r="D164" s="84">
        <f t="shared" si="30"/>
        <v>1</v>
      </c>
      <c r="E164" s="84">
        <f t="shared" si="31"/>
        <v>1.004</v>
      </c>
      <c r="F164" s="84">
        <f t="shared" si="32"/>
        <v>1.016</v>
      </c>
      <c r="G164" s="84">
        <f t="shared" si="33"/>
        <v>0.98699999999999999</v>
      </c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</row>
    <row r="165" spans="1:38" x14ac:dyDescent="0.2">
      <c r="A165" s="84"/>
      <c r="B165" s="84" t="s">
        <v>64</v>
      </c>
      <c r="C165" s="84" t="s">
        <v>132</v>
      </c>
      <c r="D165" s="84">
        <f t="shared" si="30"/>
        <v>1</v>
      </c>
      <c r="E165" s="84">
        <f t="shared" si="31"/>
        <v>1.002</v>
      </c>
      <c r="F165" s="84">
        <f t="shared" si="32"/>
        <v>0.97899999999999998</v>
      </c>
      <c r="G165" s="84">
        <f t="shared" si="33"/>
        <v>0.996</v>
      </c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</row>
    <row r="166" spans="1:38" x14ac:dyDescent="0.2">
      <c r="A166" s="84"/>
      <c r="B166" s="84" t="s">
        <v>64</v>
      </c>
      <c r="C166" s="84" t="s">
        <v>133</v>
      </c>
      <c r="D166" s="84">
        <f t="shared" si="30"/>
        <v>1</v>
      </c>
      <c r="E166" s="84">
        <f t="shared" si="31"/>
        <v>0.99399999999999999</v>
      </c>
      <c r="F166" s="84">
        <f t="shared" si="32"/>
        <v>0.98499999999999999</v>
      </c>
      <c r="G166" s="84">
        <f t="shared" si="33"/>
        <v>0.98299999999999998</v>
      </c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</row>
    <row r="167" spans="1:38" x14ac:dyDescent="0.2">
      <c r="A167" s="84"/>
      <c r="B167" s="84" t="s">
        <v>64</v>
      </c>
      <c r="C167" s="84" t="s">
        <v>134</v>
      </c>
      <c r="D167" s="84">
        <f t="shared" si="30"/>
        <v>1</v>
      </c>
      <c r="E167" s="84">
        <f t="shared" si="31"/>
        <v>0.996</v>
      </c>
      <c r="F167" s="84">
        <f t="shared" si="32"/>
        <v>0.99</v>
      </c>
      <c r="G167" s="84">
        <f t="shared" si="33"/>
        <v>0.99399999999999999</v>
      </c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</row>
    <row r="168" spans="1:38" x14ac:dyDescent="0.2">
      <c r="A168" s="84"/>
      <c r="B168" s="84">
        <v>0</v>
      </c>
      <c r="C168" s="84" t="s">
        <v>135</v>
      </c>
      <c r="D168" s="84">
        <f t="shared" si="30"/>
        <v>1</v>
      </c>
      <c r="E168" s="84">
        <f t="shared" si="31"/>
        <v>2.952</v>
      </c>
      <c r="F168" s="84">
        <f t="shared" si="32"/>
        <v>16.058</v>
      </c>
      <c r="G168" s="84">
        <f t="shared" si="33"/>
        <v>29.181999999999999</v>
      </c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</row>
    <row r="169" spans="1:38" x14ac:dyDescent="0.2">
      <c r="A169" s="84"/>
      <c r="B169" s="84">
        <v>0</v>
      </c>
      <c r="C169" s="84" t="s">
        <v>136</v>
      </c>
      <c r="D169" s="84">
        <f t="shared" si="30"/>
        <v>1</v>
      </c>
      <c r="E169" s="84">
        <f t="shared" si="31"/>
        <v>3.4319999999999999</v>
      </c>
      <c r="F169" s="84">
        <f t="shared" si="32"/>
        <v>19.161000000000001</v>
      </c>
      <c r="G169" s="84">
        <f t="shared" si="33"/>
        <v>28.978999999999999</v>
      </c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</row>
    <row r="170" spans="1:38" x14ac:dyDescent="0.2">
      <c r="A170" s="84"/>
      <c r="B170" s="84">
        <v>0</v>
      </c>
      <c r="C170" s="84" t="s">
        <v>137</v>
      </c>
      <c r="D170" s="84">
        <f t="shared" si="30"/>
        <v>1</v>
      </c>
      <c r="E170" s="84">
        <f t="shared" si="31"/>
        <v>3.5739999999999998</v>
      </c>
      <c r="F170" s="84">
        <f t="shared" si="32"/>
        <v>19.620999999999999</v>
      </c>
      <c r="G170" s="84">
        <f t="shared" si="33"/>
        <v>30.018999999999998</v>
      </c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</row>
    <row r="171" spans="1:38" x14ac:dyDescent="0.2">
      <c r="A171" s="84"/>
      <c r="B171" s="84">
        <v>0</v>
      </c>
      <c r="C171" s="84" t="s">
        <v>138</v>
      </c>
      <c r="D171" s="84">
        <f t="shared" si="30"/>
        <v>1</v>
      </c>
      <c r="E171" s="84">
        <f t="shared" si="31"/>
        <v>4.4649999999999999</v>
      </c>
      <c r="F171" s="84">
        <f t="shared" si="32"/>
        <v>25.047999999999998</v>
      </c>
      <c r="G171" s="84">
        <f t="shared" si="33"/>
        <v>38.853000000000002</v>
      </c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</row>
    <row r="172" spans="1:38" x14ac:dyDescent="0.2">
      <c r="A172" s="84"/>
      <c r="B172" s="84">
        <v>0</v>
      </c>
      <c r="C172" s="84" t="s">
        <v>139</v>
      </c>
      <c r="D172" s="84">
        <f t="shared" si="30"/>
        <v>1</v>
      </c>
      <c r="E172" s="84">
        <f t="shared" si="31"/>
        <v>3.8319999999999999</v>
      </c>
      <c r="F172" s="84">
        <f t="shared" si="32"/>
        <v>17.425999999999998</v>
      </c>
      <c r="G172" s="84">
        <f t="shared" si="33"/>
        <v>30.65</v>
      </c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</row>
    <row r="173" spans="1:38" x14ac:dyDescent="0.2">
      <c r="A173" s="84"/>
      <c r="B173" s="84">
        <v>0</v>
      </c>
      <c r="C173" s="84" t="s">
        <v>140</v>
      </c>
      <c r="D173" s="84">
        <f t="shared" si="30"/>
        <v>1</v>
      </c>
      <c r="E173" s="84">
        <f t="shared" si="31"/>
        <v>3.4670000000000001</v>
      </c>
      <c r="F173" s="84">
        <f t="shared" si="32"/>
        <v>18.797999999999998</v>
      </c>
      <c r="G173" s="84">
        <f t="shared" si="33"/>
        <v>29.245000000000001</v>
      </c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</row>
    <row r="174" spans="1:38" x14ac:dyDescent="0.2">
      <c r="A174" s="84"/>
      <c r="B174" s="84">
        <v>0</v>
      </c>
      <c r="C174" s="84" t="s">
        <v>141</v>
      </c>
      <c r="D174" s="84">
        <f t="shared" si="30"/>
        <v>1</v>
      </c>
      <c r="E174" s="84">
        <f t="shared" si="31"/>
        <v>3.7050000000000001</v>
      </c>
      <c r="F174" s="84">
        <f t="shared" si="32"/>
        <v>23.786999999999999</v>
      </c>
      <c r="G174" s="84">
        <f t="shared" si="33"/>
        <v>32.121000000000002</v>
      </c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</row>
    <row r="175" spans="1:38" x14ac:dyDescent="0.2">
      <c r="A175" s="84"/>
      <c r="B175" s="84">
        <v>0</v>
      </c>
      <c r="C175" s="84" t="s">
        <v>142</v>
      </c>
      <c r="D175" s="84">
        <f t="shared" si="30"/>
        <v>1</v>
      </c>
      <c r="E175" s="84">
        <f t="shared" si="31"/>
        <v>4.13</v>
      </c>
      <c r="F175" s="84">
        <f t="shared" si="32"/>
        <v>22.837</v>
      </c>
      <c r="G175" s="84">
        <f t="shared" si="33"/>
        <v>35.46</v>
      </c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</row>
    <row r="176" spans="1:38" x14ac:dyDescent="0.2">
      <c r="A176" s="84"/>
      <c r="B176" s="84">
        <v>0</v>
      </c>
      <c r="C176" s="84" t="s">
        <v>143</v>
      </c>
      <c r="D176" s="84">
        <f t="shared" si="30"/>
        <v>1</v>
      </c>
      <c r="E176" s="84">
        <f t="shared" si="31"/>
        <v>4.3209999999999997</v>
      </c>
      <c r="F176" s="84">
        <f t="shared" si="32"/>
        <v>21.786999999999999</v>
      </c>
      <c r="G176" s="84">
        <f t="shared" si="33"/>
        <v>34.289000000000001</v>
      </c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</row>
    <row r="177" spans="1:38" x14ac:dyDescent="0.2">
      <c r="A177" s="84"/>
      <c r="B177" s="84">
        <v>0</v>
      </c>
      <c r="C177" s="84" t="s">
        <v>144</v>
      </c>
      <c r="D177" s="84">
        <f t="shared" si="30"/>
        <v>1</v>
      </c>
      <c r="E177" s="84">
        <f t="shared" si="31"/>
        <v>4.2</v>
      </c>
      <c r="F177" s="84">
        <f t="shared" si="32"/>
        <v>16.042000000000002</v>
      </c>
      <c r="G177" s="84">
        <f t="shared" si="33"/>
        <v>32.606999999999999</v>
      </c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</row>
    <row r="178" spans="1:38" x14ac:dyDescent="0.2">
      <c r="A178" s="84"/>
      <c r="B178" s="84">
        <v>8</v>
      </c>
      <c r="C178" s="84" t="s">
        <v>145</v>
      </c>
      <c r="D178" s="84">
        <f t="shared" si="30"/>
        <v>1</v>
      </c>
      <c r="E178" s="84">
        <f t="shared" si="31"/>
        <v>3.645</v>
      </c>
      <c r="F178" s="84">
        <f t="shared" si="32"/>
        <v>20.713000000000001</v>
      </c>
      <c r="G178" s="84">
        <f t="shared" si="33"/>
        <v>31.509</v>
      </c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</row>
    <row r="179" spans="1:38" x14ac:dyDescent="0.2">
      <c r="A179" s="84"/>
      <c r="B179" s="84">
        <v>8</v>
      </c>
      <c r="C179" s="84" t="s">
        <v>146</v>
      </c>
      <c r="D179" s="84">
        <f t="shared" si="30"/>
        <v>1</v>
      </c>
      <c r="E179" s="84">
        <f t="shared" si="31"/>
        <v>3.2349999999999999</v>
      </c>
      <c r="F179" s="84">
        <f t="shared" si="32"/>
        <v>16.196000000000002</v>
      </c>
      <c r="G179" s="84">
        <f t="shared" si="33"/>
        <v>23.364000000000001</v>
      </c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</row>
    <row r="180" spans="1:38" x14ac:dyDescent="0.2">
      <c r="A180" s="84"/>
      <c r="B180" s="84">
        <v>8</v>
      </c>
      <c r="C180" s="84" t="s">
        <v>147</v>
      </c>
      <c r="D180" s="84">
        <f t="shared" si="30"/>
        <v>1</v>
      </c>
      <c r="E180" s="84">
        <f t="shared" si="31"/>
        <v>3.242</v>
      </c>
      <c r="F180" s="84">
        <f t="shared" si="32"/>
        <v>16.608000000000001</v>
      </c>
      <c r="G180" s="84">
        <f t="shared" si="33"/>
        <v>23.591999999999999</v>
      </c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</row>
    <row r="181" spans="1:38" x14ac:dyDescent="0.2">
      <c r="A181" s="84"/>
      <c r="B181" s="84">
        <v>8</v>
      </c>
      <c r="C181" s="84" t="s">
        <v>148</v>
      </c>
      <c r="D181" s="84">
        <f t="shared" si="30"/>
        <v>1</v>
      </c>
      <c r="E181" s="84">
        <f t="shared" si="31"/>
        <v>2.89</v>
      </c>
      <c r="F181" s="84">
        <f t="shared" si="32"/>
        <v>15.135</v>
      </c>
      <c r="G181" s="84">
        <f t="shared" si="33"/>
        <v>22.963000000000001</v>
      </c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</row>
    <row r="182" spans="1:38" x14ac:dyDescent="0.2">
      <c r="A182" s="84"/>
      <c r="B182" s="84">
        <v>8</v>
      </c>
      <c r="C182" s="84" t="s">
        <v>149</v>
      </c>
      <c r="D182" s="84">
        <f t="shared" si="30"/>
        <v>1</v>
      </c>
      <c r="E182" s="84">
        <f t="shared" si="31"/>
        <v>3.0590000000000002</v>
      </c>
      <c r="F182" s="84">
        <f t="shared" si="32"/>
        <v>16.228000000000002</v>
      </c>
      <c r="G182" s="84">
        <f t="shared" si="33"/>
        <v>25.515999999999998</v>
      </c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</row>
    <row r="183" spans="1:38" x14ac:dyDescent="0.2">
      <c r="A183" s="84"/>
      <c r="B183" s="84">
        <v>8</v>
      </c>
      <c r="C183" s="84" t="s">
        <v>150</v>
      </c>
      <c r="D183" s="84">
        <f t="shared" si="30"/>
        <v>1</v>
      </c>
      <c r="E183" s="84">
        <f t="shared" si="31"/>
        <v>3.266</v>
      </c>
      <c r="F183" s="84">
        <f t="shared" si="32"/>
        <v>17.678000000000001</v>
      </c>
      <c r="G183" s="84">
        <f t="shared" si="33"/>
        <v>30.25</v>
      </c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</row>
    <row r="184" spans="1:38" x14ac:dyDescent="0.2">
      <c r="A184" s="84"/>
      <c r="B184" s="84">
        <v>8</v>
      </c>
      <c r="C184" s="84" t="s">
        <v>151</v>
      </c>
      <c r="D184" s="84">
        <f t="shared" si="30"/>
        <v>1</v>
      </c>
      <c r="E184" s="84">
        <f t="shared" si="31"/>
        <v>3.1709999999999998</v>
      </c>
      <c r="F184" s="84">
        <f t="shared" si="32"/>
        <v>16.2</v>
      </c>
      <c r="G184" s="84">
        <f t="shared" si="33"/>
        <v>24.530999999999999</v>
      </c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</row>
    <row r="185" spans="1:38" x14ac:dyDescent="0.2">
      <c r="A185" s="84"/>
      <c r="B185" s="84">
        <v>8</v>
      </c>
      <c r="C185" s="84" t="s">
        <v>152</v>
      </c>
      <c r="D185" s="84">
        <f t="shared" si="30"/>
        <v>1</v>
      </c>
      <c r="E185" s="84">
        <f t="shared" si="31"/>
        <v>3.2</v>
      </c>
      <c r="F185" s="84">
        <f t="shared" si="32"/>
        <v>17.710999999999999</v>
      </c>
      <c r="G185" s="84">
        <f t="shared" si="33"/>
        <v>27.363</v>
      </c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</row>
    <row r="186" spans="1:38" x14ac:dyDescent="0.2">
      <c r="A186" s="84"/>
      <c r="B186" s="84">
        <v>8</v>
      </c>
      <c r="C186" s="84" t="s">
        <v>153</v>
      </c>
      <c r="D186" s="84">
        <f t="shared" si="30"/>
        <v>1</v>
      </c>
      <c r="E186" s="84">
        <f t="shared" si="31"/>
        <v>3.9940000000000002</v>
      </c>
      <c r="F186" s="84">
        <f t="shared" si="32"/>
        <v>18.966999999999999</v>
      </c>
      <c r="G186" s="84">
        <f t="shared" si="33"/>
        <v>30.004999999999999</v>
      </c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</row>
    <row r="187" spans="1:38" x14ac:dyDescent="0.2">
      <c r="A187" s="84"/>
      <c r="B187" s="84">
        <v>8</v>
      </c>
      <c r="C187" s="84" t="s">
        <v>154</v>
      </c>
      <c r="D187" s="84">
        <f t="shared" si="30"/>
        <v>1</v>
      </c>
      <c r="E187" s="84">
        <f t="shared" si="31"/>
        <v>4.2140000000000004</v>
      </c>
      <c r="F187" s="84">
        <f t="shared" si="32"/>
        <v>17.149999999999999</v>
      </c>
      <c r="G187" s="84">
        <f t="shared" si="33"/>
        <v>31.335000000000001</v>
      </c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</row>
    <row r="188" spans="1:38" x14ac:dyDescent="0.2">
      <c r="A188" s="84"/>
      <c r="B188" s="84">
        <v>16</v>
      </c>
      <c r="C188" s="84" t="s">
        <v>155</v>
      </c>
      <c r="D188" s="84">
        <f t="shared" si="30"/>
        <v>1</v>
      </c>
      <c r="E188" s="84">
        <f t="shared" si="31"/>
        <v>3.137</v>
      </c>
      <c r="F188" s="84">
        <f t="shared" si="32"/>
        <v>19.38</v>
      </c>
      <c r="G188" s="84">
        <f t="shared" si="33"/>
        <v>32.463999999999999</v>
      </c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</row>
    <row r="189" spans="1:38" x14ac:dyDescent="0.2">
      <c r="A189" s="84"/>
      <c r="B189" s="84">
        <v>16</v>
      </c>
      <c r="C189" s="84" t="s">
        <v>156</v>
      </c>
      <c r="D189" s="84">
        <f t="shared" si="30"/>
        <v>1</v>
      </c>
      <c r="E189" s="84">
        <f t="shared" si="31"/>
        <v>3.14</v>
      </c>
      <c r="F189" s="84">
        <f t="shared" si="32"/>
        <v>16.901</v>
      </c>
      <c r="G189" s="84">
        <f t="shared" si="33"/>
        <v>25.905000000000001</v>
      </c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</row>
    <row r="190" spans="1:38" x14ac:dyDescent="0.2">
      <c r="A190" s="84"/>
      <c r="B190" s="84">
        <v>16</v>
      </c>
      <c r="C190" s="84" t="s">
        <v>157</v>
      </c>
      <c r="D190" s="84">
        <f t="shared" si="30"/>
        <v>1</v>
      </c>
      <c r="E190" s="84">
        <f t="shared" si="31"/>
        <v>3.22</v>
      </c>
      <c r="F190" s="84">
        <f t="shared" si="32"/>
        <v>17.997</v>
      </c>
      <c r="G190" s="84">
        <f t="shared" si="33"/>
        <v>25.8</v>
      </c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</row>
    <row r="191" spans="1:38" x14ac:dyDescent="0.2">
      <c r="A191" s="84"/>
      <c r="B191" s="84">
        <v>16</v>
      </c>
      <c r="C191" s="84" t="s">
        <v>158</v>
      </c>
      <c r="D191" s="84">
        <f t="shared" si="30"/>
        <v>1</v>
      </c>
      <c r="E191" s="84">
        <f t="shared" si="31"/>
        <v>3.4569999999999999</v>
      </c>
      <c r="F191" s="84">
        <f t="shared" si="32"/>
        <v>15.502000000000001</v>
      </c>
      <c r="G191" s="84">
        <f t="shared" si="33"/>
        <v>25.061</v>
      </c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</row>
    <row r="192" spans="1:38" x14ac:dyDescent="0.2">
      <c r="A192" s="84"/>
      <c r="B192" s="84">
        <v>16</v>
      </c>
      <c r="C192" s="84" t="s">
        <v>159</v>
      </c>
      <c r="D192" s="84">
        <f t="shared" si="30"/>
        <v>1</v>
      </c>
      <c r="E192" s="84">
        <f t="shared" si="31"/>
        <v>3.512</v>
      </c>
      <c r="F192" s="84">
        <f t="shared" si="32"/>
        <v>17.433</v>
      </c>
      <c r="G192" s="84">
        <f t="shared" si="33"/>
        <v>26.952000000000002</v>
      </c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</row>
    <row r="193" spans="1:38" x14ac:dyDescent="0.2">
      <c r="A193" s="84"/>
      <c r="B193" s="84">
        <v>16</v>
      </c>
      <c r="C193" s="84" t="s">
        <v>160</v>
      </c>
      <c r="D193" s="84">
        <f t="shared" si="30"/>
        <v>1</v>
      </c>
      <c r="E193" s="84">
        <f t="shared" si="31"/>
        <v>3.4380000000000002</v>
      </c>
      <c r="F193" s="84">
        <f t="shared" si="32"/>
        <v>16.376000000000001</v>
      </c>
      <c r="G193" s="84">
        <f t="shared" si="33"/>
        <v>24.88</v>
      </c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</row>
    <row r="194" spans="1:38" x14ac:dyDescent="0.2">
      <c r="A194" s="84"/>
      <c r="B194" s="84">
        <v>16</v>
      </c>
      <c r="C194" s="84" t="s">
        <v>161</v>
      </c>
      <c r="D194" s="84">
        <f t="shared" si="30"/>
        <v>1</v>
      </c>
      <c r="E194" s="84">
        <f t="shared" si="31"/>
        <v>3.3439999999999999</v>
      </c>
      <c r="F194" s="84">
        <f t="shared" si="32"/>
        <v>15.557</v>
      </c>
      <c r="G194" s="84">
        <f t="shared" si="33"/>
        <v>25.027999999999999</v>
      </c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</row>
    <row r="195" spans="1:38" x14ac:dyDescent="0.2">
      <c r="A195" s="84"/>
      <c r="B195" s="84">
        <v>16</v>
      </c>
      <c r="C195" s="84" t="s">
        <v>162</v>
      </c>
      <c r="D195" s="84">
        <f t="shared" si="30"/>
        <v>1</v>
      </c>
      <c r="E195" s="84">
        <f t="shared" si="31"/>
        <v>3.399</v>
      </c>
      <c r="F195" s="84">
        <f t="shared" si="32"/>
        <v>15.86</v>
      </c>
      <c r="G195" s="84">
        <f t="shared" si="33"/>
        <v>23.805</v>
      </c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</row>
    <row r="196" spans="1:38" x14ac:dyDescent="0.2">
      <c r="A196" s="84"/>
      <c r="B196" s="84">
        <v>16</v>
      </c>
      <c r="C196" s="84" t="s">
        <v>163</v>
      </c>
      <c r="D196" s="84">
        <f t="shared" si="30"/>
        <v>1</v>
      </c>
      <c r="E196" s="84">
        <f t="shared" si="31"/>
        <v>3.4369999999999998</v>
      </c>
      <c r="F196" s="84">
        <f t="shared" si="32"/>
        <v>16.888999999999999</v>
      </c>
      <c r="G196" s="84">
        <f t="shared" si="33"/>
        <v>27.701000000000001</v>
      </c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</row>
    <row r="197" spans="1:38" x14ac:dyDescent="0.2">
      <c r="A197" s="84"/>
      <c r="B197" s="84">
        <v>16</v>
      </c>
      <c r="C197" s="84" t="s">
        <v>164</v>
      </c>
      <c r="D197" s="84">
        <f t="shared" si="30"/>
        <v>1</v>
      </c>
      <c r="E197" s="84">
        <f t="shared" si="31"/>
        <v>3.8780000000000001</v>
      </c>
      <c r="F197" s="84">
        <f t="shared" si="32"/>
        <v>16.565999999999999</v>
      </c>
      <c r="G197" s="84">
        <f t="shared" si="33"/>
        <v>30.199000000000002</v>
      </c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</row>
    <row r="198" spans="1:38" x14ac:dyDescent="0.2">
      <c r="A198" s="84"/>
      <c r="B198" s="84">
        <v>32</v>
      </c>
      <c r="C198" s="84" t="s">
        <v>165</v>
      </c>
      <c r="D198" s="84">
        <f t="shared" si="30"/>
        <v>1</v>
      </c>
      <c r="E198" s="84">
        <f t="shared" si="31"/>
        <v>4.2729999999999997</v>
      </c>
      <c r="F198" s="84">
        <f t="shared" si="32"/>
        <v>21.550999999999998</v>
      </c>
      <c r="G198" s="84">
        <f t="shared" si="33"/>
        <v>34.406999999999996</v>
      </c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</row>
    <row r="199" spans="1:38" x14ac:dyDescent="0.2">
      <c r="A199" s="84"/>
      <c r="B199" s="84">
        <v>32</v>
      </c>
      <c r="C199" s="84" t="s">
        <v>166</v>
      </c>
      <c r="D199" s="84">
        <f t="shared" si="30"/>
        <v>1</v>
      </c>
      <c r="E199" s="84">
        <f t="shared" si="31"/>
        <v>3.48</v>
      </c>
      <c r="F199" s="84">
        <f t="shared" si="32"/>
        <v>18.437000000000001</v>
      </c>
      <c r="G199" s="84">
        <f t="shared" si="33"/>
        <v>28.728999999999999</v>
      </c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</row>
    <row r="200" spans="1:38" x14ac:dyDescent="0.2">
      <c r="A200" s="84"/>
      <c r="B200" s="84">
        <v>32</v>
      </c>
      <c r="C200" s="84" t="s">
        <v>167</v>
      </c>
      <c r="D200" s="84">
        <f t="shared" si="30"/>
        <v>1</v>
      </c>
      <c r="E200" s="84">
        <f t="shared" si="31"/>
        <v>3.3540000000000001</v>
      </c>
      <c r="F200" s="84">
        <f t="shared" si="32"/>
        <v>15.887</v>
      </c>
      <c r="G200" s="84">
        <f t="shared" si="33"/>
        <v>24.602</v>
      </c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</row>
    <row r="201" spans="1:38" x14ac:dyDescent="0.2">
      <c r="A201" s="84"/>
      <c r="B201" s="84">
        <v>32</v>
      </c>
      <c r="C201" s="84" t="s">
        <v>168</v>
      </c>
      <c r="D201" s="84">
        <f t="shared" si="30"/>
        <v>1</v>
      </c>
      <c r="E201" s="84">
        <f t="shared" si="31"/>
        <v>2.9460000000000002</v>
      </c>
      <c r="F201" s="84">
        <f t="shared" si="32"/>
        <v>14.009</v>
      </c>
      <c r="G201" s="84">
        <f t="shared" si="33"/>
        <v>22.733000000000001</v>
      </c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</row>
    <row r="202" spans="1:38" x14ac:dyDescent="0.2">
      <c r="A202" s="84"/>
      <c r="B202" s="84">
        <v>32</v>
      </c>
      <c r="C202" s="84" t="s">
        <v>169</v>
      </c>
      <c r="D202" s="84">
        <f t="shared" si="30"/>
        <v>1</v>
      </c>
      <c r="E202" s="84">
        <f t="shared" si="31"/>
        <v>2.9849999999999999</v>
      </c>
      <c r="F202" s="84">
        <f t="shared" si="32"/>
        <v>14.792</v>
      </c>
      <c r="G202" s="84">
        <f t="shared" si="33"/>
        <v>22.288</v>
      </c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</row>
    <row r="203" spans="1:38" x14ac:dyDescent="0.2">
      <c r="A203" s="84"/>
      <c r="B203" s="84">
        <v>32</v>
      </c>
      <c r="C203" s="84" t="s">
        <v>170</v>
      </c>
      <c r="D203" s="84">
        <f t="shared" si="30"/>
        <v>1</v>
      </c>
      <c r="E203" s="84">
        <f t="shared" si="31"/>
        <v>3.117</v>
      </c>
      <c r="F203" s="84">
        <f t="shared" si="32"/>
        <v>15.497999999999999</v>
      </c>
      <c r="G203" s="84">
        <f t="shared" si="33"/>
        <v>26.734000000000002</v>
      </c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</row>
    <row r="204" spans="1:38" x14ac:dyDescent="0.2">
      <c r="A204" s="84"/>
      <c r="B204" s="84">
        <v>32</v>
      </c>
      <c r="C204" s="84" t="s">
        <v>171</v>
      </c>
      <c r="D204" s="84">
        <f t="shared" si="30"/>
        <v>1</v>
      </c>
      <c r="E204" s="84">
        <f t="shared" si="31"/>
        <v>3.0369999999999999</v>
      </c>
      <c r="F204" s="84">
        <f t="shared" si="32"/>
        <v>14.552</v>
      </c>
      <c r="G204" s="84">
        <f t="shared" si="33"/>
        <v>22.617000000000001</v>
      </c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</row>
    <row r="205" spans="1:38" x14ac:dyDescent="0.2">
      <c r="A205" s="84"/>
      <c r="B205" s="84">
        <v>32</v>
      </c>
      <c r="C205" s="84" t="s">
        <v>172</v>
      </c>
      <c r="D205" s="84">
        <f t="shared" si="30"/>
        <v>1</v>
      </c>
      <c r="E205" s="84">
        <f t="shared" si="31"/>
        <v>3.5339999999999998</v>
      </c>
      <c r="F205" s="84">
        <f t="shared" si="32"/>
        <v>17.774000000000001</v>
      </c>
      <c r="G205" s="84">
        <f t="shared" si="33"/>
        <v>21.356000000000002</v>
      </c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</row>
    <row r="206" spans="1:38" x14ac:dyDescent="0.2">
      <c r="A206" s="84"/>
      <c r="B206" s="84">
        <v>32</v>
      </c>
      <c r="C206" s="84" t="s">
        <v>173</v>
      </c>
      <c r="D206" s="84">
        <f t="shared" si="30"/>
        <v>1</v>
      </c>
      <c r="E206" s="84">
        <f t="shared" si="31"/>
        <v>3.5169999999999999</v>
      </c>
      <c r="F206" s="84">
        <f t="shared" si="32"/>
        <v>16.399000000000001</v>
      </c>
      <c r="G206" s="84">
        <f t="shared" si="33"/>
        <v>26.234000000000002</v>
      </c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</row>
    <row r="207" spans="1:38" x14ac:dyDescent="0.2">
      <c r="A207" s="84"/>
      <c r="B207" s="84">
        <v>32</v>
      </c>
      <c r="C207" s="84" t="s">
        <v>174</v>
      </c>
      <c r="D207" s="84">
        <f t="shared" si="30"/>
        <v>1</v>
      </c>
      <c r="E207" s="84">
        <f t="shared" si="31"/>
        <v>4.2839999999999998</v>
      </c>
      <c r="F207" s="84">
        <f t="shared" si="32"/>
        <v>16.623000000000001</v>
      </c>
      <c r="G207" s="84">
        <f t="shared" si="33"/>
        <v>30.911999999999999</v>
      </c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</row>
    <row r="208" spans="1:38" x14ac:dyDescent="0.2">
      <c r="A208" s="84"/>
      <c r="B208" s="84">
        <v>64</v>
      </c>
      <c r="C208" s="84" t="s">
        <v>175</v>
      </c>
      <c r="D208" s="84">
        <f t="shared" si="30"/>
        <v>1</v>
      </c>
      <c r="E208" s="84">
        <f t="shared" si="31"/>
        <v>4.7069999999999999</v>
      </c>
      <c r="F208" s="84">
        <f t="shared" si="32"/>
        <v>21.832999999999998</v>
      </c>
      <c r="G208" s="84">
        <f t="shared" si="33"/>
        <v>40.061</v>
      </c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</row>
    <row r="209" spans="1:38" x14ac:dyDescent="0.2">
      <c r="A209" s="84"/>
      <c r="B209" s="84">
        <v>64</v>
      </c>
      <c r="C209" s="84" t="s">
        <v>176</v>
      </c>
      <c r="D209" s="84">
        <f t="shared" si="30"/>
        <v>1</v>
      </c>
      <c r="E209" s="84">
        <f t="shared" si="31"/>
        <v>3.8479999999999999</v>
      </c>
      <c r="F209" s="84">
        <f t="shared" si="32"/>
        <v>18.704999999999998</v>
      </c>
      <c r="G209" s="84">
        <f t="shared" si="33"/>
        <v>32.21</v>
      </c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</row>
    <row r="210" spans="1:38" x14ac:dyDescent="0.2">
      <c r="A210" s="84"/>
      <c r="B210" s="84">
        <v>64</v>
      </c>
      <c r="C210" s="84" t="s">
        <v>177</v>
      </c>
      <c r="D210" s="84">
        <f t="shared" si="30"/>
        <v>1</v>
      </c>
      <c r="E210" s="84">
        <f t="shared" si="31"/>
        <v>3.7639999999999998</v>
      </c>
      <c r="F210" s="84">
        <f t="shared" si="32"/>
        <v>18.696999999999999</v>
      </c>
      <c r="G210" s="84">
        <f t="shared" si="33"/>
        <v>33.813000000000002</v>
      </c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</row>
    <row r="211" spans="1:38" x14ac:dyDescent="0.2">
      <c r="A211" s="84"/>
      <c r="B211" s="84">
        <v>64</v>
      </c>
      <c r="C211" s="84" t="s">
        <v>178</v>
      </c>
      <c r="D211" s="84">
        <f t="shared" si="30"/>
        <v>1</v>
      </c>
      <c r="E211" s="84">
        <f t="shared" si="31"/>
        <v>3.8029999999999999</v>
      </c>
      <c r="F211" s="84">
        <f t="shared" si="32"/>
        <v>18.998999999999999</v>
      </c>
      <c r="G211" s="84">
        <f t="shared" si="33"/>
        <v>33.332999999999998</v>
      </c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</row>
    <row r="212" spans="1:38" x14ac:dyDescent="0.2">
      <c r="A212" s="84"/>
      <c r="B212" s="84">
        <v>64</v>
      </c>
      <c r="C212" s="84" t="s">
        <v>179</v>
      </c>
      <c r="D212" s="84">
        <f t="shared" si="30"/>
        <v>1</v>
      </c>
      <c r="E212" s="84">
        <f t="shared" si="31"/>
        <v>4.2889999999999997</v>
      </c>
      <c r="F212" s="84">
        <f t="shared" si="32"/>
        <v>20.914000000000001</v>
      </c>
      <c r="G212" s="84">
        <f t="shared" si="33"/>
        <v>35.634</v>
      </c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</row>
    <row r="213" spans="1:38" x14ac:dyDescent="0.2">
      <c r="A213" s="84"/>
      <c r="B213" s="84">
        <v>64</v>
      </c>
      <c r="C213" s="84" t="s">
        <v>180</v>
      </c>
      <c r="D213" s="84">
        <f t="shared" si="30"/>
        <v>1</v>
      </c>
      <c r="E213" s="84">
        <f t="shared" si="31"/>
        <v>4.2930000000000001</v>
      </c>
      <c r="F213" s="84">
        <f t="shared" si="32"/>
        <v>18.565000000000001</v>
      </c>
      <c r="G213" s="84">
        <f t="shared" si="33"/>
        <v>33.341999999999999</v>
      </c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</row>
    <row r="214" spans="1:38" x14ac:dyDescent="0.2">
      <c r="A214" s="84"/>
      <c r="B214" s="84">
        <v>64</v>
      </c>
      <c r="C214" s="84" t="s">
        <v>181</v>
      </c>
      <c r="D214" s="84">
        <f t="shared" si="30"/>
        <v>1</v>
      </c>
      <c r="E214" s="84">
        <f t="shared" si="31"/>
        <v>3.96</v>
      </c>
      <c r="F214" s="84">
        <f t="shared" si="32"/>
        <v>18.873000000000001</v>
      </c>
      <c r="G214" s="84">
        <f t="shared" si="33"/>
        <v>29.623999999999999</v>
      </c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</row>
    <row r="215" spans="1:38" x14ac:dyDescent="0.2">
      <c r="A215" s="84"/>
      <c r="B215" s="84">
        <v>64</v>
      </c>
      <c r="C215" s="84" t="s">
        <v>182</v>
      </c>
      <c r="D215" s="84">
        <f t="shared" si="30"/>
        <v>1</v>
      </c>
      <c r="E215" s="84">
        <f t="shared" si="31"/>
        <v>4.1449999999999996</v>
      </c>
      <c r="F215" s="84">
        <f t="shared" si="32"/>
        <v>19.733000000000001</v>
      </c>
      <c r="G215" s="84">
        <f t="shared" si="33"/>
        <v>33.500999999999998</v>
      </c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</row>
    <row r="216" spans="1:38" x14ac:dyDescent="0.2">
      <c r="A216" s="84"/>
      <c r="B216" s="84">
        <v>64</v>
      </c>
      <c r="C216" s="84" t="s">
        <v>183</v>
      </c>
      <c r="D216" s="84">
        <f t="shared" si="30"/>
        <v>1</v>
      </c>
      <c r="E216" s="84">
        <f t="shared" si="31"/>
        <v>3.5790000000000002</v>
      </c>
      <c r="F216" s="84">
        <f t="shared" si="32"/>
        <v>16.460999999999999</v>
      </c>
      <c r="G216" s="84">
        <f t="shared" si="33"/>
        <v>30.69</v>
      </c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</row>
    <row r="217" spans="1:38" x14ac:dyDescent="0.2">
      <c r="A217" s="84"/>
      <c r="B217" s="84">
        <v>64</v>
      </c>
      <c r="C217" s="84" t="s">
        <v>184</v>
      </c>
      <c r="D217" s="84">
        <f t="shared" si="30"/>
        <v>1</v>
      </c>
      <c r="E217" s="84">
        <f t="shared" si="31"/>
        <v>3.8210000000000002</v>
      </c>
      <c r="F217" s="84">
        <f t="shared" si="32"/>
        <v>13.031000000000001</v>
      </c>
      <c r="G217" s="84">
        <f t="shared" si="33"/>
        <v>27.152000000000001</v>
      </c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</row>
    <row r="219" spans="1:38" x14ac:dyDescent="0.2">
      <c r="A219" s="84" t="s">
        <v>188</v>
      </c>
      <c r="B219" s="84"/>
      <c r="C219" s="84"/>
      <c r="D219" s="84"/>
      <c r="E219" s="84"/>
    </row>
    <row r="220" spans="1:38" x14ac:dyDescent="0.2">
      <c r="A220" s="84"/>
      <c r="B220" s="84">
        <v>0</v>
      </c>
      <c r="C220" s="84">
        <v>2</v>
      </c>
      <c r="D220" s="84">
        <v>5</v>
      </c>
      <c r="E220" s="84">
        <v>7</v>
      </c>
    </row>
    <row r="221" spans="1:38" x14ac:dyDescent="0.2">
      <c r="A221" s="84">
        <v>0</v>
      </c>
      <c r="B221" s="84">
        <f>AVERAGE(D168:D177)</f>
        <v>1</v>
      </c>
      <c r="C221" s="84">
        <f t="shared" ref="C221:E221" si="34">AVERAGE(E168:E177)</f>
        <v>3.8078000000000003</v>
      </c>
      <c r="D221" s="84">
        <f t="shared" si="34"/>
        <v>20.0565</v>
      </c>
      <c r="E221" s="84">
        <f t="shared" si="34"/>
        <v>32.14050000000001</v>
      </c>
    </row>
    <row r="222" spans="1:38" x14ac:dyDescent="0.2">
      <c r="A222" s="84">
        <v>8</v>
      </c>
      <c r="B222" s="84">
        <f>AVERAGE(D178:D187)</f>
        <v>1</v>
      </c>
      <c r="C222" s="84">
        <f t="shared" ref="C222:E222" si="35">AVERAGE(E178:E187)</f>
        <v>3.3916000000000004</v>
      </c>
      <c r="D222" s="84">
        <f t="shared" si="35"/>
        <v>17.258600000000005</v>
      </c>
      <c r="E222" s="84">
        <f t="shared" si="35"/>
        <v>27.0428</v>
      </c>
    </row>
    <row r="223" spans="1:38" x14ac:dyDescent="0.2">
      <c r="A223" s="84">
        <v>16</v>
      </c>
      <c r="B223" s="84">
        <f>AVERAGE(D188:D197)</f>
        <v>1</v>
      </c>
      <c r="C223" s="84">
        <f t="shared" ref="C223:E223" si="36">AVERAGE(E188:E197)</f>
        <v>3.3962000000000003</v>
      </c>
      <c r="D223" s="84">
        <f t="shared" si="36"/>
        <v>16.8461</v>
      </c>
      <c r="E223" s="84">
        <f t="shared" si="36"/>
        <v>26.779499999999995</v>
      </c>
    </row>
    <row r="224" spans="1:38" x14ac:dyDescent="0.2">
      <c r="A224" s="84">
        <v>32</v>
      </c>
      <c r="B224" s="84">
        <f>AVERAGE(D198:D207)</f>
        <v>1</v>
      </c>
      <c r="C224" s="84">
        <f t="shared" ref="C224:E224" si="37">AVERAGE(E198:E207)</f>
        <v>3.4527000000000001</v>
      </c>
      <c r="D224" s="84">
        <f t="shared" si="37"/>
        <v>16.552199999999999</v>
      </c>
      <c r="E224" s="84">
        <f t="shared" si="37"/>
        <v>26.061200000000003</v>
      </c>
    </row>
    <row r="225" spans="1:5" x14ac:dyDescent="0.2">
      <c r="A225" s="84">
        <v>64</v>
      </c>
      <c r="B225" s="84">
        <f>AVERAGE(D208:D217)</f>
        <v>1</v>
      </c>
      <c r="C225" s="84">
        <f t="shared" ref="C225:E225" si="38">AVERAGE(E208:E217)</f>
        <v>4.0208999999999993</v>
      </c>
      <c r="D225" s="84">
        <f t="shared" si="38"/>
        <v>18.581099999999999</v>
      </c>
      <c r="E225" s="84">
        <f t="shared" si="38"/>
        <v>32.935999999999993</v>
      </c>
    </row>
    <row r="226" spans="1:5" x14ac:dyDescent="0.2">
      <c r="A226" s="84"/>
      <c r="B226" s="84"/>
      <c r="C226" s="84"/>
      <c r="D226" s="84"/>
      <c r="E226" s="84"/>
    </row>
    <row r="227" spans="1:5" x14ac:dyDescent="0.2">
      <c r="A227" s="84" t="s">
        <v>56</v>
      </c>
      <c r="B227" s="84" t="s">
        <v>191</v>
      </c>
      <c r="C227" s="84" t="s">
        <v>192</v>
      </c>
      <c r="D227" s="84" t="s">
        <v>193</v>
      </c>
      <c r="E227" s="84" t="s">
        <v>194</v>
      </c>
    </row>
    <row r="228" spans="1:5" x14ac:dyDescent="0.2">
      <c r="A228" s="84">
        <v>0</v>
      </c>
      <c r="B228" s="84">
        <f>_xlfn.STDEV.P(D168:D177)</f>
        <v>0</v>
      </c>
      <c r="C228" s="84">
        <f t="shared" ref="C228:E228" si="39">_xlfn.STDEV.P(E168:E177)</f>
        <v>0.44816287217929335</v>
      </c>
      <c r="D228" s="84">
        <f t="shared" si="39"/>
        <v>3.0192160985924814</v>
      </c>
      <c r="E228" s="84">
        <f t="shared" si="39"/>
        <v>3.0783903017648702</v>
      </c>
    </row>
    <row r="229" spans="1:5" x14ac:dyDescent="0.2">
      <c r="A229" s="84">
        <v>8</v>
      </c>
      <c r="B229" s="84">
        <f>_xlfn.STDEV.P(D178:D187)</f>
        <v>0</v>
      </c>
      <c r="C229" s="84">
        <f t="shared" ref="C229:E229" si="40">_xlfn.STDEV.P(E178:E187)</f>
        <v>0.40171113999987523</v>
      </c>
      <c r="D229" s="84">
        <f t="shared" si="40"/>
        <v>1.5326027665380222</v>
      </c>
      <c r="E229" s="84">
        <f t="shared" si="40"/>
        <v>3.2902861212970365</v>
      </c>
    </row>
    <row r="230" spans="1:5" x14ac:dyDescent="0.2">
      <c r="A230" s="84">
        <v>16</v>
      </c>
      <c r="B230" s="84">
        <f>_xlfn.STDEV.P(D188:D197)</f>
        <v>0</v>
      </c>
      <c r="C230" s="84">
        <f t="shared" ref="C230:E230" si="41">_xlfn.STDEV.P(E188:E197)</f>
        <v>0.20475634300309234</v>
      </c>
      <c r="D230" s="84">
        <f t="shared" si="41"/>
        <v>1.1329056845121748</v>
      </c>
      <c r="E230" s="84">
        <f t="shared" si="41"/>
        <v>2.5512027457652207</v>
      </c>
    </row>
    <row r="231" spans="1:5" x14ac:dyDescent="0.2">
      <c r="A231" s="84">
        <v>32</v>
      </c>
      <c r="B231" s="84">
        <f>_xlfn.STDEV.P(D198:D207)</f>
        <v>0</v>
      </c>
      <c r="C231" s="84">
        <f t="shared" ref="C231:E231" si="42">_xlfn.STDEV.P(E198:E207)</f>
        <v>0.46326796781128382</v>
      </c>
      <c r="D231" s="84">
        <f t="shared" si="42"/>
        <v>2.125618724042496</v>
      </c>
      <c r="E231" s="84">
        <f t="shared" si="42"/>
        <v>4.027740726511567</v>
      </c>
    </row>
    <row r="232" spans="1:5" x14ac:dyDescent="0.2">
      <c r="A232" s="84">
        <v>64</v>
      </c>
      <c r="B232" s="84">
        <f>_xlfn.STDEV.P(D208:D217)</f>
        <v>0</v>
      </c>
      <c r="C232" s="84">
        <f t="shared" ref="C232:E232" si="43">_xlfn.STDEV.P(E208:E217)</f>
        <v>0.31849127146595391</v>
      </c>
      <c r="D232" s="84">
        <f t="shared" si="43"/>
        <v>2.3006840917431606</v>
      </c>
      <c r="E232" s="84">
        <f t="shared" si="43"/>
        <v>3.3083412762289197</v>
      </c>
    </row>
    <row r="233" spans="1:5" x14ac:dyDescent="0.2">
      <c r="A233" s="84"/>
      <c r="B233" s="84"/>
      <c r="C233" s="84"/>
      <c r="D233" s="84"/>
      <c r="E233" s="84"/>
    </row>
    <row r="240" spans="1:5" x14ac:dyDescent="0.2">
      <c r="A240" s="84"/>
      <c r="B240" s="84"/>
      <c r="C240" s="84"/>
      <c r="D240" s="84"/>
      <c r="E240" s="84"/>
    </row>
    <row r="241" spans="1:5" x14ac:dyDescent="0.2">
      <c r="A241" s="84"/>
      <c r="B241" s="84"/>
      <c r="C241" s="84"/>
      <c r="D241" s="84"/>
      <c r="E241" s="84"/>
    </row>
    <row r="242" spans="1:5" x14ac:dyDescent="0.2">
      <c r="A242" s="84"/>
      <c r="B242" s="84"/>
      <c r="C242" s="84"/>
      <c r="D242" s="84"/>
      <c r="E242" s="84"/>
    </row>
    <row r="243" spans="1:5" x14ac:dyDescent="0.2">
      <c r="A243" s="84"/>
      <c r="B243" s="84"/>
      <c r="C243" s="84"/>
      <c r="D243" s="84"/>
      <c r="E243" s="84"/>
    </row>
    <row r="244" spans="1:5" x14ac:dyDescent="0.2">
      <c r="A244" s="84"/>
      <c r="B244" s="84"/>
      <c r="C244" s="84"/>
      <c r="D244" s="84"/>
      <c r="E244" s="84"/>
    </row>
    <row r="245" spans="1:5" x14ac:dyDescent="0.2">
      <c r="A245" s="84"/>
      <c r="B245" s="84"/>
      <c r="C245" s="84"/>
      <c r="D245" s="84"/>
      <c r="E245" s="84"/>
    </row>
    <row r="246" spans="1:5" x14ac:dyDescent="0.2">
      <c r="A246" s="84"/>
      <c r="B246" s="84"/>
      <c r="C246" s="84"/>
      <c r="D246" s="84"/>
      <c r="E246" s="84"/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C148-31A5-46D7-AB96-2125A07CAFA9}">
  <dimension ref="A2:BL232"/>
  <sheetViews>
    <sheetView topLeftCell="A178" zoomScale="55" zoomScaleNormal="55" workbookViewId="0">
      <selection activeCell="AA198" sqref="AA198"/>
    </sheetView>
  </sheetViews>
  <sheetFormatPr baseColWidth="10" defaultRowHeight="12.75" x14ac:dyDescent="0.2"/>
  <sheetData>
    <row r="2" spans="2:64" x14ac:dyDescent="0.2">
      <c r="B2" t="s">
        <v>74</v>
      </c>
    </row>
    <row r="4" spans="2:64" x14ac:dyDescent="0.2">
      <c r="B4" t="s">
        <v>75</v>
      </c>
    </row>
    <row r="5" spans="2:64" x14ac:dyDescent="0.2">
      <c r="C5" t="s">
        <v>52</v>
      </c>
    </row>
    <row r="6" spans="2:64" x14ac:dyDescent="0.2">
      <c r="C6" t="s">
        <v>58</v>
      </c>
    </row>
    <row r="7" spans="2:64" x14ac:dyDescent="0.2">
      <c r="C7" t="s">
        <v>53</v>
      </c>
    </row>
    <row r="8" spans="2:64" x14ac:dyDescent="0.2">
      <c r="B8" t="s">
        <v>59</v>
      </c>
    </row>
    <row r="9" spans="2:64" x14ac:dyDescent="0.2">
      <c r="B9" t="s">
        <v>60</v>
      </c>
    </row>
    <row r="10" spans="2:64" x14ac:dyDescent="0.2">
      <c r="B10" t="s">
        <v>61</v>
      </c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</row>
    <row r="11" spans="2:64" x14ac:dyDescent="0.2"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</row>
    <row r="12" spans="2:64" x14ac:dyDescent="0.2">
      <c r="B12" s="51" t="s">
        <v>116</v>
      </c>
      <c r="C12" s="5" t="s">
        <v>96</v>
      </c>
      <c r="D12" s="6">
        <v>1</v>
      </c>
      <c r="E12" s="6">
        <v>2</v>
      </c>
      <c r="F12" s="6">
        <v>3</v>
      </c>
      <c r="G12" s="6">
        <v>4</v>
      </c>
      <c r="H12" s="6">
        <v>5</v>
      </c>
      <c r="I12" s="6">
        <v>6</v>
      </c>
      <c r="J12" s="6">
        <v>7</v>
      </c>
      <c r="K12" s="6">
        <v>8</v>
      </c>
      <c r="L12" s="6">
        <v>9</v>
      </c>
      <c r="M12" s="6">
        <v>10</v>
      </c>
      <c r="N12" s="6">
        <v>11</v>
      </c>
      <c r="O12" s="6">
        <v>12</v>
      </c>
      <c r="R12" s="51" t="s">
        <v>117</v>
      </c>
      <c r="S12" s="54" t="s">
        <v>96</v>
      </c>
      <c r="T12" s="55">
        <v>1</v>
      </c>
      <c r="U12" s="55">
        <v>2</v>
      </c>
      <c r="V12" s="55">
        <v>3</v>
      </c>
      <c r="W12" s="55">
        <v>4</v>
      </c>
      <c r="X12" s="55">
        <v>5</v>
      </c>
      <c r="Y12" s="55">
        <v>6</v>
      </c>
      <c r="Z12" s="55">
        <v>7</v>
      </c>
      <c r="AA12" s="55">
        <v>8</v>
      </c>
      <c r="AB12" s="55">
        <v>9</v>
      </c>
      <c r="AC12" s="55">
        <v>10</v>
      </c>
      <c r="AD12" s="55">
        <v>11</v>
      </c>
      <c r="AE12" s="55">
        <v>12</v>
      </c>
      <c r="AF12" s="51"/>
      <c r="AH12" s="84" t="s">
        <v>119</v>
      </c>
      <c r="AI12" s="70" t="s">
        <v>122</v>
      </c>
      <c r="AJ12" s="71">
        <v>1</v>
      </c>
      <c r="AK12" s="71">
        <v>2</v>
      </c>
      <c r="AL12" s="71">
        <v>3</v>
      </c>
      <c r="AM12" s="71">
        <v>4</v>
      </c>
      <c r="AN12" s="71">
        <v>5</v>
      </c>
      <c r="AO12" s="71">
        <v>6</v>
      </c>
      <c r="AP12" s="71">
        <v>7</v>
      </c>
      <c r="AQ12" s="71">
        <v>8</v>
      </c>
      <c r="AR12" s="71">
        <v>9</v>
      </c>
      <c r="AS12" s="71">
        <v>10</v>
      </c>
      <c r="AT12" s="71">
        <v>11</v>
      </c>
      <c r="AU12" s="71">
        <v>12</v>
      </c>
      <c r="AV12" s="84"/>
      <c r="AX12" s="84" t="s">
        <v>196</v>
      </c>
      <c r="AY12" s="70" t="s">
        <v>199</v>
      </c>
      <c r="AZ12" s="71">
        <v>1</v>
      </c>
      <c r="BA12" s="71">
        <v>2</v>
      </c>
      <c r="BB12" s="71">
        <v>3</v>
      </c>
      <c r="BC12" s="71">
        <v>4</v>
      </c>
      <c r="BD12" s="71">
        <v>5</v>
      </c>
      <c r="BE12" s="71">
        <v>6</v>
      </c>
      <c r="BF12" s="71">
        <v>7</v>
      </c>
      <c r="BG12" s="71">
        <v>8</v>
      </c>
      <c r="BH12" s="71">
        <v>9</v>
      </c>
      <c r="BI12" s="71">
        <v>10</v>
      </c>
      <c r="BJ12" s="71">
        <v>11</v>
      </c>
      <c r="BK12" s="71">
        <v>12</v>
      </c>
      <c r="BL12" s="84"/>
    </row>
    <row r="13" spans="2:64" x14ac:dyDescent="0.2">
      <c r="C13" s="6" t="s">
        <v>29</v>
      </c>
      <c r="D13" s="7"/>
      <c r="E13" s="7"/>
      <c r="F13" s="7"/>
      <c r="G13" s="7"/>
      <c r="H13" s="14"/>
      <c r="I13" s="14"/>
      <c r="J13" s="14"/>
      <c r="K13" s="7"/>
      <c r="L13" s="7"/>
      <c r="M13" s="7"/>
      <c r="N13" s="7"/>
      <c r="O13" s="7"/>
      <c r="R13" s="51"/>
      <c r="S13" s="55" t="s">
        <v>29</v>
      </c>
      <c r="T13" s="58"/>
      <c r="U13" s="58"/>
      <c r="V13" s="58"/>
      <c r="W13" s="58"/>
      <c r="X13" s="14"/>
      <c r="Y13" s="14"/>
      <c r="Z13" s="14"/>
      <c r="AA13" s="58"/>
      <c r="AB13" s="58"/>
      <c r="AC13" s="58"/>
      <c r="AD13" s="58"/>
      <c r="AE13" s="58"/>
      <c r="AF13" s="51"/>
      <c r="AH13" s="84"/>
      <c r="AI13" s="71" t="s">
        <v>29</v>
      </c>
      <c r="AJ13" s="74"/>
      <c r="AK13" s="74"/>
      <c r="AL13" s="74"/>
      <c r="AM13" s="74"/>
      <c r="AN13" s="14"/>
      <c r="AO13" s="14"/>
      <c r="AP13" s="14"/>
      <c r="AQ13" s="74"/>
      <c r="AR13" s="74"/>
      <c r="AS13" s="74"/>
      <c r="AT13" s="74"/>
      <c r="AU13" s="74"/>
      <c r="AV13" s="84"/>
      <c r="AX13" s="84"/>
      <c r="AY13" s="71" t="s">
        <v>29</v>
      </c>
      <c r="AZ13" s="74"/>
      <c r="BA13" s="74"/>
      <c r="BB13" s="74"/>
      <c r="BC13" s="74"/>
      <c r="BD13" s="14"/>
      <c r="BE13" s="14"/>
      <c r="BF13" s="14"/>
      <c r="BG13" s="74"/>
      <c r="BH13" s="74"/>
      <c r="BI13" s="74"/>
      <c r="BJ13" s="74"/>
      <c r="BK13" s="74"/>
      <c r="BL13" s="84"/>
    </row>
    <row r="14" spans="2:64" x14ac:dyDescent="0.2">
      <c r="C14" s="6" t="s">
        <v>33</v>
      </c>
      <c r="D14" s="7"/>
      <c r="E14" s="7" t="s">
        <v>77</v>
      </c>
      <c r="F14" s="7" t="s">
        <v>77</v>
      </c>
      <c r="G14" s="7" t="s">
        <v>77</v>
      </c>
      <c r="H14" s="7" t="s">
        <v>77</v>
      </c>
      <c r="I14" s="7" t="s">
        <v>77</v>
      </c>
      <c r="J14" s="14" t="s">
        <v>64</v>
      </c>
      <c r="K14" s="14" t="s">
        <v>64</v>
      </c>
      <c r="L14" s="14" t="s">
        <v>64</v>
      </c>
      <c r="M14" s="14" t="s">
        <v>64</v>
      </c>
      <c r="N14" s="14" t="s">
        <v>64</v>
      </c>
      <c r="O14" s="7"/>
      <c r="R14" s="51"/>
      <c r="S14" s="55" t="s">
        <v>33</v>
      </c>
      <c r="T14" s="58"/>
      <c r="U14" s="58" t="s">
        <v>77</v>
      </c>
      <c r="V14" s="58" t="s">
        <v>77</v>
      </c>
      <c r="W14" s="58" t="s">
        <v>77</v>
      </c>
      <c r="X14" s="58" t="s">
        <v>77</v>
      </c>
      <c r="Y14" s="58" t="s">
        <v>77</v>
      </c>
      <c r="Z14" s="14" t="s">
        <v>64</v>
      </c>
      <c r="AA14" s="14" t="s">
        <v>64</v>
      </c>
      <c r="AB14" s="14" t="s">
        <v>64</v>
      </c>
      <c r="AC14" s="14" t="s">
        <v>64</v>
      </c>
      <c r="AD14" s="14" t="s">
        <v>64</v>
      </c>
      <c r="AE14" s="58"/>
      <c r="AF14" s="51"/>
      <c r="AH14" s="84"/>
      <c r="AI14" s="71" t="s">
        <v>33</v>
      </c>
      <c r="AJ14" s="74"/>
      <c r="AK14" s="74" t="s">
        <v>77</v>
      </c>
      <c r="AL14" s="74" t="s">
        <v>77</v>
      </c>
      <c r="AM14" s="74" t="s">
        <v>77</v>
      </c>
      <c r="AN14" s="74" t="s">
        <v>77</v>
      </c>
      <c r="AO14" s="74" t="s">
        <v>77</v>
      </c>
      <c r="AP14" s="14" t="s">
        <v>64</v>
      </c>
      <c r="AQ14" s="14" t="s">
        <v>64</v>
      </c>
      <c r="AR14" s="14" t="s">
        <v>64</v>
      </c>
      <c r="AS14" s="14" t="s">
        <v>64</v>
      </c>
      <c r="AT14" s="14" t="s">
        <v>64</v>
      </c>
      <c r="AU14" s="74"/>
      <c r="AV14" s="84"/>
      <c r="AX14" s="84"/>
      <c r="AY14" s="71" t="s">
        <v>33</v>
      </c>
      <c r="AZ14" s="74"/>
      <c r="BA14" s="74" t="s">
        <v>77</v>
      </c>
      <c r="BB14" s="74" t="s">
        <v>77</v>
      </c>
      <c r="BC14" s="74" t="s">
        <v>77</v>
      </c>
      <c r="BD14" s="74" t="s">
        <v>77</v>
      </c>
      <c r="BE14" s="74" t="s">
        <v>77</v>
      </c>
      <c r="BF14" s="14" t="s">
        <v>64</v>
      </c>
      <c r="BG14" s="14" t="s">
        <v>64</v>
      </c>
      <c r="BH14" s="14" t="s">
        <v>64</v>
      </c>
      <c r="BI14" s="14" t="s">
        <v>64</v>
      </c>
      <c r="BJ14" s="14" t="s">
        <v>64</v>
      </c>
      <c r="BK14" s="74"/>
      <c r="BL14" s="84"/>
    </row>
    <row r="15" spans="2:64" x14ac:dyDescent="0.2">
      <c r="C15" s="6" t="s">
        <v>36</v>
      </c>
      <c r="D15" s="7"/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/>
      <c r="R15" s="51"/>
      <c r="S15" s="55" t="s">
        <v>36</v>
      </c>
      <c r="T15" s="58"/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0</v>
      </c>
      <c r="AB15" s="58">
        <v>0</v>
      </c>
      <c r="AC15" s="58">
        <v>0</v>
      </c>
      <c r="AD15" s="58">
        <v>0</v>
      </c>
      <c r="AE15" s="58"/>
      <c r="AF15" s="51"/>
      <c r="AH15" s="84"/>
      <c r="AI15" s="71" t="s">
        <v>36</v>
      </c>
      <c r="AJ15" s="74"/>
      <c r="AK15" s="74">
        <v>0</v>
      </c>
      <c r="AL15" s="74">
        <v>0</v>
      </c>
      <c r="AM15" s="74">
        <v>0</v>
      </c>
      <c r="AN15" s="74">
        <v>0</v>
      </c>
      <c r="AO15" s="74">
        <v>0</v>
      </c>
      <c r="AP15" s="74">
        <v>0</v>
      </c>
      <c r="AQ15" s="74">
        <v>0</v>
      </c>
      <c r="AR15" s="74">
        <v>0</v>
      </c>
      <c r="AS15" s="74">
        <v>0</v>
      </c>
      <c r="AT15" s="74">
        <v>0</v>
      </c>
      <c r="AU15" s="74"/>
      <c r="AV15" s="84"/>
      <c r="AX15" s="84"/>
      <c r="AY15" s="71" t="s">
        <v>36</v>
      </c>
      <c r="AZ15" s="74"/>
      <c r="BA15" s="74">
        <v>0</v>
      </c>
      <c r="BB15" s="74">
        <v>0</v>
      </c>
      <c r="BC15" s="74">
        <v>0</v>
      </c>
      <c r="BD15" s="74">
        <v>0</v>
      </c>
      <c r="BE15" s="74">
        <v>0</v>
      </c>
      <c r="BF15" s="74">
        <v>0</v>
      </c>
      <c r="BG15" s="74">
        <v>0</v>
      </c>
      <c r="BH15" s="74">
        <v>0</v>
      </c>
      <c r="BI15" s="74">
        <v>0</v>
      </c>
      <c r="BJ15" s="74">
        <v>0</v>
      </c>
      <c r="BK15" s="74"/>
      <c r="BL15" s="84"/>
    </row>
    <row r="16" spans="2:64" x14ac:dyDescent="0.2">
      <c r="C16" s="6" t="s">
        <v>39</v>
      </c>
      <c r="D16" s="7"/>
      <c r="E16" s="7">
        <v>8</v>
      </c>
      <c r="F16" s="7">
        <v>8</v>
      </c>
      <c r="G16" s="7">
        <v>8</v>
      </c>
      <c r="H16" s="7">
        <v>8</v>
      </c>
      <c r="I16" s="7">
        <v>8</v>
      </c>
      <c r="J16" s="7">
        <v>8</v>
      </c>
      <c r="K16" s="7">
        <v>8</v>
      </c>
      <c r="L16" s="7">
        <v>8</v>
      </c>
      <c r="M16" s="7">
        <v>8</v>
      </c>
      <c r="N16" s="7">
        <v>8</v>
      </c>
      <c r="O16" s="7"/>
      <c r="R16" s="51"/>
      <c r="S16" s="55" t="s">
        <v>39</v>
      </c>
      <c r="T16" s="58"/>
      <c r="U16" s="58">
        <v>8</v>
      </c>
      <c r="V16" s="58">
        <v>8</v>
      </c>
      <c r="W16" s="58">
        <v>8</v>
      </c>
      <c r="X16" s="58">
        <v>8</v>
      </c>
      <c r="Y16" s="58">
        <v>8</v>
      </c>
      <c r="Z16" s="58">
        <v>8</v>
      </c>
      <c r="AA16" s="58">
        <v>8</v>
      </c>
      <c r="AB16" s="58">
        <v>8</v>
      </c>
      <c r="AC16" s="58">
        <v>8</v>
      </c>
      <c r="AD16" s="58">
        <v>8</v>
      </c>
      <c r="AE16" s="58"/>
      <c r="AF16" s="51"/>
      <c r="AH16" s="84"/>
      <c r="AI16" s="71" t="s">
        <v>39</v>
      </c>
      <c r="AJ16" s="74"/>
      <c r="AK16" s="74">
        <v>8</v>
      </c>
      <c r="AL16" s="74">
        <v>8</v>
      </c>
      <c r="AM16" s="74">
        <v>8</v>
      </c>
      <c r="AN16" s="74">
        <v>8</v>
      </c>
      <c r="AO16" s="74">
        <v>8</v>
      </c>
      <c r="AP16" s="74">
        <v>8</v>
      </c>
      <c r="AQ16" s="74">
        <v>8</v>
      </c>
      <c r="AR16" s="74">
        <v>8</v>
      </c>
      <c r="AS16" s="74">
        <v>8</v>
      </c>
      <c r="AT16" s="74">
        <v>8</v>
      </c>
      <c r="AU16" s="74"/>
      <c r="AV16" s="84"/>
      <c r="AX16" s="84"/>
      <c r="AY16" s="71" t="s">
        <v>39</v>
      </c>
      <c r="AZ16" s="74"/>
      <c r="BA16" s="74">
        <v>8</v>
      </c>
      <c r="BB16" s="74">
        <v>8</v>
      </c>
      <c r="BC16" s="74">
        <v>8</v>
      </c>
      <c r="BD16" s="74">
        <v>8</v>
      </c>
      <c r="BE16" s="74">
        <v>8</v>
      </c>
      <c r="BF16" s="74">
        <v>8</v>
      </c>
      <c r="BG16" s="74">
        <v>8</v>
      </c>
      <c r="BH16" s="74">
        <v>8</v>
      </c>
      <c r="BI16" s="74">
        <v>8</v>
      </c>
      <c r="BJ16" s="74">
        <v>8</v>
      </c>
      <c r="BK16" s="74"/>
      <c r="BL16" s="84"/>
    </row>
    <row r="17" spans="2:64" x14ac:dyDescent="0.2">
      <c r="C17" s="6" t="s">
        <v>42</v>
      </c>
      <c r="D17" s="7"/>
      <c r="E17" s="7">
        <v>16</v>
      </c>
      <c r="F17" s="7">
        <v>16</v>
      </c>
      <c r="G17" s="7">
        <v>16</v>
      </c>
      <c r="H17" s="7">
        <v>16</v>
      </c>
      <c r="I17" s="7">
        <v>16</v>
      </c>
      <c r="J17" s="7">
        <v>16</v>
      </c>
      <c r="K17" s="7">
        <v>16</v>
      </c>
      <c r="L17" s="7">
        <v>16</v>
      </c>
      <c r="M17" s="7">
        <v>16</v>
      </c>
      <c r="N17" s="7">
        <v>16</v>
      </c>
      <c r="O17" s="7"/>
      <c r="R17" s="51"/>
      <c r="S17" s="55" t="s">
        <v>42</v>
      </c>
      <c r="T17" s="58"/>
      <c r="U17" s="58">
        <v>16</v>
      </c>
      <c r="V17" s="58">
        <v>16</v>
      </c>
      <c r="W17" s="58">
        <v>16</v>
      </c>
      <c r="X17" s="58">
        <v>16</v>
      </c>
      <c r="Y17" s="58">
        <v>16</v>
      </c>
      <c r="Z17" s="58">
        <v>16</v>
      </c>
      <c r="AA17" s="58">
        <v>16</v>
      </c>
      <c r="AB17" s="58">
        <v>16</v>
      </c>
      <c r="AC17" s="58">
        <v>16</v>
      </c>
      <c r="AD17" s="58">
        <v>16</v>
      </c>
      <c r="AE17" s="58"/>
      <c r="AF17" s="51"/>
      <c r="AH17" s="84"/>
      <c r="AI17" s="71" t="s">
        <v>42</v>
      </c>
      <c r="AJ17" s="74"/>
      <c r="AK17" s="74">
        <v>16</v>
      </c>
      <c r="AL17" s="74">
        <v>16</v>
      </c>
      <c r="AM17" s="74">
        <v>16</v>
      </c>
      <c r="AN17" s="74">
        <v>16</v>
      </c>
      <c r="AO17" s="74">
        <v>16</v>
      </c>
      <c r="AP17" s="74">
        <v>16</v>
      </c>
      <c r="AQ17" s="74">
        <v>16</v>
      </c>
      <c r="AR17" s="74">
        <v>16</v>
      </c>
      <c r="AS17" s="74">
        <v>16</v>
      </c>
      <c r="AT17" s="74">
        <v>16</v>
      </c>
      <c r="AU17" s="74"/>
      <c r="AV17" s="84"/>
      <c r="AX17" s="84"/>
      <c r="AY17" s="71" t="s">
        <v>42</v>
      </c>
      <c r="AZ17" s="74"/>
      <c r="BA17" s="74">
        <v>16</v>
      </c>
      <c r="BB17" s="74">
        <v>16</v>
      </c>
      <c r="BC17" s="74">
        <v>16</v>
      </c>
      <c r="BD17" s="74">
        <v>16</v>
      </c>
      <c r="BE17" s="74">
        <v>16</v>
      </c>
      <c r="BF17" s="74">
        <v>16</v>
      </c>
      <c r="BG17" s="74">
        <v>16</v>
      </c>
      <c r="BH17" s="74">
        <v>16</v>
      </c>
      <c r="BI17" s="74">
        <v>16</v>
      </c>
      <c r="BJ17" s="74">
        <v>16</v>
      </c>
      <c r="BK17" s="74"/>
      <c r="BL17" s="84"/>
    </row>
    <row r="18" spans="2:64" x14ac:dyDescent="0.2">
      <c r="C18" s="6" t="s">
        <v>43</v>
      </c>
      <c r="D18" s="7"/>
      <c r="E18" s="7">
        <v>32</v>
      </c>
      <c r="F18" s="7">
        <v>32</v>
      </c>
      <c r="G18" s="7">
        <v>32</v>
      </c>
      <c r="H18" s="7">
        <v>32</v>
      </c>
      <c r="I18" s="7">
        <v>32</v>
      </c>
      <c r="J18" s="7">
        <v>32</v>
      </c>
      <c r="K18" s="7">
        <v>32</v>
      </c>
      <c r="L18" s="7">
        <v>32</v>
      </c>
      <c r="M18" s="7">
        <v>32</v>
      </c>
      <c r="N18" s="7">
        <v>32</v>
      </c>
      <c r="O18" s="7"/>
      <c r="R18" s="51"/>
      <c r="S18" s="55" t="s">
        <v>43</v>
      </c>
      <c r="T18" s="58"/>
      <c r="U18" s="58">
        <v>32</v>
      </c>
      <c r="V18" s="58">
        <v>32</v>
      </c>
      <c r="W18" s="58">
        <v>32</v>
      </c>
      <c r="X18" s="58">
        <v>32</v>
      </c>
      <c r="Y18" s="58">
        <v>32</v>
      </c>
      <c r="Z18" s="58">
        <v>32</v>
      </c>
      <c r="AA18" s="58">
        <v>32</v>
      </c>
      <c r="AB18" s="58">
        <v>32</v>
      </c>
      <c r="AC18" s="58">
        <v>32</v>
      </c>
      <c r="AD18" s="58">
        <v>32</v>
      </c>
      <c r="AE18" s="58"/>
      <c r="AF18" s="51"/>
      <c r="AH18" s="84"/>
      <c r="AI18" s="71" t="s">
        <v>43</v>
      </c>
      <c r="AJ18" s="74"/>
      <c r="AK18" s="74">
        <v>32</v>
      </c>
      <c r="AL18" s="74">
        <v>32</v>
      </c>
      <c r="AM18" s="74">
        <v>32</v>
      </c>
      <c r="AN18" s="74">
        <v>32</v>
      </c>
      <c r="AO18" s="74">
        <v>32</v>
      </c>
      <c r="AP18" s="74">
        <v>32</v>
      </c>
      <c r="AQ18" s="74">
        <v>32</v>
      </c>
      <c r="AR18" s="74">
        <v>32</v>
      </c>
      <c r="AS18" s="74">
        <v>32</v>
      </c>
      <c r="AT18" s="74">
        <v>32</v>
      </c>
      <c r="AU18" s="74"/>
      <c r="AV18" s="84"/>
      <c r="AX18" s="84"/>
      <c r="AY18" s="71" t="s">
        <v>43</v>
      </c>
      <c r="AZ18" s="74"/>
      <c r="BA18" s="74">
        <v>32</v>
      </c>
      <c r="BB18" s="74">
        <v>32</v>
      </c>
      <c r="BC18" s="74">
        <v>32</v>
      </c>
      <c r="BD18" s="74">
        <v>32</v>
      </c>
      <c r="BE18" s="74">
        <v>32</v>
      </c>
      <c r="BF18" s="74">
        <v>32</v>
      </c>
      <c r="BG18" s="74">
        <v>32</v>
      </c>
      <c r="BH18" s="74">
        <v>32</v>
      </c>
      <c r="BI18" s="74">
        <v>32</v>
      </c>
      <c r="BJ18" s="74">
        <v>32</v>
      </c>
      <c r="BK18" s="74"/>
      <c r="BL18" s="84"/>
    </row>
    <row r="19" spans="2:64" x14ac:dyDescent="0.2">
      <c r="C19" s="6" t="s">
        <v>44</v>
      </c>
      <c r="D19" s="7"/>
      <c r="E19" s="7">
        <v>64</v>
      </c>
      <c r="F19" s="7">
        <v>64</v>
      </c>
      <c r="G19" s="7">
        <v>64</v>
      </c>
      <c r="H19" s="7">
        <v>64</v>
      </c>
      <c r="I19" s="7">
        <v>64</v>
      </c>
      <c r="J19" s="7">
        <v>64</v>
      </c>
      <c r="K19" s="7">
        <v>64</v>
      </c>
      <c r="L19" s="7">
        <v>64</v>
      </c>
      <c r="M19" s="7">
        <v>64</v>
      </c>
      <c r="N19" s="7">
        <v>64</v>
      </c>
      <c r="O19" s="7"/>
      <c r="R19" s="51"/>
      <c r="S19" s="55" t="s">
        <v>44</v>
      </c>
      <c r="T19" s="58"/>
      <c r="U19" s="58">
        <v>64</v>
      </c>
      <c r="V19" s="58">
        <v>64</v>
      </c>
      <c r="W19" s="58">
        <v>64</v>
      </c>
      <c r="X19" s="58">
        <v>64</v>
      </c>
      <c r="Y19" s="58">
        <v>64</v>
      </c>
      <c r="Z19" s="58">
        <v>64</v>
      </c>
      <c r="AA19" s="58">
        <v>64</v>
      </c>
      <c r="AB19" s="58">
        <v>64</v>
      </c>
      <c r="AC19" s="58">
        <v>64</v>
      </c>
      <c r="AD19" s="58">
        <v>64</v>
      </c>
      <c r="AE19" s="58"/>
      <c r="AF19" s="51"/>
      <c r="AH19" s="84"/>
      <c r="AI19" s="71" t="s">
        <v>44</v>
      </c>
      <c r="AJ19" s="74"/>
      <c r="AK19" s="74">
        <v>64</v>
      </c>
      <c r="AL19" s="74">
        <v>64</v>
      </c>
      <c r="AM19" s="74">
        <v>64</v>
      </c>
      <c r="AN19" s="74">
        <v>64</v>
      </c>
      <c r="AO19" s="74">
        <v>64</v>
      </c>
      <c r="AP19" s="74">
        <v>64</v>
      </c>
      <c r="AQ19" s="74">
        <v>64</v>
      </c>
      <c r="AR19" s="74">
        <v>64</v>
      </c>
      <c r="AS19" s="74">
        <v>64</v>
      </c>
      <c r="AT19" s="74">
        <v>64</v>
      </c>
      <c r="AU19" s="74"/>
      <c r="AV19" s="84"/>
      <c r="AX19" s="84"/>
      <c r="AY19" s="71" t="s">
        <v>44</v>
      </c>
      <c r="AZ19" s="74"/>
      <c r="BA19" s="74">
        <v>64</v>
      </c>
      <c r="BB19" s="74">
        <v>64</v>
      </c>
      <c r="BC19" s="74">
        <v>64</v>
      </c>
      <c r="BD19" s="74">
        <v>64</v>
      </c>
      <c r="BE19" s="74">
        <v>64</v>
      </c>
      <c r="BF19" s="74">
        <v>64</v>
      </c>
      <c r="BG19" s="74">
        <v>64</v>
      </c>
      <c r="BH19" s="74">
        <v>64</v>
      </c>
      <c r="BI19" s="74">
        <v>64</v>
      </c>
      <c r="BJ19" s="74">
        <v>64</v>
      </c>
      <c r="BK19" s="74"/>
      <c r="BL19" s="84"/>
    </row>
    <row r="20" spans="2:64" x14ac:dyDescent="0.2">
      <c r="C20" s="6" t="s">
        <v>45</v>
      </c>
      <c r="D20" s="7"/>
      <c r="E20" s="7"/>
      <c r="F20" s="7"/>
      <c r="G20" s="7"/>
      <c r="H20" s="14"/>
      <c r="I20" s="14"/>
      <c r="J20" s="14"/>
      <c r="K20" s="7"/>
      <c r="L20" s="7"/>
      <c r="M20" s="7"/>
      <c r="N20" s="7"/>
      <c r="O20" s="7"/>
      <c r="R20" s="51"/>
      <c r="S20" s="55" t="s">
        <v>45</v>
      </c>
      <c r="T20" s="58"/>
      <c r="U20" s="58"/>
      <c r="V20" s="58"/>
      <c r="W20" s="58"/>
      <c r="X20" s="14"/>
      <c r="Y20" s="14"/>
      <c r="Z20" s="14"/>
      <c r="AA20" s="58"/>
      <c r="AB20" s="58"/>
      <c r="AC20" s="58"/>
      <c r="AD20" s="58"/>
      <c r="AE20" s="58"/>
      <c r="AF20" s="51"/>
      <c r="AH20" s="84"/>
      <c r="AI20" s="71" t="s">
        <v>45</v>
      </c>
      <c r="AJ20" s="74"/>
      <c r="AK20" s="74"/>
      <c r="AL20" s="74"/>
      <c r="AM20" s="74"/>
      <c r="AN20" s="14"/>
      <c r="AO20" s="14"/>
      <c r="AP20" s="14"/>
      <c r="AQ20" s="74"/>
      <c r="AR20" s="74"/>
      <c r="AS20" s="74"/>
      <c r="AT20" s="74"/>
      <c r="AU20" s="74"/>
      <c r="AV20" s="84"/>
      <c r="AX20" s="84"/>
      <c r="AY20" s="71" t="s">
        <v>45</v>
      </c>
      <c r="AZ20" s="74"/>
      <c r="BA20" s="74"/>
      <c r="BB20" s="74"/>
      <c r="BC20" s="74"/>
      <c r="BD20" s="14"/>
      <c r="BE20" s="14"/>
      <c r="BF20" s="14"/>
      <c r="BG20" s="74"/>
      <c r="BH20" s="74"/>
      <c r="BI20" s="74"/>
      <c r="BJ20" s="74"/>
      <c r="BK20" s="74"/>
      <c r="BL20" s="84"/>
    </row>
    <row r="21" spans="2:64" x14ac:dyDescent="0.2"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</row>
    <row r="22" spans="2:64" x14ac:dyDescent="0.2">
      <c r="B22" t="s">
        <v>0</v>
      </c>
      <c r="C22" t="s">
        <v>1</v>
      </c>
      <c r="R22" s="62" t="s">
        <v>0</v>
      </c>
      <c r="S22" s="62" t="s">
        <v>1</v>
      </c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H22" s="84" t="s">
        <v>0</v>
      </c>
      <c r="AI22" s="84" t="s">
        <v>1</v>
      </c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X22" s="84" t="s">
        <v>0</v>
      </c>
      <c r="AY22" s="84" t="s">
        <v>1</v>
      </c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</row>
    <row r="23" spans="2:64" x14ac:dyDescent="0.2"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</row>
    <row r="24" spans="2:64" x14ac:dyDescent="0.2">
      <c r="B24" t="s">
        <v>2</v>
      </c>
      <c r="C24" t="s">
        <v>97</v>
      </c>
      <c r="R24" s="62" t="s">
        <v>2</v>
      </c>
      <c r="S24" s="62" t="s">
        <v>118</v>
      </c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H24" s="84" t="s">
        <v>2</v>
      </c>
      <c r="AI24" s="84" t="s">
        <v>123</v>
      </c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X24" s="84" t="s">
        <v>2</v>
      </c>
      <c r="AY24" s="84" t="s">
        <v>195</v>
      </c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</row>
    <row r="25" spans="2:64" x14ac:dyDescent="0.2">
      <c r="B25" t="s">
        <v>3</v>
      </c>
      <c r="C25" t="s">
        <v>98</v>
      </c>
      <c r="R25" s="62" t="s">
        <v>3</v>
      </c>
      <c r="S25" s="62" t="s">
        <v>98</v>
      </c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H25" s="84" t="s">
        <v>3</v>
      </c>
      <c r="AI25" s="84" t="s">
        <v>98</v>
      </c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X25" s="84" t="s">
        <v>3</v>
      </c>
      <c r="AY25" s="84" t="s">
        <v>98</v>
      </c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</row>
    <row r="26" spans="2:64" x14ac:dyDescent="0.2">
      <c r="B26" t="s">
        <v>4</v>
      </c>
      <c r="C26" t="s">
        <v>111</v>
      </c>
      <c r="R26" s="62" t="s">
        <v>4</v>
      </c>
      <c r="S26" s="62" t="s">
        <v>111</v>
      </c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H26" s="84" t="s">
        <v>4</v>
      </c>
      <c r="AI26" s="84" t="s">
        <v>111</v>
      </c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X26" s="84" t="s">
        <v>4</v>
      </c>
      <c r="AY26" s="84" t="s">
        <v>111</v>
      </c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</row>
    <row r="27" spans="2:64" x14ac:dyDescent="0.2">
      <c r="B27" t="s">
        <v>6</v>
      </c>
      <c r="C27" s="1">
        <v>45679</v>
      </c>
      <c r="R27" s="62" t="s">
        <v>6</v>
      </c>
      <c r="S27" s="63">
        <v>45681</v>
      </c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H27" s="84" t="s">
        <v>6</v>
      </c>
      <c r="AI27" s="80">
        <v>45684</v>
      </c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X27" s="84" t="s">
        <v>6</v>
      </c>
      <c r="AY27" s="80">
        <v>45686</v>
      </c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</row>
    <row r="28" spans="2:64" x14ac:dyDescent="0.2">
      <c r="B28" t="s">
        <v>7</v>
      </c>
      <c r="C28" s="2">
        <v>0.5838078703703703</v>
      </c>
      <c r="R28" s="62" t="s">
        <v>7</v>
      </c>
      <c r="S28" s="64">
        <v>0.57854166666666662</v>
      </c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H28" s="84" t="s">
        <v>7</v>
      </c>
      <c r="AI28" s="81">
        <v>0.59157407407407414</v>
      </c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X28" s="84" t="s">
        <v>7</v>
      </c>
      <c r="AY28" s="81">
        <v>0.58978009259259256</v>
      </c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</row>
    <row r="29" spans="2:64" x14ac:dyDescent="0.2">
      <c r="B29" t="s">
        <v>8</v>
      </c>
      <c r="C29" t="s">
        <v>9</v>
      </c>
      <c r="R29" s="62" t="s">
        <v>8</v>
      </c>
      <c r="S29" s="62" t="s">
        <v>9</v>
      </c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H29" s="84" t="s">
        <v>8</v>
      </c>
      <c r="AI29" s="84" t="s">
        <v>9</v>
      </c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X29" s="84" t="s">
        <v>8</v>
      </c>
      <c r="AY29" s="84" t="s">
        <v>9</v>
      </c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</row>
    <row r="30" spans="2:64" x14ac:dyDescent="0.2">
      <c r="B30" t="s">
        <v>10</v>
      </c>
      <c r="C30" t="s">
        <v>11</v>
      </c>
      <c r="R30" s="62" t="s">
        <v>10</v>
      </c>
      <c r="S30" s="62" t="s">
        <v>11</v>
      </c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H30" s="84" t="s">
        <v>10</v>
      </c>
      <c r="AI30" s="84" t="s">
        <v>11</v>
      </c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X30" s="84" t="s">
        <v>10</v>
      </c>
      <c r="AY30" s="84" t="s">
        <v>11</v>
      </c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</row>
    <row r="31" spans="2:64" x14ac:dyDescent="0.2">
      <c r="B31" t="s">
        <v>12</v>
      </c>
      <c r="C31" t="s">
        <v>13</v>
      </c>
      <c r="R31" s="62" t="s">
        <v>12</v>
      </c>
      <c r="S31" s="62" t="s">
        <v>13</v>
      </c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H31" s="84" t="s">
        <v>12</v>
      </c>
      <c r="AI31" s="84" t="s">
        <v>13</v>
      </c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X31" s="84" t="s">
        <v>12</v>
      </c>
      <c r="AY31" s="84" t="s">
        <v>13</v>
      </c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</row>
    <row r="32" spans="2:64" x14ac:dyDescent="0.2"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</row>
    <row r="33" spans="2:64" ht="25.5" x14ac:dyDescent="0.2">
      <c r="B33" s="3" t="s">
        <v>14</v>
      </c>
      <c r="C33" s="4"/>
      <c r="R33" s="65" t="s">
        <v>14</v>
      </c>
      <c r="S33" s="66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H33" s="82" t="s">
        <v>14</v>
      </c>
      <c r="AI33" s="83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X33" s="82" t="s">
        <v>14</v>
      </c>
      <c r="AY33" s="83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</row>
    <row r="34" spans="2:64" x14ac:dyDescent="0.2">
      <c r="B34" t="s">
        <v>15</v>
      </c>
      <c r="C34" t="s">
        <v>16</v>
      </c>
      <c r="R34" s="62" t="s">
        <v>15</v>
      </c>
      <c r="S34" s="62" t="s">
        <v>16</v>
      </c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H34" s="84" t="s">
        <v>15</v>
      </c>
      <c r="AI34" s="84" t="s">
        <v>16</v>
      </c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X34" s="84" t="s">
        <v>15</v>
      </c>
      <c r="AY34" s="84" t="s">
        <v>16</v>
      </c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</row>
    <row r="35" spans="2:64" x14ac:dyDescent="0.2">
      <c r="B35" t="s">
        <v>17</v>
      </c>
      <c r="R35" s="62" t="s">
        <v>17</v>
      </c>
      <c r="S35" s="62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H35" s="84" t="s">
        <v>17</v>
      </c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X35" s="84" t="s">
        <v>17</v>
      </c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</row>
    <row r="36" spans="2:64" x14ac:dyDescent="0.2">
      <c r="B36" t="s">
        <v>67</v>
      </c>
      <c r="C36" t="s">
        <v>68</v>
      </c>
      <c r="R36" s="62" t="s">
        <v>67</v>
      </c>
      <c r="S36" s="62" t="s">
        <v>68</v>
      </c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H36" s="84" t="s">
        <v>67</v>
      </c>
      <c r="AI36" s="84" t="s">
        <v>68</v>
      </c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X36" s="84" t="s">
        <v>67</v>
      </c>
      <c r="AY36" s="84" t="s">
        <v>68</v>
      </c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</row>
    <row r="37" spans="2:64" x14ac:dyDescent="0.2">
      <c r="C37" t="s">
        <v>69</v>
      </c>
      <c r="R37" s="62"/>
      <c r="S37" s="62" t="s">
        <v>69</v>
      </c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H37" s="84"/>
      <c r="AI37" s="84" t="s">
        <v>69</v>
      </c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X37" s="84"/>
      <c r="AY37" s="84" t="s">
        <v>69</v>
      </c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</row>
    <row r="38" spans="2:64" x14ac:dyDescent="0.2">
      <c r="B38" t="s">
        <v>18</v>
      </c>
      <c r="C38" t="s">
        <v>19</v>
      </c>
      <c r="R38" s="62" t="s">
        <v>18</v>
      </c>
      <c r="S38" s="62" t="s">
        <v>19</v>
      </c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H38" s="84" t="s">
        <v>18</v>
      </c>
      <c r="AI38" s="84" t="s">
        <v>19</v>
      </c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X38" s="84" t="s">
        <v>18</v>
      </c>
      <c r="AY38" s="84" t="s">
        <v>19</v>
      </c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</row>
    <row r="39" spans="2:64" x14ac:dyDescent="0.2">
      <c r="C39" t="s">
        <v>20</v>
      </c>
      <c r="R39" s="62"/>
      <c r="S39" s="62" t="s">
        <v>20</v>
      </c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H39" s="84"/>
      <c r="AI39" s="84" t="s">
        <v>20</v>
      </c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X39" s="84"/>
      <c r="AY39" s="84" t="s">
        <v>20</v>
      </c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</row>
    <row r="40" spans="2:64" x14ac:dyDescent="0.2">
      <c r="C40" t="s">
        <v>21</v>
      </c>
      <c r="R40" s="62"/>
      <c r="S40" s="62" t="s">
        <v>21</v>
      </c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H40" s="84"/>
      <c r="AI40" s="84" t="s">
        <v>21</v>
      </c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X40" s="84"/>
      <c r="AY40" s="84" t="s">
        <v>21</v>
      </c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</row>
    <row r="41" spans="2:64" x14ac:dyDescent="0.2">
      <c r="C41" t="s">
        <v>22</v>
      </c>
      <c r="R41" s="62"/>
      <c r="S41" s="62" t="s">
        <v>22</v>
      </c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H41" s="84"/>
      <c r="AI41" s="84" t="s">
        <v>22</v>
      </c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X41" s="84"/>
      <c r="AY41" s="84" t="s">
        <v>22</v>
      </c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</row>
    <row r="42" spans="2:64" x14ac:dyDescent="0.2">
      <c r="C42" t="s">
        <v>23</v>
      </c>
      <c r="R42" s="62"/>
      <c r="S42" s="62" t="s">
        <v>23</v>
      </c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H42" s="84"/>
      <c r="AI42" s="84" t="s">
        <v>23</v>
      </c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X42" s="84"/>
      <c r="AY42" s="84" t="s">
        <v>23</v>
      </c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</row>
    <row r="43" spans="2:64" x14ac:dyDescent="0.2">
      <c r="C43" t="s">
        <v>24</v>
      </c>
      <c r="R43" s="62"/>
      <c r="S43" s="62" t="s">
        <v>24</v>
      </c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H43" s="84"/>
      <c r="AI43" s="84" t="s">
        <v>24</v>
      </c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X43" s="84"/>
      <c r="AY43" s="84" t="s">
        <v>24</v>
      </c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</row>
    <row r="44" spans="2:64" x14ac:dyDescent="0.2">
      <c r="C44" t="s">
        <v>25</v>
      </c>
      <c r="R44" s="62"/>
      <c r="S44" s="62" t="s">
        <v>25</v>
      </c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H44" s="84"/>
      <c r="AI44" s="84" t="s">
        <v>25</v>
      </c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X44" s="84"/>
      <c r="AY44" s="84" t="s">
        <v>25</v>
      </c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</row>
    <row r="45" spans="2:64" x14ac:dyDescent="0.2">
      <c r="C45" t="s">
        <v>26</v>
      </c>
      <c r="R45" s="62"/>
      <c r="S45" s="62" t="s">
        <v>26</v>
      </c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H45" s="84"/>
      <c r="AI45" s="84" t="s">
        <v>26</v>
      </c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X45" s="84"/>
      <c r="AY45" s="84" t="s">
        <v>26</v>
      </c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</row>
    <row r="46" spans="2:64" x14ac:dyDescent="0.2">
      <c r="C46" t="s">
        <v>27</v>
      </c>
      <c r="R46" s="62"/>
      <c r="S46" s="62" t="s">
        <v>27</v>
      </c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H46" s="84"/>
      <c r="AI46" s="84" t="s">
        <v>27</v>
      </c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X46" s="84"/>
      <c r="AY46" s="84" t="s">
        <v>27</v>
      </c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</row>
    <row r="47" spans="2:64" x14ac:dyDescent="0.2"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</row>
    <row r="48" spans="2:64" ht="25.5" x14ac:dyDescent="0.2">
      <c r="B48" s="3" t="s">
        <v>47</v>
      </c>
      <c r="C48" s="4"/>
      <c r="R48" s="52" t="s">
        <v>47</v>
      </c>
      <c r="S48" s="53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H48" s="82" t="s">
        <v>47</v>
      </c>
      <c r="AI48" s="83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X48" s="82" t="s">
        <v>47</v>
      </c>
      <c r="AY48" s="83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</row>
    <row r="49" spans="2:64" x14ac:dyDescent="0.2">
      <c r="B49" t="s">
        <v>48</v>
      </c>
      <c r="C49">
        <v>37</v>
      </c>
      <c r="R49" s="51" t="s">
        <v>48</v>
      </c>
      <c r="S49" s="51">
        <v>37</v>
      </c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H49" s="84" t="s">
        <v>48</v>
      </c>
      <c r="AI49" s="84">
        <v>37</v>
      </c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X49" s="84" t="s">
        <v>48</v>
      </c>
      <c r="AY49" s="84">
        <v>37</v>
      </c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</row>
    <row r="50" spans="2:64" x14ac:dyDescent="0.2"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</row>
    <row r="51" spans="2:64" x14ac:dyDescent="0.2">
      <c r="C51" s="5"/>
      <c r="D51" s="6">
        <v>1</v>
      </c>
      <c r="E51" s="6">
        <v>2</v>
      </c>
      <c r="F51" s="6">
        <v>3</v>
      </c>
      <c r="G51" s="6">
        <v>4</v>
      </c>
      <c r="H51" s="6">
        <v>5</v>
      </c>
      <c r="I51" s="6">
        <v>6</v>
      </c>
      <c r="J51" s="6">
        <v>7</v>
      </c>
      <c r="K51" s="6">
        <v>8</v>
      </c>
      <c r="L51" s="6">
        <v>9</v>
      </c>
      <c r="M51" s="6">
        <v>10</v>
      </c>
      <c r="N51" s="6">
        <v>11</v>
      </c>
      <c r="O51" s="6">
        <v>12</v>
      </c>
      <c r="R51" s="51"/>
      <c r="S51" s="54"/>
      <c r="T51" s="55">
        <v>1</v>
      </c>
      <c r="U51" s="55">
        <v>2</v>
      </c>
      <c r="V51" s="55">
        <v>3</v>
      </c>
      <c r="W51" s="55">
        <v>4</v>
      </c>
      <c r="X51" s="55">
        <v>5</v>
      </c>
      <c r="Y51" s="55">
        <v>6</v>
      </c>
      <c r="Z51" s="55">
        <v>7</v>
      </c>
      <c r="AA51" s="55">
        <v>8</v>
      </c>
      <c r="AB51" s="55">
        <v>9</v>
      </c>
      <c r="AC51" s="55">
        <v>10</v>
      </c>
      <c r="AD51" s="55">
        <v>11</v>
      </c>
      <c r="AE51" s="55">
        <v>12</v>
      </c>
      <c r="AF51" s="51"/>
      <c r="AH51" s="84"/>
      <c r="AI51" s="70"/>
      <c r="AJ51" s="71">
        <v>1</v>
      </c>
      <c r="AK51" s="71">
        <v>2</v>
      </c>
      <c r="AL51" s="71">
        <v>3</v>
      </c>
      <c r="AM51" s="71">
        <v>4</v>
      </c>
      <c r="AN51" s="71">
        <v>5</v>
      </c>
      <c r="AO51" s="71">
        <v>6</v>
      </c>
      <c r="AP51" s="71">
        <v>7</v>
      </c>
      <c r="AQ51" s="71">
        <v>8</v>
      </c>
      <c r="AR51" s="71">
        <v>9</v>
      </c>
      <c r="AS51" s="71">
        <v>10</v>
      </c>
      <c r="AT51" s="71">
        <v>11</v>
      </c>
      <c r="AU51" s="71">
        <v>12</v>
      </c>
      <c r="AV51" s="84"/>
      <c r="AX51" s="84"/>
      <c r="AY51" s="70"/>
      <c r="AZ51" s="71">
        <v>1</v>
      </c>
      <c r="BA51" s="71">
        <v>2</v>
      </c>
      <c r="BB51" s="71">
        <v>3</v>
      </c>
      <c r="BC51" s="71">
        <v>4</v>
      </c>
      <c r="BD51" s="71">
        <v>5</v>
      </c>
      <c r="BE51" s="71">
        <v>6</v>
      </c>
      <c r="BF51" s="71">
        <v>7</v>
      </c>
      <c r="BG51" s="71">
        <v>8</v>
      </c>
      <c r="BH51" s="71">
        <v>9</v>
      </c>
      <c r="BI51" s="71">
        <v>10</v>
      </c>
      <c r="BJ51" s="71">
        <v>11</v>
      </c>
      <c r="BK51" s="71">
        <v>12</v>
      </c>
      <c r="BL51" s="84"/>
    </row>
    <row r="52" spans="2:64" ht="18" x14ac:dyDescent="0.2">
      <c r="C52" s="6" t="s">
        <v>29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8" t="s">
        <v>47</v>
      </c>
      <c r="Q52" s="8"/>
      <c r="R52" s="51"/>
      <c r="S52" s="55" t="s">
        <v>29</v>
      </c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7" t="s">
        <v>47</v>
      </c>
      <c r="AH52" s="84"/>
      <c r="AI52" s="71" t="s">
        <v>29</v>
      </c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3" t="s">
        <v>47</v>
      </c>
      <c r="AX52" s="84"/>
      <c r="AY52" s="71" t="s">
        <v>29</v>
      </c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3" t="s">
        <v>47</v>
      </c>
    </row>
    <row r="53" spans="2:64" ht="18" x14ac:dyDescent="0.2">
      <c r="C53" s="6" t="s">
        <v>33</v>
      </c>
      <c r="D53" s="15"/>
      <c r="E53" s="13">
        <v>18772</v>
      </c>
      <c r="F53" s="13">
        <v>18753</v>
      </c>
      <c r="G53" s="13">
        <v>18639</v>
      </c>
      <c r="H53" s="13">
        <v>18556</v>
      </c>
      <c r="I53" s="13">
        <v>18452</v>
      </c>
      <c r="J53" s="12">
        <v>786370</v>
      </c>
      <c r="K53" s="12">
        <v>782412</v>
      </c>
      <c r="L53" s="12">
        <v>782146</v>
      </c>
      <c r="M53" s="12">
        <v>775872</v>
      </c>
      <c r="N53" s="12">
        <v>777002</v>
      </c>
      <c r="O53" s="15"/>
      <c r="P53" s="8" t="s">
        <v>47</v>
      </c>
      <c r="Q53" s="8"/>
      <c r="R53" s="51"/>
      <c r="S53" s="55" t="s">
        <v>33</v>
      </c>
      <c r="T53" s="56"/>
      <c r="U53" s="75">
        <v>19886</v>
      </c>
      <c r="V53" s="75">
        <v>21691</v>
      </c>
      <c r="W53" s="75">
        <v>21731</v>
      </c>
      <c r="X53" s="75">
        <v>22168</v>
      </c>
      <c r="Y53" s="75">
        <v>22061</v>
      </c>
      <c r="Z53" s="76">
        <v>807849</v>
      </c>
      <c r="AA53" s="76">
        <v>801615</v>
      </c>
      <c r="AB53" s="76">
        <v>802608</v>
      </c>
      <c r="AC53" s="76">
        <v>795544</v>
      </c>
      <c r="AD53" s="76">
        <v>797773</v>
      </c>
      <c r="AE53" s="56"/>
      <c r="AF53" s="57" t="s">
        <v>47</v>
      </c>
      <c r="AH53" s="84"/>
      <c r="AI53" s="71" t="s">
        <v>33</v>
      </c>
      <c r="AJ53" s="72"/>
      <c r="AK53" s="85">
        <v>22742</v>
      </c>
      <c r="AL53" s="85">
        <v>23100</v>
      </c>
      <c r="AM53" s="85">
        <v>23275</v>
      </c>
      <c r="AN53" s="85">
        <v>24076</v>
      </c>
      <c r="AO53" s="85">
        <v>24695</v>
      </c>
      <c r="AP53" s="86">
        <v>824099</v>
      </c>
      <c r="AQ53" s="86">
        <v>815983</v>
      </c>
      <c r="AR53" s="86">
        <v>813321</v>
      </c>
      <c r="AS53" s="86">
        <v>806856</v>
      </c>
      <c r="AT53" s="86">
        <v>805495</v>
      </c>
      <c r="AU53" s="72"/>
      <c r="AV53" s="73" t="s">
        <v>47</v>
      </c>
      <c r="AX53" s="84"/>
      <c r="AY53" s="71" t="s">
        <v>33</v>
      </c>
      <c r="AZ53" s="72"/>
      <c r="BA53" s="85">
        <v>22972</v>
      </c>
      <c r="BB53" s="85">
        <v>22969</v>
      </c>
      <c r="BC53" s="85">
        <v>23597</v>
      </c>
      <c r="BD53" s="85">
        <v>23299</v>
      </c>
      <c r="BE53" s="85">
        <v>23061</v>
      </c>
      <c r="BF53" s="86">
        <v>833236</v>
      </c>
      <c r="BG53" s="86">
        <v>788674</v>
      </c>
      <c r="BH53" s="86">
        <v>810285</v>
      </c>
      <c r="BI53" s="86">
        <v>800684</v>
      </c>
      <c r="BJ53" s="86">
        <v>806468</v>
      </c>
      <c r="BK53" s="72"/>
      <c r="BL53" s="73" t="s">
        <v>47</v>
      </c>
    </row>
    <row r="54" spans="2:64" ht="18" x14ac:dyDescent="0.2">
      <c r="C54" s="6" t="s">
        <v>36</v>
      </c>
      <c r="D54" s="15"/>
      <c r="E54" s="13">
        <v>36834</v>
      </c>
      <c r="F54" s="13">
        <v>35029</v>
      </c>
      <c r="G54" s="13">
        <v>35136</v>
      </c>
      <c r="H54" s="13">
        <v>36199</v>
      </c>
      <c r="I54" s="13">
        <v>36441</v>
      </c>
      <c r="J54" s="13">
        <v>36116</v>
      </c>
      <c r="K54" s="13">
        <v>37123</v>
      </c>
      <c r="L54" s="13">
        <v>38484</v>
      </c>
      <c r="M54" s="13">
        <v>38019</v>
      </c>
      <c r="N54" s="13">
        <v>38105</v>
      </c>
      <c r="O54" s="15"/>
      <c r="P54" s="8" t="s">
        <v>47</v>
      </c>
      <c r="Q54" s="8"/>
      <c r="R54" s="51"/>
      <c r="S54" s="55" t="s">
        <v>36</v>
      </c>
      <c r="T54" s="56"/>
      <c r="U54" s="77">
        <v>98636</v>
      </c>
      <c r="V54" s="77">
        <v>78451</v>
      </c>
      <c r="W54" s="77">
        <v>89188</v>
      </c>
      <c r="X54" s="77">
        <v>93665</v>
      </c>
      <c r="Y54" s="77">
        <v>87890</v>
      </c>
      <c r="Z54" s="77">
        <v>88566</v>
      </c>
      <c r="AA54" s="77">
        <v>101476</v>
      </c>
      <c r="AB54" s="77">
        <v>108861</v>
      </c>
      <c r="AC54" s="77">
        <v>103729</v>
      </c>
      <c r="AD54" s="77">
        <v>91324</v>
      </c>
      <c r="AE54" s="56"/>
      <c r="AF54" s="57" t="s">
        <v>47</v>
      </c>
      <c r="AH54" s="84"/>
      <c r="AI54" s="71" t="s">
        <v>36</v>
      </c>
      <c r="AJ54" s="72"/>
      <c r="AK54" s="93">
        <v>507248</v>
      </c>
      <c r="AL54" s="93">
        <v>484986</v>
      </c>
      <c r="AM54" s="94">
        <v>420200</v>
      </c>
      <c r="AN54" s="93">
        <v>504831</v>
      </c>
      <c r="AO54" s="92">
        <v>398845</v>
      </c>
      <c r="AP54" s="94">
        <v>412735</v>
      </c>
      <c r="AQ54" s="94">
        <v>422021</v>
      </c>
      <c r="AR54" s="94">
        <v>465853</v>
      </c>
      <c r="AS54" s="93">
        <v>502287</v>
      </c>
      <c r="AT54" s="91">
        <v>338825</v>
      </c>
      <c r="AU54" s="72"/>
      <c r="AV54" s="73" t="s">
        <v>47</v>
      </c>
      <c r="AX54" s="84"/>
      <c r="AY54" s="71" t="s">
        <v>36</v>
      </c>
      <c r="AZ54" s="72"/>
      <c r="BA54" s="96">
        <v>624938</v>
      </c>
      <c r="BB54" s="97">
        <v>663638</v>
      </c>
      <c r="BC54" s="95">
        <v>584637</v>
      </c>
      <c r="BD54" s="97">
        <v>713877</v>
      </c>
      <c r="BE54" s="97">
        <v>659205</v>
      </c>
      <c r="BF54" s="97">
        <v>662776</v>
      </c>
      <c r="BG54" s="96">
        <v>642790</v>
      </c>
      <c r="BH54" s="96">
        <v>641756</v>
      </c>
      <c r="BI54" s="97">
        <v>687167</v>
      </c>
      <c r="BJ54" s="97">
        <v>680715</v>
      </c>
      <c r="BK54" s="72"/>
      <c r="BL54" s="73" t="s">
        <v>47</v>
      </c>
    </row>
    <row r="55" spans="2:64" ht="18" x14ac:dyDescent="0.2">
      <c r="C55" s="6" t="s">
        <v>39</v>
      </c>
      <c r="D55" s="15"/>
      <c r="E55" s="13">
        <v>37990</v>
      </c>
      <c r="F55" s="13">
        <v>44676</v>
      </c>
      <c r="G55" s="13">
        <v>41614</v>
      </c>
      <c r="H55" s="13">
        <v>37926</v>
      </c>
      <c r="I55" s="13">
        <v>39937</v>
      </c>
      <c r="J55" s="13">
        <v>40977</v>
      </c>
      <c r="K55" s="13">
        <v>37701</v>
      </c>
      <c r="L55" s="13">
        <v>37207</v>
      </c>
      <c r="M55" s="13">
        <v>41519</v>
      </c>
      <c r="N55" s="13">
        <v>41689</v>
      </c>
      <c r="O55" s="15"/>
      <c r="P55" s="8" t="s">
        <v>47</v>
      </c>
      <c r="Q55" s="8"/>
      <c r="R55" s="51"/>
      <c r="S55" s="55" t="s">
        <v>39</v>
      </c>
      <c r="T55" s="56"/>
      <c r="U55" s="77">
        <v>91011</v>
      </c>
      <c r="V55" s="77">
        <v>100350</v>
      </c>
      <c r="W55" s="77">
        <v>92867</v>
      </c>
      <c r="X55" s="77">
        <v>96456</v>
      </c>
      <c r="Y55" s="77">
        <v>108849</v>
      </c>
      <c r="Z55" s="77">
        <v>112690</v>
      </c>
      <c r="AA55" s="77">
        <v>95131</v>
      </c>
      <c r="AB55" s="78">
        <v>119725</v>
      </c>
      <c r="AC55" s="77">
        <v>97362</v>
      </c>
      <c r="AD55" s="77">
        <v>98314</v>
      </c>
      <c r="AE55" s="56"/>
      <c r="AF55" s="57" t="s">
        <v>47</v>
      </c>
      <c r="AH55" s="84"/>
      <c r="AI55" s="71" t="s">
        <v>39</v>
      </c>
      <c r="AJ55" s="72"/>
      <c r="AK55" s="91">
        <v>335307</v>
      </c>
      <c r="AL55" s="92">
        <v>368374</v>
      </c>
      <c r="AM55" s="92">
        <v>374054</v>
      </c>
      <c r="AN55" s="91">
        <v>333541</v>
      </c>
      <c r="AO55" s="92">
        <v>362743</v>
      </c>
      <c r="AP55" s="92">
        <v>386175</v>
      </c>
      <c r="AQ55" s="91">
        <v>324294</v>
      </c>
      <c r="AR55" s="92">
        <v>366634</v>
      </c>
      <c r="AS55" s="94">
        <v>414982</v>
      </c>
      <c r="AT55" s="92">
        <v>362881</v>
      </c>
      <c r="AU55" s="72"/>
      <c r="AV55" s="73" t="s">
        <v>47</v>
      </c>
      <c r="AX55" s="84"/>
      <c r="AY55" s="71" t="s">
        <v>39</v>
      </c>
      <c r="AZ55" s="72"/>
      <c r="BA55" s="96">
        <v>599499</v>
      </c>
      <c r="BB55" s="95">
        <v>594582</v>
      </c>
      <c r="BC55" s="95">
        <v>540917</v>
      </c>
      <c r="BD55" s="96">
        <v>602430</v>
      </c>
      <c r="BE55" s="96">
        <v>606581</v>
      </c>
      <c r="BF55" s="95">
        <v>558508</v>
      </c>
      <c r="BG55" s="96">
        <v>597710</v>
      </c>
      <c r="BH55" s="96">
        <v>602036</v>
      </c>
      <c r="BI55" s="95">
        <v>581912</v>
      </c>
      <c r="BJ55" s="95">
        <v>593540</v>
      </c>
      <c r="BK55" s="72"/>
      <c r="BL55" s="73" t="s">
        <v>47</v>
      </c>
    </row>
    <row r="56" spans="2:64" ht="18" x14ac:dyDescent="0.2">
      <c r="C56" s="6" t="s">
        <v>42</v>
      </c>
      <c r="D56" s="15"/>
      <c r="E56" s="13">
        <v>38305</v>
      </c>
      <c r="F56" s="13">
        <v>39816</v>
      </c>
      <c r="G56" s="13">
        <v>39721</v>
      </c>
      <c r="H56" s="13">
        <v>39611</v>
      </c>
      <c r="I56" s="13">
        <v>40267</v>
      </c>
      <c r="J56" s="13">
        <v>40492</v>
      </c>
      <c r="K56" s="13">
        <v>40362</v>
      </c>
      <c r="L56" s="13">
        <v>39022</v>
      </c>
      <c r="M56" s="13">
        <v>42018</v>
      </c>
      <c r="N56" s="13">
        <v>40678</v>
      </c>
      <c r="O56" s="15"/>
      <c r="P56" s="8" t="s">
        <v>47</v>
      </c>
      <c r="Q56" s="8"/>
      <c r="R56" s="51"/>
      <c r="S56" s="55" t="s">
        <v>42</v>
      </c>
      <c r="T56" s="56"/>
      <c r="U56" s="77">
        <v>85058</v>
      </c>
      <c r="V56" s="77">
        <v>81561</v>
      </c>
      <c r="W56" s="77">
        <v>86376</v>
      </c>
      <c r="X56" s="77">
        <v>88669</v>
      </c>
      <c r="Y56" s="77">
        <v>94008</v>
      </c>
      <c r="Z56" s="77">
        <v>103604</v>
      </c>
      <c r="AA56" s="77">
        <v>88801</v>
      </c>
      <c r="AB56" s="77">
        <v>90345</v>
      </c>
      <c r="AC56" s="77">
        <v>84877</v>
      </c>
      <c r="AD56" s="77">
        <v>85337</v>
      </c>
      <c r="AE56" s="56"/>
      <c r="AF56" s="57" t="s">
        <v>47</v>
      </c>
      <c r="AH56" s="84"/>
      <c r="AI56" s="71" t="s">
        <v>42</v>
      </c>
      <c r="AJ56" s="72"/>
      <c r="AK56" s="91">
        <v>325496</v>
      </c>
      <c r="AL56" s="90">
        <v>239897</v>
      </c>
      <c r="AM56" s="91">
        <v>348247</v>
      </c>
      <c r="AN56" s="91">
        <v>321717</v>
      </c>
      <c r="AO56" s="91">
        <v>340867</v>
      </c>
      <c r="AP56" s="92">
        <v>404339</v>
      </c>
      <c r="AQ56" s="91">
        <v>340016</v>
      </c>
      <c r="AR56" s="92">
        <v>362911</v>
      </c>
      <c r="AS56" s="92">
        <v>359639</v>
      </c>
      <c r="AT56" s="91">
        <v>309771</v>
      </c>
      <c r="AU56" s="72"/>
      <c r="AV56" s="73" t="s">
        <v>47</v>
      </c>
      <c r="AX56" s="84"/>
      <c r="AY56" s="71" t="s">
        <v>42</v>
      </c>
      <c r="AZ56" s="72"/>
      <c r="BA56" s="93">
        <v>523383</v>
      </c>
      <c r="BB56" s="93">
        <v>482327</v>
      </c>
      <c r="BC56" s="93">
        <v>476829</v>
      </c>
      <c r="BD56" s="93">
        <v>509096</v>
      </c>
      <c r="BE56" s="92">
        <v>384094</v>
      </c>
      <c r="BF56" s="95">
        <v>553078</v>
      </c>
      <c r="BG56" s="93">
        <v>535481</v>
      </c>
      <c r="BH56" s="93">
        <v>496621</v>
      </c>
      <c r="BI56" s="95">
        <v>548636</v>
      </c>
      <c r="BJ56" s="93">
        <v>506985</v>
      </c>
      <c r="BK56" s="72"/>
      <c r="BL56" s="73" t="s">
        <v>47</v>
      </c>
    </row>
    <row r="57" spans="2:64" ht="18" x14ac:dyDescent="0.2">
      <c r="C57" s="6" t="s">
        <v>43</v>
      </c>
      <c r="D57" s="15"/>
      <c r="E57" s="13">
        <v>38398</v>
      </c>
      <c r="F57" s="13">
        <v>40017</v>
      </c>
      <c r="G57" s="13">
        <v>40704</v>
      </c>
      <c r="H57" s="13">
        <v>42392</v>
      </c>
      <c r="I57" s="13">
        <v>41198</v>
      </c>
      <c r="J57" s="13">
        <v>40903</v>
      </c>
      <c r="K57" s="13">
        <v>38372</v>
      </c>
      <c r="L57" s="13">
        <v>39517</v>
      </c>
      <c r="M57" s="13">
        <v>39767</v>
      </c>
      <c r="N57" s="13">
        <v>38837</v>
      </c>
      <c r="O57" s="15"/>
      <c r="P57" s="8" t="s">
        <v>47</v>
      </c>
      <c r="Q57" s="8"/>
      <c r="R57" s="51"/>
      <c r="S57" s="55" t="s">
        <v>43</v>
      </c>
      <c r="T57" s="56"/>
      <c r="U57" s="77">
        <v>72075</v>
      </c>
      <c r="V57" s="77">
        <v>76268</v>
      </c>
      <c r="W57" s="77">
        <v>81978</v>
      </c>
      <c r="X57" s="77">
        <v>87686</v>
      </c>
      <c r="Y57" s="77">
        <v>83276</v>
      </c>
      <c r="Z57" s="77">
        <v>80941</v>
      </c>
      <c r="AA57" s="77">
        <v>76590</v>
      </c>
      <c r="AB57" s="77">
        <v>75512</v>
      </c>
      <c r="AC57" s="77">
        <v>72422</v>
      </c>
      <c r="AD57" s="77">
        <v>75469</v>
      </c>
      <c r="AE57" s="56"/>
      <c r="AF57" s="57" t="s">
        <v>47</v>
      </c>
      <c r="AH57" s="84"/>
      <c r="AI57" s="71" t="s">
        <v>43</v>
      </c>
      <c r="AJ57" s="72"/>
      <c r="AK57" s="89">
        <v>215944</v>
      </c>
      <c r="AL57" s="89">
        <v>203578</v>
      </c>
      <c r="AM57" s="89">
        <v>219519</v>
      </c>
      <c r="AN57" s="89">
        <v>215281</v>
      </c>
      <c r="AO57" s="90">
        <v>253672</v>
      </c>
      <c r="AP57" s="90">
        <v>274638</v>
      </c>
      <c r="AQ57" s="90">
        <v>242749</v>
      </c>
      <c r="AR57" s="90">
        <v>251014</v>
      </c>
      <c r="AS57" s="90">
        <v>236232</v>
      </c>
      <c r="AT57" s="89">
        <v>203976</v>
      </c>
      <c r="AU57" s="72"/>
      <c r="AV57" s="73" t="s">
        <v>47</v>
      </c>
      <c r="AX57" s="84"/>
      <c r="AY57" s="71" t="s">
        <v>43</v>
      </c>
      <c r="AZ57" s="72"/>
      <c r="BA57" s="92">
        <v>388729</v>
      </c>
      <c r="BB57" s="94">
        <v>416772</v>
      </c>
      <c r="BC57" s="94">
        <v>455215</v>
      </c>
      <c r="BD57" s="94">
        <v>434800</v>
      </c>
      <c r="BE57" s="94">
        <v>418460</v>
      </c>
      <c r="BF57" s="94">
        <v>460198</v>
      </c>
      <c r="BG57" s="92">
        <v>393937</v>
      </c>
      <c r="BH57" s="92">
        <v>377602</v>
      </c>
      <c r="BI57" s="92">
        <v>386513</v>
      </c>
      <c r="BJ57" s="94">
        <v>440771</v>
      </c>
      <c r="BK57" s="72"/>
      <c r="BL57" s="73" t="s">
        <v>47</v>
      </c>
    </row>
    <row r="58" spans="2:64" ht="18" x14ac:dyDescent="0.2">
      <c r="C58" s="6" t="s">
        <v>44</v>
      </c>
      <c r="D58" s="15"/>
      <c r="E58" s="13">
        <v>38747</v>
      </c>
      <c r="F58" s="13">
        <v>38395</v>
      </c>
      <c r="G58" s="13">
        <v>36706</v>
      </c>
      <c r="H58" s="13">
        <v>38193</v>
      </c>
      <c r="I58" s="13">
        <v>38342</v>
      </c>
      <c r="J58" s="13">
        <v>39116</v>
      </c>
      <c r="K58" s="13">
        <v>37352</v>
      </c>
      <c r="L58" s="13">
        <v>39152</v>
      </c>
      <c r="M58" s="13">
        <v>39071</v>
      </c>
      <c r="N58" s="13">
        <v>41898</v>
      </c>
      <c r="O58" s="15"/>
      <c r="P58" s="8" t="s">
        <v>47</v>
      </c>
      <c r="Q58" s="8"/>
      <c r="R58" s="51"/>
      <c r="S58" s="55" t="s">
        <v>44</v>
      </c>
      <c r="T58" s="56"/>
      <c r="U58" s="77">
        <v>60887</v>
      </c>
      <c r="V58" s="77">
        <v>67966</v>
      </c>
      <c r="W58" s="77">
        <v>68960</v>
      </c>
      <c r="X58" s="77">
        <v>65913</v>
      </c>
      <c r="Y58" s="77">
        <v>70660</v>
      </c>
      <c r="Z58" s="77">
        <v>77500</v>
      </c>
      <c r="AA58" s="77">
        <v>63308</v>
      </c>
      <c r="AB58" s="77">
        <v>80600</v>
      </c>
      <c r="AC58" s="77">
        <v>76058</v>
      </c>
      <c r="AD58" s="77">
        <v>70948</v>
      </c>
      <c r="AE58" s="56"/>
      <c r="AF58" s="57" t="s">
        <v>47</v>
      </c>
      <c r="AH58" s="84"/>
      <c r="AI58" s="71" t="s">
        <v>44</v>
      </c>
      <c r="AJ58" s="72"/>
      <c r="AK58" s="87">
        <v>107900</v>
      </c>
      <c r="AL58" s="87">
        <v>102156</v>
      </c>
      <c r="AM58" s="88">
        <v>123280</v>
      </c>
      <c r="AN58" s="88">
        <v>124837</v>
      </c>
      <c r="AO58" s="88">
        <v>141531</v>
      </c>
      <c r="AP58" s="88">
        <v>166782</v>
      </c>
      <c r="AQ58" s="88">
        <v>125829</v>
      </c>
      <c r="AR58" s="88">
        <v>174913</v>
      </c>
      <c r="AS58" s="88">
        <v>135770</v>
      </c>
      <c r="AT58" s="87">
        <v>114538</v>
      </c>
      <c r="AU58" s="72"/>
      <c r="AV58" s="73" t="s">
        <v>47</v>
      </c>
      <c r="AX58" s="84"/>
      <c r="AY58" s="71" t="s">
        <v>44</v>
      </c>
      <c r="AZ58" s="72"/>
      <c r="BA58" s="88">
        <v>160480</v>
      </c>
      <c r="BB58" s="88">
        <v>157154</v>
      </c>
      <c r="BC58" s="89">
        <v>198260</v>
      </c>
      <c r="BD58" s="89">
        <v>195040</v>
      </c>
      <c r="BE58" s="89">
        <v>228907</v>
      </c>
      <c r="BF58" s="90">
        <v>258109</v>
      </c>
      <c r="BG58" s="88">
        <v>177146</v>
      </c>
      <c r="BH58" s="90">
        <v>246842</v>
      </c>
      <c r="BI58" s="88">
        <v>162799</v>
      </c>
      <c r="BJ58" s="88">
        <v>157091</v>
      </c>
      <c r="BK58" s="72"/>
      <c r="BL58" s="73" t="s">
        <v>47</v>
      </c>
    </row>
    <row r="59" spans="2:64" ht="18" x14ac:dyDescent="0.2">
      <c r="C59" s="6" t="s">
        <v>45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8" t="s">
        <v>47</v>
      </c>
      <c r="Q59" s="8"/>
      <c r="R59" s="51"/>
      <c r="S59" s="55" t="s">
        <v>45</v>
      </c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7" t="s">
        <v>47</v>
      </c>
      <c r="AH59" s="84"/>
      <c r="AI59" s="71" t="s">
        <v>45</v>
      </c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3" t="s">
        <v>47</v>
      </c>
      <c r="AX59" s="84"/>
      <c r="AY59" s="71" t="s">
        <v>45</v>
      </c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3" t="s">
        <v>47</v>
      </c>
    </row>
    <row r="60" spans="2:64" x14ac:dyDescent="0.2"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</row>
    <row r="61" spans="2:64" ht="38.25" x14ac:dyDescent="0.2">
      <c r="B61" s="3" t="s">
        <v>49</v>
      </c>
      <c r="C61" s="4"/>
      <c r="R61" s="52" t="s">
        <v>49</v>
      </c>
      <c r="S61" s="53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H61" s="82" t="s">
        <v>49</v>
      </c>
      <c r="AI61" s="83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X61" s="82" t="s">
        <v>49</v>
      </c>
      <c r="AY61" s="83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</row>
    <row r="62" spans="2:64" x14ac:dyDescent="0.2"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</row>
    <row r="63" spans="2:64" x14ac:dyDescent="0.2">
      <c r="C63" s="5"/>
      <c r="D63" s="6">
        <v>1</v>
      </c>
      <c r="E63" s="6">
        <v>2</v>
      </c>
      <c r="F63" s="6">
        <v>3</v>
      </c>
      <c r="G63" s="6">
        <v>4</v>
      </c>
      <c r="H63" s="6">
        <v>5</v>
      </c>
      <c r="I63" s="6">
        <v>6</v>
      </c>
      <c r="J63" s="6">
        <v>7</v>
      </c>
      <c r="K63" s="6">
        <v>8</v>
      </c>
      <c r="L63" s="6">
        <v>9</v>
      </c>
      <c r="M63" s="6">
        <v>10</v>
      </c>
      <c r="N63" s="6">
        <v>11</v>
      </c>
      <c r="O63" s="6">
        <v>12</v>
      </c>
      <c r="R63" s="51"/>
      <c r="S63" s="54"/>
      <c r="T63" s="55">
        <v>1</v>
      </c>
      <c r="U63" s="55">
        <v>2</v>
      </c>
      <c r="V63" s="55">
        <v>3</v>
      </c>
      <c r="W63" s="55">
        <v>4</v>
      </c>
      <c r="X63" s="55">
        <v>5</v>
      </c>
      <c r="Y63" s="55">
        <v>6</v>
      </c>
      <c r="Z63" s="55">
        <v>7</v>
      </c>
      <c r="AA63" s="55">
        <v>8</v>
      </c>
      <c r="AB63" s="55">
        <v>9</v>
      </c>
      <c r="AC63" s="55">
        <v>10</v>
      </c>
      <c r="AD63" s="55">
        <v>11</v>
      </c>
      <c r="AE63" s="55">
        <v>12</v>
      </c>
      <c r="AF63" s="51"/>
      <c r="AH63" s="84"/>
      <c r="AI63" s="70"/>
      <c r="AJ63" s="71">
        <v>1</v>
      </c>
      <c r="AK63" s="71">
        <v>2</v>
      </c>
      <c r="AL63" s="71">
        <v>3</v>
      </c>
      <c r="AM63" s="71">
        <v>4</v>
      </c>
      <c r="AN63" s="71">
        <v>5</v>
      </c>
      <c r="AO63" s="71">
        <v>6</v>
      </c>
      <c r="AP63" s="71">
        <v>7</v>
      </c>
      <c r="AQ63" s="71">
        <v>8</v>
      </c>
      <c r="AR63" s="71">
        <v>9</v>
      </c>
      <c r="AS63" s="71">
        <v>10</v>
      </c>
      <c r="AT63" s="71">
        <v>11</v>
      </c>
      <c r="AU63" s="71">
        <v>12</v>
      </c>
      <c r="AV63" s="84"/>
      <c r="AX63" s="84"/>
      <c r="AY63" s="70"/>
      <c r="AZ63" s="71">
        <v>1</v>
      </c>
      <c r="BA63" s="71">
        <v>2</v>
      </c>
      <c r="BB63" s="71">
        <v>3</v>
      </c>
      <c r="BC63" s="71">
        <v>4</v>
      </c>
      <c r="BD63" s="71">
        <v>5</v>
      </c>
      <c r="BE63" s="71">
        <v>6</v>
      </c>
      <c r="BF63" s="71">
        <v>7</v>
      </c>
      <c r="BG63" s="71">
        <v>8</v>
      </c>
      <c r="BH63" s="71">
        <v>9</v>
      </c>
      <c r="BI63" s="71">
        <v>10</v>
      </c>
      <c r="BJ63" s="71">
        <v>11</v>
      </c>
      <c r="BK63" s="71">
        <v>12</v>
      </c>
      <c r="BL63" s="84"/>
    </row>
    <row r="64" spans="2:64" ht="27" x14ac:dyDescent="0.2">
      <c r="C64" s="6" t="s">
        <v>29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8" t="s">
        <v>49</v>
      </c>
      <c r="R64" s="51"/>
      <c r="S64" s="55" t="s">
        <v>29</v>
      </c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7" t="s">
        <v>49</v>
      </c>
      <c r="AH64" s="84"/>
      <c r="AI64" s="71" t="s">
        <v>29</v>
      </c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3" t="s">
        <v>49</v>
      </c>
      <c r="AX64" s="84"/>
      <c r="AY64" s="71" t="s">
        <v>29</v>
      </c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3" t="s">
        <v>49</v>
      </c>
    </row>
    <row r="65" spans="2:64" ht="27" x14ac:dyDescent="0.2">
      <c r="C65" s="6" t="s">
        <v>33</v>
      </c>
      <c r="D65" s="15"/>
      <c r="E65" s="13">
        <f>E53-ROUND(AVERAGE($E$53:$I$53),0)</f>
        <v>138</v>
      </c>
      <c r="F65" s="13">
        <f t="shared" ref="F65:N65" si="0">F53-ROUND(AVERAGE($E$53:$I$53),0)</f>
        <v>119</v>
      </c>
      <c r="G65" s="13">
        <f t="shared" si="0"/>
        <v>5</v>
      </c>
      <c r="H65" s="13">
        <f t="shared" si="0"/>
        <v>-78</v>
      </c>
      <c r="I65" s="13">
        <f t="shared" si="0"/>
        <v>-182</v>
      </c>
      <c r="J65" s="13">
        <f t="shared" si="0"/>
        <v>767736</v>
      </c>
      <c r="K65" s="13">
        <f t="shared" si="0"/>
        <v>763778</v>
      </c>
      <c r="L65" s="13">
        <f t="shared" si="0"/>
        <v>763512</v>
      </c>
      <c r="M65" s="13">
        <f t="shared" si="0"/>
        <v>757238</v>
      </c>
      <c r="N65" s="13">
        <f t="shared" si="0"/>
        <v>758368</v>
      </c>
      <c r="O65" s="15"/>
      <c r="P65" s="8" t="s">
        <v>49</v>
      </c>
      <c r="R65" s="51"/>
      <c r="S65" s="55" t="s">
        <v>33</v>
      </c>
      <c r="T65" s="56"/>
      <c r="U65" s="59">
        <f>U53-ROUND(AVERAGE($U$53:$Y$53),0)</f>
        <v>-1621</v>
      </c>
      <c r="V65" s="85">
        <f t="shared" ref="V65:AD65" si="1">V53-ROUND(AVERAGE($U$53:$Y$53),0)</f>
        <v>184</v>
      </c>
      <c r="W65" s="85">
        <f t="shared" si="1"/>
        <v>224</v>
      </c>
      <c r="X65" s="85">
        <f t="shared" si="1"/>
        <v>661</v>
      </c>
      <c r="Y65" s="85">
        <f t="shared" si="1"/>
        <v>554</v>
      </c>
      <c r="Z65" s="85">
        <f t="shared" si="1"/>
        <v>786342</v>
      </c>
      <c r="AA65" s="85">
        <f t="shared" si="1"/>
        <v>780108</v>
      </c>
      <c r="AB65" s="85">
        <f t="shared" si="1"/>
        <v>781101</v>
      </c>
      <c r="AC65" s="85">
        <f t="shared" si="1"/>
        <v>774037</v>
      </c>
      <c r="AD65" s="85">
        <f t="shared" si="1"/>
        <v>776266</v>
      </c>
      <c r="AE65" s="56"/>
      <c r="AF65" s="57" t="s">
        <v>49</v>
      </c>
      <c r="AH65" s="84"/>
      <c r="AI65" s="71" t="s">
        <v>33</v>
      </c>
      <c r="AJ65" s="72"/>
      <c r="AK65" s="85">
        <f>AK53-ROUND(AVERAGE($AK$53:$AO$53),0)</f>
        <v>-836</v>
      </c>
      <c r="AL65" s="85">
        <f t="shared" ref="AL65:AT65" si="2">AL53-ROUND(AVERAGE($AK$53:$AO$53),0)</f>
        <v>-478</v>
      </c>
      <c r="AM65" s="85">
        <f t="shared" si="2"/>
        <v>-303</v>
      </c>
      <c r="AN65" s="85">
        <f t="shared" si="2"/>
        <v>498</v>
      </c>
      <c r="AO65" s="85">
        <f t="shared" si="2"/>
        <v>1117</v>
      </c>
      <c r="AP65" s="85">
        <f t="shared" si="2"/>
        <v>800521</v>
      </c>
      <c r="AQ65" s="85">
        <f t="shared" si="2"/>
        <v>792405</v>
      </c>
      <c r="AR65" s="85">
        <f t="shared" si="2"/>
        <v>789743</v>
      </c>
      <c r="AS65" s="85">
        <f t="shared" si="2"/>
        <v>783278</v>
      </c>
      <c r="AT65" s="85">
        <f t="shared" si="2"/>
        <v>781917</v>
      </c>
      <c r="AU65" s="72"/>
      <c r="AV65" s="73" t="s">
        <v>49</v>
      </c>
      <c r="AX65" s="84"/>
      <c r="AY65" s="71" t="s">
        <v>33</v>
      </c>
      <c r="AZ65" s="72"/>
      <c r="BA65" s="85">
        <f>BA53-ROUND(AVERAGE($BA$53:$BE$53),0)</f>
        <v>-208</v>
      </c>
      <c r="BB65" s="85">
        <f t="shared" ref="BB65:BJ65" si="3">BB53-ROUND(AVERAGE($BA$53:$BE$53),0)</f>
        <v>-211</v>
      </c>
      <c r="BC65" s="85">
        <f t="shared" si="3"/>
        <v>417</v>
      </c>
      <c r="BD65" s="85">
        <f t="shared" si="3"/>
        <v>119</v>
      </c>
      <c r="BE65" s="85">
        <f t="shared" si="3"/>
        <v>-119</v>
      </c>
      <c r="BF65" s="85">
        <f t="shared" si="3"/>
        <v>810056</v>
      </c>
      <c r="BG65" s="85">
        <f t="shared" si="3"/>
        <v>765494</v>
      </c>
      <c r="BH65" s="85">
        <f t="shared" si="3"/>
        <v>787105</v>
      </c>
      <c r="BI65" s="85">
        <f t="shared" si="3"/>
        <v>777504</v>
      </c>
      <c r="BJ65" s="85">
        <f t="shared" si="3"/>
        <v>783288</v>
      </c>
      <c r="BK65" s="72"/>
      <c r="BL65" s="73" t="s">
        <v>49</v>
      </c>
    </row>
    <row r="66" spans="2:64" ht="27" x14ac:dyDescent="0.2">
      <c r="C66" s="6" t="s">
        <v>36</v>
      </c>
      <c r="D66" s="15"/>
      <c r="E66" s="13">
        <f t="shared" ref="E66:N70" si="4">E54-ROUND(AVERAGE($E$53:$I$53),0)</f>
        <v>18200</v>
      </c>
      <c r="F66" s="13">
        <f t="shared" si="4"/>
        <v>16395</v>
      </c>
      <c r="G66" s="13">
        <f t="shared" si="4"/>
        <v>16502</v>
      </c>
      <c r="H66" s="13">
        <f t="shared" si="4"/>
        <v>17565</v>
      </c>
      <c r="I66" s="13">
        <f t="shared" si="4"/>
        <v>17807</v>
      </c>
      <c r="J66" s="13">
        <f t="shared" si="4"/>
        <v>17482</v>
      </c>
      <c r="K66" s="13">
        <f t="shared" si="4"/>
        <v>18489</v>
      </c>
      <c r="L66" s="13">
        <f t="shared" si="4"/>
        <v>19850</v>
      </c>
      <c r="M66" s="13">
        <f t="shared" si="4"/>
        <v>19385</v>
      </c>
      <c r="N66" s="13">
        <f t="shared" si="4"/>
        <v>19471</v>
      </c>
      <c r="O66" s="15"/>
      <c r="P66" s="8" t="s">
        <v>49</v>
      </c>
      <c r="R66" s="51"/>
      <c r="S66" s="55" t="s">
        <v>36</v>
      </c>
      <c r="T66" s="56"/>
      <c r="U66" s="85">
        <f t="shared" ref="U66:AD66" si="5">U54-ROUND(AVERAGE($U$53:$Y$53),0)</f>
        <v>77129</v>
      </c>
      <c r="V66" s="85">
        <f t="shared" si="5"/>
        <v>56944</v>
      </c>
      <c r="W66" s="85">
        <f t="shared" si="5"/>
        <v>67681</v>
      </c>
      <c r="X66" s="85">
        <f t="shared" si="5"/>
        <v>72158</v>
      </c>
      <c r="Y66" s="85">
        <f t="shared" si="5"/>
        <v>66383</v>
      </c>
      <c r="Z66" s="85">
        <f t="shared" si="5"/>
        <v>67059</v>
      </c>
      <c r="AA66" s="85">
        <f t="shared" si="5"/>
        <v>79969</v>
      </c>
      <c r="AB66" s="85">
        <f t="shared" si="5"/>
        <v>87354</v>
      </c>
      <c r="AC66" s="85">
        <f t="shared" si="5"/>
        <v>82222</v>
      </c>
      <c r="AD66" s="85">
        <f t="shared" si="5"/>
        <v>69817</v>
      </c>
      <c r="AE66" s="56"/>
      <c r="AF66" s="57" t="s">
        <v>49</v>
      </c>
      <c r="AH66" s="84"/>
      <c r="AI66" s="71" t="s">
        <v>36</v>
      </c>
      <c r="AJ66" s="72"/>
      <c r="AK66" s="85">
        <f t="shared" ref="AK66:AT70" si="6">AK54-ROUND(AVERAGE($AK$53:$AO$53),0)</f>
        <v>483670</v>
      </c>
      <c r="AL66" s="85">
        <f t="shared" si="6"/>
        <v>461408</v>
      </c>
      <c r="AM66" s="85">
        <f t="shared" si="6"/>
        <v>396622</v>
      </c>
      <c r="AN66" s="85">
        <f t="shared" si="6"/>
        <v>481253</v>
      </c>
      <c r="AO66" s="85">
        <f t="shared" si="6"/>
        <v>375267</v>
      </c>
      <c r="AP66" s="85">
        <f t="shared" si="6"/>
        <v>389157</v>
      </c>
      <c r="AQ66" s="85">
        <f t="shared" si="6"/>
        <v>398443</v>
      </c>
      <c r="AR66" s="85">
        <f t="shared" si="6"/>
        <v>442275</v>
      </c>
      <c r="AS66" s="85">
        <f t="shared" si="6"/>
        <v>478709</v>
      </c>
      <c r="AT66" s="85">
        <f t="shared" si="6"/>
        <v>315247</v>
      </c>
      <c r="AU66" s="72"/>
      <c r="AV66" s="73" t="s">
        <v>49</v>
      </c>
      <c r="AX66" s="84"/>
      <c r="AY66" s="71" t="s">
        <v>36</v>
      </c>
      <c r="AZ66" s="72"/>
      <c r="BA66" s="85">
        <f t="shared" ref="BA66:BJ70" si="7">BA54-ROUND(AVERAGE($BA$53:$BE$53),0)</f>
        <v>601758</v>
      </c>
      <c r="BB66" s="85">
        <f t="shared" si="7"/>
        <v>640458</v>
      </c>
      <c r="BC66" s="85">
        <f t="shared" si="7"/>
        <v>561457</v>
      </c>
      <c r="BD66" s="85">
        <f t="shared" si="7"/>
        <v>690697</v>
      </c>
      <c r="BE66" s="85">
        <f t="shared" si="7"/>
        <v>636025</v>
      </c>
      <c r="BF66" s="85">
        <f t="shared" si="7"/>
        <v>639596</v>
      </c>
      <c r="BG66" s="85">
        <f t="shared" si="7"/>
        <v>619610</v>
      </c>
      <c r="BH66" s="85">
        <f t="shared" si="7"/>
        <v>618576</v>
      </c>
      <c r="BI66" s="85">
        <f t="shared" si="7"/>
        <v>663987</v>
      </c>
      <c r="BJ66" s="85">
        <f t="shared" si="7"/>
        <v>657535</v>
      </c>
      <c r="BK66" s="72"/>
      <c r="BL66" s="73" t="s">
        <v>49</v>
      </c>
    </row>
    <row r="67" spans="2:64" ht="27" x14ac:dyDescent="0.2">
      <c r="C67" s="6" t="s">
        <v>39</v>
      </c>
      <c r="D67" s="15"/>
      <c r="E67" s="13">
        <f t="shared" si="4"/>
        <v>19356</v>
      </c>
      <c r="F67" s="13">
        <f t="shared" si="4"/>
        <v>26042</v>
      </c>
      <c r="G67" s="13">
        <f t="shared" si="4"/>
        <v>22980</v>
      </c>
      <c r="H67" s="13">
        <f t="shared" si="4"/>
        <v>19292</v>
      </c>
      <c r="I67" s="13">
        <f t="shared" si="4"/>
        <v>21303</v>
      </c>
      <c r="J67" s="13">
        <f t="shared" si="4"/>
        <v>22343</v>
      </c>
      <c r="K67" s="13">
        <f t="shared" si="4"/>
        <v>19067</v>
      </c>
      <c r="L67" s="13">
        <f t="shared" si="4"/>
        <v>18573</v>
      </c>
      <c r="M67" s="13">
        <f t="shared" si="4"/>
        <v>22885</v>
      </c>
      <c r="N67" s="13">
        <f t="shared" si="4"/>
        <v>23055</v>
      </c>
      <c r="O67" s="15"/>
      <c r="P67" s="8" t="s">
        <v>49</v>
      </c>
      <c r="R67" s="51"/>
      <c r="S67" s="55" t="s">
        <v>39</v>
      </c>
      <c r="T67" s="56"/>
      <c r="U67" s="85">
        <f t="shared" ref="U67:AD67" si="8">U55-ROUND(AVERAGE($U$53:$Y$53),0)</f>
        <v>69504</v>
      </c>
      <c r="V67" s="85">
        <f t="shared" si="8"/>
        <v>78843</v>
      </c>
      <c r="W67" s="85">
        <f t="shared" si="8"/>
        <v>71360</v>
      </c>
      <c r="X67" s="85">
        <f t="shared" si="8"/>
        <v>74949</v>
      </c>
      <c r="Y67" s="85">
        <f t="shared" si="8"/>
        <v>87342</v>
      </c>
      <c r="Z67" s="85">
        <f t="shared" si="8"/>
        <v>91183</v>
      </c>
      <c r="AA67" s="85">
        <f t="shared" si="8"/>
        <v>73624</v>
      </c>
      <c r="AB67" s="85">
        <f t="shared" si="8"/>
        <v>98218</v>
      </c>
      <c r="AC67" s="85">
        <f t="shared" si="8"/>
        <v>75855</v>
      </c>
      <c r="AD67" s="85">
        <f t="shared" si="8"/>
        <v>76807</v>
      </c>
      <c r="AE67" s="56"/>
      <c r="AF67" s="57" t="s">
        <v>49</v>
      </c>
      <c r="AH67" s="84"/>
      <c r="AI67" s="71" t="s">
        <v>39</v>
      </c>
      <c r="AJ67" s="72"/>
      <c r="AK67" s="85">
        <f t="shared" si="6"/>
        <v>311729</v>
      </c>
      <c r="AL67" s="85">
        <f t="shared" si="6"/>
        <v>344796</v>
      </c>
      <c r="AM67" s="85">
        <f t="shared" si="6"/>
        <v>350476</v>
      </c>
      <c r="AN67" s="85">
        <f t="shared" si="6"/>
        <v>309963</v>
      </c>
      <c r="AO67" s="85">
        <f t="shared" si="6"/>
        <v>339165</v>
      </c>
      <c r="AP67" s="85">
        <f t="shared" si="6"/>
        <v>362597</v>
      </c>
      <c r="AQ67" s="85">
        <f t="shared" si="6"/>
        <v>300716</v>
      </c>
      <c r="AR67" s="85">
        <f t="shared" si="6"/>
        <v>343056</v>
      </c>
      <c r="AS67" s="85">
        <f t="shared" si="6"/>
        <v>391404</v>
      </c>
      <c r="AT67" s="85">
        <f t="shared" si="6"/>
        <v>339303</v>
      </c>
      <c r="AU67" s="72"/>
      <c r="AV67" s="73" t="s">
        <v>49</v>
      </c>
      <c r="AX67" s="84"/>
      <c r="AY67" s="71" t="s">
        <v>39</v>
      </c>
      <c r="AZ67" s="72"/>
      <c r="BA67" s="85">
        <f t="shared" si="7"/>
        <v>576319</v>
      </c>
      <c r="BB67" s="85">
        <f t="shared" si="7"/>
        <v>571402</v>
      </c>
      <c r="BC67" s="85">
        <f t="shared" si="7"/>
        <v>517737</v>
      </c>
      <c r="BD67" s="85">
        <f t="shared" si="7"/>
        <v>579250</v>
      </c>
      <c r="BE67" s="85">
        <f t="shared" si="7"/>
        <v>583401</v>
      </c>
      <c r="BF67" s="85">
        <f t="shared" si="7"/>
        <v>535328</v>
      </c>
      <c r="BG67" s="85">
        <f t="shared" si="7"/>
        <v>574530</v>
      </c>
      <c r="BH67" s="85">
        <f t="shared" si="7"/>
        <v>578856</v>
      </c>
      <c r="BI67" s="85">
        <f t="shared" si="7"/>
        <v>558732</v>
      </c>
      <c r="BJ67" s="85">
        <f t="shared" si="7"/>
        <v>570360</v>
      </c>
      <c r="BK67" s="72"/>
      <c r="BL67" s="73" t="s">
        <v>49</v>
      </c>
    </row>
    <row r="68" spans="2:64" ht="27" x14ac:dyDescent="0.2">
      <c r="C68" s="6" t="s">
        <v>42</v>
      </c>
      <c r="D68" s="15"/>
      <c r="E68" s="13">
        <f t="shared" si="4"/>
        <v>19671</v>
      </c>
      <c r="F68" s="13">
        <f t="shared" si="4"/>
        <v>21182</v>
      </c>
      <c r="G68" s="13">
        <f t="shared" si="4"/>
        <v>21087</v>
      </c>
      <c r="H68" s="13">
        <f t="shared" si="4"/>
        <v>20977</v>
      </c>
      <c r="I68" s="13">
        <f t="shared" si="4"/>
        <v>21633</v>
      </c>
      <c r="J68" s="13">
        <f t="shared" si="4"/>
        <v>21858</v>
      </c>
      <c r="K68" s="13">
        <f t="shared" si="4"/>
        <v>21728</v>
      </c>
      <c r="L68" s="13">
        <f t="shared" si="4"/>
        <v>20388</v>
      </c>
      <c r="M68" s="13">
        <f t="shared" si="4"/>
        <v>23384</v>
      </c>
      <c r="N68" s="13">
        <f t="shared" si="4"/>
        <v>22044</v>
      </c>
      <c r="O68" s="15"/>
      <c r="P68" s="8" t="s">
        <v>49</v>
      </c>
      <c r="R68" s="51"/>
      <c r="S68" s="55" t="s">
        <v>42</v>
      </c>
      <c r="T68" s="56"/>
      <c r="U68" s="85">
        <f t="shared" ref="U68:AD68" si="9">U56-ROUND(AVERAGE($U$53:$Y$53),0)</f>
        <v>63551</v>
      </c>
      <c r="V68" s="85">
        <f t="shared" si="9"/>
        <v>60054</v>
      </c>
      <c r="W68" s="85">
        <f t="shared" si="9"/>
        <v>64869</v>
      </c>
      <c r="X68" s="85">
        <f t="shared" si="9"/>
        <v>67162</v>
      </c>
      <c r="Y68" s="85">
        <f t="shared" si="9"/>
        <v>72501</v>
      </c>
      <c r="Z68" s="85">
        <f t="shared" si="9"/>
        <v>82097</v>
      </c>
      <c r="AA68" s="85">
        <f t="shared" si="9"/>
        <v>67294</v>
      </c>
      <c r="AB68" s="85">
        <f t="shared" si="9"/>
        <v>68838</v>
      </c>
      <c r="AC68" s="85">
        <f t="shared" si="9"/>
        <v>63370</v>
      </c>
      <c r="AD68" s="85">
        <f t="shared" si="9"/>
        <v>63830</v>
      </c>
      <c r="AE68" s="56"/>
      <c r="AF68" s="57" t="s">
        <v>49</v>
      </c>
      <c r="AH68" s="84"/>
      <c r="AI68" s="71" t="s">
        <v>42</v>
      </c>
      <c r="AJ68" s="72"/>
      <c r="AK68" s="85">
        <f t="shared" si="6"/>
        <v>301918</v>
      </c>
      <c r="AL68" s="85">
        <f t="shared" si="6"/>
        <v>216319</v>
      </c>
      <c r="AM68" s="85">
        <f t="shared" si="6"/>
        <v>324669</v>
      </c>
      <c r="AN68" s="85">
        <f t="shared" si="6"/>
        <v>298139</v>
      </c>
      <c r="AO68" s="85">
        <f t="shared" si="6"/>
        <v>317289</v>
      </c>
      <c r="AP68" s="85">
        <f t="shared" si="6"/>
        <v>380761</v>
      </c>
      <c r="AQ68" s="85">
        <f t="shared" si="6"/>
        <v>316438</v>
      </c>
      <c r="AR68" s="85">
        <f t="shared" si="6"/>
        <v>339333</v>
      </c>
      <c r="AS68" s="85">
        <f t="shared" si="6"/>
        <v>336061</v>
      </c>
      <c r="AT68" s="85">
        <f t="shared" si="6"/>
        <v>286193</v>
      </c>
      <c r="AU68" s="72"/>
      <c r="AV68" s="73" t="s">
        <v>49</v>
      </c>
      <c r="AX68" s="84"/>
      <c r="AY68" s="71" t="s">
        <v>42</v>
      </c>
      <c r="AZ68" s="72"/>
      <c r="BA68" s="85">
        <f t="shared" si="7"/>
        <v>500203</v>
      </c>
      <c r="BB68" s="85">
        <f t="shared" si="7"/>
        <v>459147</v>
      </c>
      <c r="BC68" s="85">
        <f t="shared" si="7"/>
        <v>453649</v>
      </c>
      <c r="BD68" s="85">
        <f t="shared" si="7"/>
        <v>485916</v>
      </c>
      <c r="BE68" s="85">
        <f t="shared" si="7"/>
        <v>360914</v>
      </c>
      <c r="BF68" s="85">
        <f t="shared" si="7"/>
        <v>529898</v>
      </c>
      <c r="BG68" s="85">
        <f t="shared" si="7"/>
        <v>512301</v>
      </c>
      <c r="BH68" s="85">
        <f t="shared" si="7"/>
        <v>473441</v>
      </c>
      <c r="BI68" s="85">
        <f t="shared" si="7"/>
        <v>525456</v>
      </c>
      <c r="BJ68" s="85">
        <f t="shared" si="7"/>
        <v>483805</v>
      </c>
      <c r="BK68" s="72"/>
      <c r="BL68" s="73" t="s">
        <v>49</v>
      </c>
    </row>
    <row r="69" spans="2:64" ht="27" x14ac:dyDescent="0.2">
      <c r="C69" s="6" t="s">
        <v>43</v>
      </c>
      <c r="D69" s="15"/>
      <c r="E69" s="13">
        <f t="shared" si="4"/>
        <v>19764</v>
      </c>
      <c r="F69" s="13">
        <f t="shared" si="4"/>
        <v>21383</v>
      </c>
      <c r="G69" s="13">
        <f t="shared" si="4"/>
        <v>22070</v>
      </c>
      <c r="H69" s="13">
        <f t="shared" si="4"/>
        <v>23758</v>
      </c>
      <c r="I69" s="13">
        <f t="shared" si="4"/>
        <v>22564</v>
      </c>
      <c r="J69" s="13">
        <f t="shared" si="4"/>
        <v>22269</v>
      </c>
      <c r="K69" s="13">
        <f t="shared" si="4"/>
        <v>19738</v>
      </c>
      <c r="L69" s="13">
        <f t="shared" si="4"/>
        <v>20883</v>
      </c>
      <c r="M69" s="13">
        <f t="shared" si="4"/>
        <v>21133</v>
      </c>
      <c r="N69" s="13">
        <f t="shared" si="4"/>
        <v>20203</v>
      </c>
      <c r="O69" s="15"/>
      <c r="P69" s="8" t="s">
        <v>49</v>
      </c>
      <c r="R69" s="51"/>
      <c r="S69" s="55" t="s">
        <v>43</v>
      </c>
      <c r="T69" s="56"/>
      <c r="U69" s="85">
        <f t="shared" ref="U69:AD69" si="10">U57-ROUND(AVERAGE($U$53:$Y$53),0)</f>
        <v>50568</v>
      </c>
      <c r="V69" s="85">
        <f t="shared" si="10"/>
        <v>54761</v>
      </c>
      <c r="W69" s="85">
        <f t="shared" si="10"/>
        <v>60471</v>
      </c>
      <c r="X69" s="85">
        <f t="shared" si="10"/>
        <v>66179</v>
      </c>
      <c r="Y69" s="85">
        <f t="shared" si="10"/>
        <v>61769</v>
      </c>
      <c r="Z69" s="85">
        <f t="shared" si="10"/>
        <v>59434</v>
      </c>
      <c r="AA69" s="85">
        <f t="shared" si="10"/>
        <v>55083</v>
      </c>
      <c r="AB69" s="85">
        <f t="shared" si="10"/>
        <v>54005</v>
      </c>
      <c r="AC69" s="85">
        <f t="shared" si="10"/>
        <v>50915</v>
      </c>
      <c r="AD69" s="85">
        <f t="shared" si="10"/>
        <v>53962</v>
      </c>
      <c r="AE69" s="56"/>
      <c r="AF69" s="57" t="s">
        <v>49</v>
      </c>
      <c r="AH69" s="84"/>
      <c r="AI69" s="71" t="s">
        <v>43</v>
      </c>
      <c r="AJ69" s="72"/>
      <c r="AK69" s="85">
        <f t="shared" si="6"/>
        <v>192366</v>
      </c>
      <c r="AL69" s="85">
        <f t="shared" si="6"/>
        <v>180000</v>
      </c>
      <c r="AM69" s="85">
        <f t="shared" si="6"/>
        <v>195941</v>
      </c>
      <c r="AN69" s="85">
        <f t="shared" si="6"/>
        <v>191703</v>
      </c>
      <c r="AO69" s="85">
        <f t="shared" si="6"/>
        <v>230094</v>
      </c>
      <c r="AP69" s="85">
        <f t="shared" si="6"/>
        <v>251060</v>
      </c>
      <c r="AQ69" s="85">
        <f t="shared" si="6"/>
        <v>219171</v>
      </c>
      <c r="AR69" s="85">
        <f t="shared" si="6"/>
        <v>227436</v>
      </c>
      <c r="AS69" s="85">
        <f t="shared" si="6"/>
        <v>212654</v>
      </c>
      <c r="AT69" s="85">
        <f t="shared" si="6"/>
        <v>180398</v>
      </c>
      <c r="AU69" s="72"/>
      <c r="AV69" s="73" t="s">
        <v>49</v>
      </c>
      <c r="AX69" s="84"/>
      <c r="AY69" s="71" t="s">
        <v>43</v>
      </c>
      <c r="AZ69" s="72"/>
      <c r="BA69" s="85">
        <f t="shared" si="7"/>
        <v>365549</v>
      </c>
      <c r="BB69" s="85">
        <f t="shared" si="7"/>
        <v>393592</v>
      </c>
      <c r="BC69" s="85">
        <f t="shared" si="7"/>
        <v>432035</v>
      </c>
      <c r="BD69" s="85">
        <f t="shared" si="7"/>
        <v>411620</v>
      </c>
      <c r="BE69" s="85">
        <f t="shared" si="7"/>
        <v>395280</v>
      </c>
      <c r="BF69" s="85">
        <f t="shared" si="7"/>
        <v>437018</v>
      </c>
      <c r="BG69" s="85">
        <f t="shared" si="7"/>
        <v>370757</v>
      </c>
      <c r="BH69" s="85">
        <f t="shared" si="7"/>
        <v>354422</v>
      </c>
      <c r="BI69" s="85">
        <f t="shared" si="7"/>
        <v>363333</v>
      </c>
      <c r="BJ69" s="85">
        <f t="shared" si="7"/>
        <v>417591</v>
      </c>
      <c r="BK69" s="72"/>
      <c r="BL69" s="73" t="s">
        <v>49</v>
      </c>
    </row>
    <row r="70" spans="2:64" ht="27" x14ac:dyDescent="0.2">
      <c r="C70" s="6" t="s">
        <v>44</v>
      </c>
      <c r="D70" s="15"/>
      <c r="E70" s="13">
        <f t="shared" si="4"/>
        <v>20113</v>
      </c>
      <c r="F70" s="13">
        <f t="shared" si="4"/>
        <v>19761</v>
      </c>
      <c r="G70" s="13">
        <f t="shared" si="4"/>
        <v>18072</v>
      </c>
      <c r="H70" s="13">
        <f t="shared" si="4"/>
        <v>19559</v>
      </c>
      <c r="I70" s="13">
        <f t="shared" si="4"/>
        <v>19708</v>
      </c>
      <c r="J70" s="13">
        <f t="shared" si="4"/>
        <v>20482</v>
      </c>
      <c r="K70" s="13">
        <f t="shared" si="4"/>
        <v>18718</v>
      </c>
      <c r="L70" s="13">
        <f t="shared" si="4"/>
        <v>20518</v>
      </c>
      <c r="M70" s="13">
        <f t="shared" si="4"/>
        <v>20437</v>
      </c>
      <c r="N70" s="13">
        <f t="shared" si="4"/>
        <v>23264</v>
      </c>
      <c r="O70" s="15"/>
      <c r="P70" s="8" t="s">
        <v>49</v>
      </c>
      <c r="R70" s="51"/>
      <c r="S70" s="55" t="s">
        <v>44</v>
      </c>
      <c r="T70" s="56"/>
      <c r="U70" s="85">
        <f t="shared" ref="U70:AD70" si="11">U58-ROUND(AVERAGE($U$53:$Y$53),0)</f>
        <v>39380</v>
      </c>
      <c r="V70" s="85">
        <f t="shared" si="11"/>
        <v>46459</v>
      </c>
      <c r="W70" s="85">
        <f t="shared" si="11"/>
        <v>47453</v>
      </c>
      <c r="X70" s="85">
        <f t="shared" si="11"/>
        <v>44406</v>
      </c>
      <c r="Y70" s="85">
        <f t="shared" si="11"/>
        <v>49153</v>
      </c>
      <c r="Z70" s="85">
        <f t="shared" si="11"/>
        <v>55993</v>
      </c>
      <c r="AA70" s="85">
        <f t="shared" si="11"/>
        <v>41801</v>
      </c>
      <c r="AB70" s="85">
        <f t="shared" si="11"/>
        <v>59093</v>
      </c>
      <c r="AC70" s="85">
        <f t="shared" si="11"/>
        <v>54551</v>
      </c>
      <c r="AD70" s="85">
        <f t="shared" si="11"/>
        <v>49441</v>
      </c>
      <c r="AE70" s="56"/>
      <c r="AF70" s="57" t="s">
        <v>49</v>
      </c>
      <c r="AH70" s="84"/>
      <c r="AI70" s="71" t="s">
        <v>44</v>
      </c>
      <c r="AJ70" s="72"/>
      <c r="AK70" s="85">
        <f t="shared" si="6"/>
        <v>84322</v>
      </c>
      <c r="AL70" s="85">
        <f t="shared" si="6"/>
        <v>78578</v>
      </c>
      <c r="AM70" s="85">
        <f t="shared" si="6"/>
        <v>99702</v>
      </c>
      <c r="AN70" s="85">
        <f t="shared" si="6"/>
        <v>101259</v>
      </c>
      <c r="AO70" s="85">
        <f t="shared" si="6"/>
        <v>117953</v>
      </c>
      <c r="AP70" s="85">
        <f t="shared" si="6"/>
        <v>143204</v>
      </c>
      <c r="AQ70" s="85">
        <f t="shared" si="6"/>
        <v>102251</v>
      </c>
      <c r="AR70" s="85">
        <f t="shared" si="6"/>
        <v>151335</v>
      </c>
      <c r="AS70" s="85">
        <f t="shared" si="6"/>
        <v>112192</v>
      </c>
      <c r="AT70" s="85">
        <f t="shared" si="6"/>
        <v>90960</v>
      </c>
      <c r="AU70" s="72"/>
      <c r="AV70" s="73" t="s">
        <v>49</v>
      </c>
      <c r="AX70" s="84"/>
      <c r="AY70" s="71" t="s">
        <v>44</v>
      </c>
      <c r="AZ70" s="72"/>
      <c r="BA70" s="85">
        <f t="shared" si="7"/>
        <v>137300</v>
      </c>
      <c r="BB70" s="85">
        <f t="shared" si="7"/>
        <v>133974</v>
      </c>
      <c r="BC70" s="85">
        <f t="shared" si="7"/>
        <v>175080</v>
      </c>
      <c r="BD70" s="85">
        <f t="shared" si="7"/>
        <v>171860</v>
      </c>
      <c r="BE70" s="85">
        <f t="shared" si="7"/>
        <v>205727</v>
      </c>
      <c r="BF70" s="85">
        <f t="shared" si="7"/>
        <v>234929</v>
      </c>
      <c r="BG70" s="85">
        <f t="shared" si="7"/>
        <v>153966</v>
      </c>
      <c r="BH70" s="85">
        <f t="shared" si="7"/>
        <v>223662</v>
      </c>
      <c r="BI70" s="85">
        <f t="shared" si="7"/>
        <v>139619</v>
      </c>
      <c r="BJ70" s="85">
        <f t="shared" si="7"/>
        <v>133911</v>
      </c>
      <c r="BK70" s="72"/>
      <c r="BL70" s="73" t="s">
        <v>49</v>
      </c>
    </row>
    <row r="71" spans="2:64" ht="27" x14ac:dyDescent="0.2">
      <c r="C71" s="6" t="s">
        <v>45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8" t="s">
        <v>49</v>
      </c>
      <c r="R71" s="51"/>
      <c r="S71" s="55" t="s">
        <v>45</v>
      </c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7" t="s">
        <v>49</v>
      </c>
      <c r="AH71" s="84"/>
      <c r="AI71" s="71" t="s">
        <v>45</v>
      </c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3" t="s">
        <v>49</v>
      </c>
      <c r="AX71" s="84"/>
      <c r="AY71" s="71" t="s">
        <v>45</v>
      </c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3" t="s">
        <v>49</v>
      </c>
    </row>
    <row r="72" spans="2:64" x14ac:dyDescent="0.2"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</row>
    <row r="73" spans="2:64" x14ac:dyDescent="0.2"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</row>
    <row r="74" spans="2:64" x14ac:dyDescent="0.2">
      <c r="C74">
        <v>0</v>
      </c>
      <c r="D74">
        <v>8</v>
      </c>
      <c r="E74">
        <v>16</v>
      </c>
      <c r="F74">
        <v>32</v>
      </c>
      <c r="G74">
        <v>64</v>
      </c>
      <c r="H74" t="s">
        <v>64</v>
      </c>
      <c r="R74" s="51"/>
      <c r="S74" s="51">
        <v>0</v>
      </c>
      <c r="T74" s="51">
        <v>8</v>
      </c>
      <c r="U74" s="51">
        <v>16</v>
      </c>
      <c r="V74" s="51">
        <v>32</v>
      </c>
      <c r="W74" s="51">
        <v>64</v>
      </c>
      <c r="X74" s="51" t="s">
        <v>64</v>
      </c>
      <c r="Y74" s="51"/>
      <c r="Z74" s="51"/>
      <c r="AA74" s="51"/>
      <c r="AB74" s="51"/>
      <c r="AC74" s="51"/>
      <c r="AD74" s="51"/>
      <c r="AE74" s="51"/>
      <c r="AF74" s="51"/>
      <c r="AH74" s="84"/>
      <c r="AI74" s="84">
        <v>0</v>
      </c>
      <c r="AJ74" s="84">
        <v>8</v>
      </c>
      <c r="AK74" s="84">
        <v>16</v>
      </c>
      <c r="AL74" s="84">
        <v>32</v>
      </c>
      <c r="AM74" s="84">
        <v>64</v>
      </c>
      <c r="AN74" s="84" t="s">
        <v>64</v>
      </c>
      <c r="AO74" s="84"/>
      <c r="AP74" s="84"/>
      <c r="AQ74" s="84"/>
      <c r="AR74" s="84"/>
      <c r="AS74" s="84"/>
      <c r="AT74" s="84"/>
      <c r="AU74" s="84"/>
      <c r="AV74" s="84"/>
      <c r="AX74" s="84"/>
      <c r="AY74" s="84">
        <v>0</v>
      </c>
      <c r="AZ74" s="84">
        <v>8</v>
      </c>
      <c r="BA74" s="84">
        <v>16</v>
      </c>
      <c r="BB74" s="84">
        <v>32</v>
      </c>
      <c r="BC74" s="84">
        <v>64</v>
      </c>
      <c r="BD74" s="84" t="s">
        <v>64</v>
      </c>
      <c r="BE74" s="84"/>
      <c r="BF74" s="84"/>
      <c r="BG74" s="84"/>
      <c r="BH74" s="84"/>
      <c r="BI74" s="84"/>
      <c r="BJ74" s="84"/>
      <c r="BK74" s="84"/>
      <c r="BL74" s="84"/>
    </row>
    <row r="75" spans="2:64" x14ac:dyDescent="0.2">
      <c r="B75" t="s">
        <v>57</v>
      </c>
      <c r="C75">
        <f xml:space="preserve"> ROUND(AVERAGE(E66:N66),0)</f>
        <v>18115</v>
      </c>
      <c r="D75">
        <f xml:space="preserve"> ROUND(AVERAGE(E67:N67),0)</f>
        <v>21490</v>
      </c>
      <c r="E75">
        <f xml:space="preserve"> ROUND(AVERAGE(E68:N68),0)</f>
        <v>21395</v>
      </c>
      <c r="F75">
        <f xml:space="preserve"> ROUND(AVERAGE(E69:N69),0)</f>
        <v>21377</v>
      </c>
      <c r="G75">
        <f xml:space="preserve"> ROUND(AVERAGE(E70:N70),0)</f>
        <v>20063</v>
      </c>
      <c r="H75">
        <f xml:space="preserve"> ROUND(AVERAGE(J65:N65),0)</f>
        <v>762126</v>
      </c>
      <c r="R75" s="51" t="s">
        <v>57</v>
      </c>
      <c r="S75" s="51">
        <f xml:space="preserve"> ROUND(AVERAGE(U66:AD66),0)</f>
        <v>72672</v>
      </c>
      <c r="T75" s="51">
        <f xml:space="preserve"> ROUND(AVERAGE(U67:AD67),0)</f>
        <v>79769</v>
      </c>
      <c r="U75" s="51">
        <f xml:space="preserve"> ROUND(AVERAGE(U68:AD68),0)</f>
        <v>67357</v>
      </c>
      <c r="V75" s="51">
        <f xml:space="preserve"> ROUND(AVERAGE(U69:AD69),0)</f>
        <v>56715</v>
      </c>
      <c r="W75" s="51">
        <f xml:space="preserve"> ROUND(AVERAGE(U70:AD70),0)</f>
        <v>48773</v>
      </c>
      <c r="X75" s="51">
        <f xml:space="preserve"> ROUND(AVERAGE(Z65:AD65),0)</f>
        <v>779571</v>
      </c>
      <c r="Y75" s="51"/>
      <c r="Z75" s="51"/>
      <c r="AA75" s="51"/>
      <c r="AB75" s="51"/>
      <c r="AC75" s="51"/>
      <c r="AD75" s="51"/>
      <c r="AE75" s="51"/>
      <c r="AF75" s="51"/>
      <c r="AH75" s="84" t="s">
        <v>57</v>
      </c>
      <c r="AI75" s="84">
        <f xml:space="preserve"> ROUND(AVERAGE(AK66:AT66),0)</f>
        <v>422205</v>
      </c>
      <c r="AJ75" s="84">
        <f xml:space="preserve"> ROUND(AVERAGE(AK67:AT67),0)</f>
        <v>339321</v>
      </c>
      <c r="AK75" s="84">
        <f xml:space="preserve"> ROUND(AVERAGE(AK68:AT68),0)</f>
        <v>311712</v>
      </c>
      <c r="AL75" s="84">
        <f xml:space="preserve"> ROUND(AVERAGE(AK69:AT69),0)</f>
        <v>208082</v>
      </c>
      <c r="AM75" s="84">
        <f xml:space="preserve"> ROUND(AVERAGE(AK70:AT70),0)</f>
        <v>108176</v>
      </c>
      <c r="AN75" s="84">
        <f xml:space="preserve"> ROUND(AVERAGE(AP65:AT65),0)</f>
        <v>789573</v>
      </c>
      <c r="AO75" s="84"/>
      <c r="AP75" s="84"/>
      <c r="AQ75" s="84"/>
      <c r="AR75" s="84"/>
      <c r="AS75" s="84"/>
      <c r="AT75" s="84"/>
      <c r="AU75" s="84"/>
      <c r="AV75" s="84"/>
      <c r="AX75" s="84" t="s">
        <v>57</v>
      </c>
      <c r="AY75" s="84">
        <f xml:space="preserve"> ROUND(AVERAGE(BA66:BJ66),0)</f>
        <v>632970</v>
      </c>
      <c r="AZ75" s="84">
        <f xml:space="preserve"> ROUND(AVERAGE(BA67:BJ67),0)</f>
        <v>564592</v>
      </c>
      <c r="BA75" s="84">
        <f xml:space="preserve"> ROUND(AVERAGE(BA68:BJ68),0)</f>
        <v>478473</v>
      </c>
      <c r="BB75" s="84">
        <f xml:space="preserve"> ROUND(AVERAGE(BA69:BJ69),0)</f>
        <v>394120</v>
      </c>
      <c r="BC75" s="84">
        <f xml:space="preserve"> ROUND(AVERAGE(BA70:BJ70),0)</f>
        <v>171003</v>
      </c>
      <c r="BD75" s="84">
        <f xml:space="preserve"> ROUND(AVERAGE(BF65:BJ65),0)</f>
        <v>784689</v>
      </c>
      <c r="BE75" s="84"/>
      <c r="BF75" s="84"/>
      <c r="BG75" s="84"/>
      <c r="BH75" s="84"/>
      <c r="BI75" s="84"/>
      <c r="BJ75" s="84"/>
      <c r="BK75" s="84"/>
      <c r="BL75" s="84"/>
    </row>
    <row r="76" spans="2:64" x14ac:dyDescent="0.2">
      <c r="B76" t="s">
        <v>56</v>
      </c>
      <c r="C76">
        <f>ROUND(_xlfn.STDEV.P(E66:N66),0)</f>
        <v>1139</v>
      </c>
      <c r="D76">
        <f>ROUND(_xlfn.STDEV.P(E67:N67),0)</f>
        <v>2277</v>
      </c>
      <c r="E76">
        <f>ROUND(_xlfn.STDEV.P(E68:N68),0)</f>
        <v>952</v>
      </c>
      <c r="F76">
        <f>ROUND(_xlfn.STDEV.P(E69:N69),0)</f>
        <v>1238</v>
      </c>
      <c r="G76">
        <f>ROUND(_xlfn.STDEV.P(E70:N70),0)</f>
        <v>1304</v>
      </c>
      <c r="H76">
        <f>ROUND(_xlfn.STDEV.P(J65:N65),0)</f>
        <v>3851</v>
      </c>
      <c r="R76" s="51" t="s">
        <v>56</v>
      </c>
      <c r="S76" s="51">
        <f>ROUND(_xlfn.STDEV.P(U66:AD66),0)</f>
        <v>8554</v>
      </c>
      <c r="T76" s="51">
        <f>ROUND(_xlfn.STDEV.P(U67:AD67),0)</f>
        <v>8888</v>
      </c>
      <c r="U76" s="51">
        <f>ROUND(_xlfn.STDEV.P(U68:AD68),0)</f>
        <v>5902</v>
      </c>
      <c r="V76" s="51">
        <f>ROUND(_xlfn.STDEV.P(U69:AD69),0)</f>
        <v>4790</v>
      </c>
      <c r="W76" s="51">
        <f>ROUND(_xlfn.STDEV.P(U70:AD70),0)</f>
        <v>5963</v>
      </c>
      <c r="X76" s="51">
        <f>ROUND(_xlfn.STDEV.P(Z65:AD65),0)</f>
        <v>4243</v>
      </c>
      <c r="Y76" s="51"/>
      <c r="Z76" s="51"/>
      <c r="AA76" s="51"/>
      <c r="AB76" s="51"/>
      <c r="AC76" s="51"/>
      <c r="AD76" s="51"/>
      <c r="AE76" s="51"/>
      <c r="AF76" s="51"/>
      <c r="AH76" s="84" t="s">
        <v>56</v>
      </c>
      <c r="AI76" s="84">
        <f>ROUND(_xlfn.STDEV.P(AK66:AT66),0)</f>
        <v>53246</v>
      </c>
      <c r="AJ76" s="84">
        <f>ROUND(_xlfn.STDEV.P(AK67:AT67),0)</f>
        <v>25566</v>
      </c>
      <c r="AK76" s="84">
        <f>ROUND(_xlfn.STDEV.P(AK68:AT68),0)</f>
        <v>40467</v>
      </c>
      <c r="AL76" s="84">
        <f>ROUND(_xlfn.STDEV.P(AK69:AT69),0)</f>
        <v>22512</v>
      </c>
      <c r="AM76" s="84">
        <f>ROUND(_xlfn.STDEV.P(AK70:AT70),0)</f>
        <v>22578</v>
      </c>
      <c r="AN76" s="84">
        <f>ROUND(_xlfn.STDEV.P(AP65:AT65),0)</f>
        <v>6725</v>
      </c>
      <c r="AO76" s="84"/>
      <c r="AP76" s="84"/>
      <c r="AQ76" s="84"/>
      <c r="AR76" s="84"/>
      <c r="AS76" s="84"/>
      <c r="AT76" s="84"/>
      <c r="AU76" s="84"/>
      <c r="AV76" s="84"/>
      <c r="AX76" s="84" t="s">
        <v>56</v>
      </c>
      <c r="AY76" s="84">
        <f>ROUND(_xlfn.STDEV.P(BA66:BJ66),0)</f>
        <v>33884</v>
      </c>
      <c r="AZ76" s="84">
        <f>ROUND(_xlfn.STDEV.P(BA67:BJ67),0)</f>
        <v>20431</v>
      </c>
      <c r="BA76" s="84">
        <f>ROUND(_xlfn.STDEV.P(BA68:BJ68),0)</f>
        <v>46247</v>
      </c>
      <c r="BB76" s="84">
        <f>ROUND(_xlfn.STDEV.P(BA69:BJ69),0)</f>
        <v>28324</v>
      </c>
      <c r="BC76" s="84">
        <f>ROUND(_xlfn.STDEV.P(BA70:BJ70),0)</f>
        <v>36388</v>
      </c>
      <c r="BD76" s="84">
        <f>ROUND(_xlfn.STDEV.P(BF65:BJ65),0)</f>
        <v>14638</v>
      </c>
      <c r="BE76" s="84"/>
      <c r="BF76" s="84"/>
      <c r="BG76" s="84"/>
      <c r="BH76" s="84"/>
      <c r="BI76" s="84"/>
      <c r="BJ76" s="84"/>
      <c r="BK76" s="84"/>
      <c r="BL76" s="84"/>
    </row>
    <row r="77" spans="2:64" x14ac:dyDescent="0.2"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</row>
    <row r="78" spans="2:64" x14ac:dyDescent="0.2">
      <c r="B78" t="s">
        <v>73</v>
      </c>
      <c r="C78">
        <v>0</v>
      </c>
      <c r="D78">
        <v>8</v>
      </c>
      <c r="E78">
        <v>16</v>
      </c>
      <c r="F78">
        <v>32</v>
      </c>
      <c r="G78">
        <v>64</v>
      </c>
      <c r="R78" s="51" t="s">
        <v>73</v>
      </c>
      <c r="S78" s="51">
        <v>0</v>
      </c>
      <c r="T78" s="51">
        <v>8</v>
      </c>
      <c r="U78" s="51">
        <v>16</v>
      </c>
      <c r="V78" s="51">
        <v>32</v>
      </c>
      <c r="W78" s="51">
        <v>64</v>
      </c>
      <c r="X78" s="51"/>
      <c r="Y78" s="51"/>
      <c r="Z78" s="51"/>
      <c r="AA78" s="51"/>
      <c r="AB78" s="51"/>
      <c r="AC78" s="51"/>
      <c r="AD78" s="51"/>
      <c r="AE78" s="51"/>
      <c r="AF78" s="51"/>
      <c r="AH78" s="84" t="s">
        <v>73</v>
      </c>
      <c r="AI78" s="84">
        <v>0</v>
      </c>
      <c r="AJ78" s="84">
        <v>8</v>
      </c>
      <c r="AK78" s="84">
        <v>16</v>
      </c>
      <c r="AL78" s="84">
        <v>32</v>
      </c>
      <c r="AM78" s="84">
        <v>64</v>
      </c>
      <c r="AN78" s="84"/>
      <c r="AO78" s="84"/>
      <c r="AP78" s="84"/>
      <c r="AQ78" s="84"/>
      <c r="AR78" s="84"/>
      <c r="AS78" s="84"/>
      <c r="AT78" s="84"/>
      <c r="AU78" s="84"/>
      <c r="AV78" s="84"/>
      <c r="AX78" s="84" t="s">
        <v>73</v>
      </c>
      <c r="AY78" s="84">
        <v>0</v>
      </c>
      <c r="AZ78" s="84">
        <v>8</v>
      </c>
      <c r="BA78" s="84">
        <v>16</v>
      </c>
      <c r="BB78" s="84">
        <v>32</v>
      </c>
      <c r="BC78" s="84">
        <v>64</v>
      </c>
      <c r="BD78" s="84"/>
      <c r="BE78" s="84"/>
      <c r="BF78" s="84"/>
      <c r="BG78" s="84"/>
      <c r="BH78" s="84"/>
      <c r="BI78" s="84"/>
      <c r="BJ78" s="84"/>
      <c r="BK78" s="84"/>
      <c r="BL78" s="84"/>
    </row>
    <row r="79" spans="2:64" x14ac:dyDescent="0.2">
      <c r="B79" t="s">
        <v>57</v>
      </c>
      <c r="C79">
        <f t="shared" ref="C79:G80" si="12">C75/$H$75</f>
        <v>2.3769035566297437E-2</v>
      </c>
      <c r="D79">
        <f t="shared" si="12"/>
        <v>2.8197437169181997E-2</v>
      </c>
      <c r="E79">
        <f t="shared" si="12"/>
        <v>2.8072785864804509E-2</v>
      </c>
      <c r="F79">
        <f t="shared" si="12"/>
        <v>2.8049167722922458E-2</v>
      </c>
      <c r="G79">
        <f t="shared" si="12"/>
        <v>2.6325043365532732E-2</v>
      </c>
      <c r="R79" s="51" t="s">
        <v>57</v>
      </c>
      <c r="S79" s="51">
        <f>S75/$X$75</f>
        <v>9.3220502045355716E-2</v>
      </c>
      <c r="T79" s="84">
        <f t="shared" ref="T79:W79" si="13">T75/$X$75</f>
        <v>0.10232422704282226</v>
      </c>
      <c r="U79" s="84">
        <f t="shared" si="13"/>
        <v>8.6402649662442543E-2</v>
      </c>
      <c r="V79" s="84">
        <f t="shared" si="13"/>
        <v>7.275155181503673E-2</v>
      </c>
      <c r="W79" s="84">
        <f t="shared" si="13"/>
        <v>6.2563897323014844E-2</v>
      </c>
      <c r="X79" s="51"/>
      <c r="Y79" s="51"/>
      <c r="Z79" s="51"/>
      <c r="AA79" s="51"/>
      <c r="AB79" s="51"/>
      <c r="AC79" s="51"/>
      <c r="AD79" s="51"/>
      <c r="AE79" s="51"/>
      <c r="AF79" s="51"/>
      <c r="AH79" s="84" t="s">
        <v>57</v>
      </c>
      <c r="AI79" s="84">
        <f>AI75/$AN$75</f>
        <v>0.53472573150297698</v>
      </c>
      <c r="AJ79" s="84">
        <f t="shared" ref="AJ79:AM79" si="14">AJ75/$AN$75</f>
        <v>0.42975253713082895</v>
      </c>
      <c r="AK79" s="84">
        <f t="shared" si="14"/>
        <v>0.39478553597957378</v>
      </c>
      <c r="AL79" s="84">
        <f t="shared" si="14"/>
        <v>0.26353738033088769</v>
      </c>
      <c r="AM79" s="84">
        <f t="shared" si="14"/>
        <v>0.13700569801652285</v>
      </c>
      <c r="AN79" s="84"/>
      <c r="AO79" s="84"/>
      <c r="AP79" s="84"/>
      <c r="AQ79" s="84"/>
      <c r="AR79" s="84"/>
      <c r="AS79" s="84"/>
      <c r="AT79" s="84"/>
      <c r="AU79" s="84"/>
      <c r="AV79" s="84"/>
      <c r="AX79" s="84" t="s">
        <v>57</v>
      </c>
      <c r="AY79" s="84">
        <f>AY75/$BD$75</f>
        <v>0.80665078776432442</v>
      </c>
      <c r="AZ79" s="84">
        <f t="shared" ref="AZ79:BC79" si="15">AZ75/$BD$75</f>
        <v>0.71951053219810646</v>
      </c>
      <c r="BA79" s="84">
        <f t="shared" si="15"/>
        <v>0.60976131945267487</v>
      </c>
      <c r="BB79" s="84">
        <f t="shared" si="15"/>
        <v>0.50226267986425199</v>
      </c>
      <c r="BC79" s="84">
        <f t="shared" si="15"/>
        <v>0.21792455354924054</v>
      </c>
      <c r="BD79" s="84"/>
      <c r="BE79" s="84"/>
      <c r="BF79" s="84"/>
      <c r="BG79" s="84"/>
      <c r="BH79" s="84"/>
      <c r="BI79" s="84"/>
      <c r="BJ79" s="84"/>
      <c r="BK79" s="84"/>
      <c r="BL79" s="84"/>
    </row>
    <row r="80" spans="2:64" x14ac:dyDescent="0.2">
      <c r="B80" t="s">
        <v>56</v>
      </c>
      <c r="C80">
        <f t="shared" si="12"/>
        <v>1.4945035335364493E-3</v>
      </c>
      <c r="D80">
        <f t="shared" si="12"/>
        <v>2.9876949480794513E-3</v>
      </c>
      <c r="E80">
        <f t="shared" si="12"/>
        <v>1.2491372817618083E-3</v>
      </c>
      <c r="F80">
        <f t="shared" si="12"/>
        <v>1.6244033138877298E-3</v>
      </c>
      <c r="G80">
        <f t="shared" si="12"/>
        <v>1.7110031674552502E-3</v>
      </c>
      <c r="R80" s="51" t="s">
        <v>56</v>
      </c>
      <c r="S80" s="84">
        <f>S76/$X$75</f>
        <v>1.0972701652575583E-2</v>
      </c>
      <c r="T80" s="84">
        <f t="shared" ref="T80:W80" si="16">T76/$X$75</f>
        <v>1.1401142423204558E-2</v>
      </c>
      <c r="U80" s="84">
        <f t="shared" si="16"/>
        <v>7.570830623509597E-3</v>
      </c>
      <c r="V80" s="84">
        <f t="shared" si="16"/>
        <v>6.1444050638107366E-3</v>
      </c>
      <c r="W80" s="84">
        <f t="shared" si="16"/>
        <v>7.6490787882053076E-3</v>
      </c>
      <c r="X80" s="51"/>
      <c r="Y80" s="51"/>
      <c r="Z80" s="51"/>
      <c r="AA80" s="51"/>
      <c r="AB80" s="51"/>
      <c r="AC80" s="51"/>
      <c r="AD80" s="51"/>
      <c r="AE80" s="51"/>
      <c r="AF80" s="51"/>
      <c r="AH80" s="84" t="s">
        <v>56</v>
      </c>
      <c r="AI80" s="84">
        <f>AI76/$AN$75</f>
        <v>6.7436449827944972E-2</v>
      </c>
      <c r="AJ80" s="84">
        <f t="shared" ref="AJ80:AM80" si="17">AJ76/$AN$75</f>
        <v>3.2379526655546734E-2</v>
      </c>
      <c r="AK80" s="84">
        <f t="shared" si="17"/>
        <v>5.1251752529531784E-2</v>
      </c>
      <c r="AL80" s="84">
        <f t="shared" si="17"/>
        <v>2.8511613239054528E-2</v>
      </c>
      <c r="AM80" s="84">
        <f t="shared" si="17"/>
        <v>2.8595202723497384E-2</v>
      </c>
      <c r="AN80" s="84"/>
      <c r="AO80" s="84"/>
      <c r="AP80" s="84"/>
      <c r="AQ80" s="84"/>
      <c r="AR80" s="84"/>
      <c r="AS80" s="84"/>
      <c r="AT80" s="84"/>
      <c r="AU80" s="84"/>
      <c r="AV80" s="84"/>
      <c r="AX80" s="84" t="s">
        <v>56</v>
      </c>
      <c r="AY80" s="84">
        <f>AY76/$BD$75</f>
        <v>4.3181438761088785E-2</v>
      </c>
      <c r="AZ80" s="84">
        <f t="shared" ref="AZ80:BC80" si="18">AZ76/$BD$75</f>
        <v>2.603706691440813E-2</v>
      </c>
      <c r="BA80" s="84">
        <f t="shared" si="18"/>
        <v>5.8936725250385819E-2</v>
      </c>
      <c r="BB80" s="84">
        <f t="shared" si="18"/>
        <v>3.6095829048196165E-2</v>
      </c>
      <c r="BC80" s="84">
        <f t="shared" si="18"/>
        <v>4.6372511912362732E-2</v>
      </c>
      <c r="BD80" s="84"/>
      <c r="BE80" s="84"/>
      <c r="BF80" s="84"/>
      <c r="BG80" s="84"/>
      <c r="BH80" s="84"/>
      <c r="BI80" s="84"/>
      <c r="BJ80" s="84"/>
      <c r="BK80" s="84"/>
      <c r="BL80" s="84"/>
    </row>
    <row r="81" spans="1:64" x14ac:dyDescent="0.2"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</row>
    <row r="82" spans="1:64" x14ac:dyDescent="0.2">
      <c r="B82" t="s">
        <v>100</v>
      </c>
      <c r="C82">
        <v>0</v>
      </c>
      <c r="D82">
        <v>8</v>
      </c>
      <c r="E82">
        <v>16</v>
      </c>
      <c r="F82">
        <v>32</v>
      </c>
      <c r="G82">
        <v>64</v>
      </c>
      <c r="R82" s="51" t="s">
        <v>100</v>
      </c>
      <c r="S82" s="51">
        <v>0</v>
      </c>
      <c r="T82" s="51">
        <v>8</v>
      </c>
      <c r="U82" s="51">
        <v>16</v>
      </c>
      <c r="V82" s="51">
        <v>32</v>
      </c>
      <c r="W82" s="51">
        <v>64</v>
      </c>
      <c r="X82" s="51"/>
      <c r="Y82" s="51"/>
      <c r="Z82" s="51"/>
      <c r="AA82" s="51"/>
      <c r="AB82" s="51"/>
      <c r="AC82" s="51"/>
      <c r="AD82" s="51"/>
      <c r="AE82" s="51"/>
      <c r="AF82" s="51"/>
      <c r="AH82" s="84" t="s">
        <v>100</v>
      </c>
      <c r="AI82" s="84">
        <v>0</v>
      </c>
      <c r="AJ82" s="84">
        <v>8</v>
      </c>
      <c r="AK82" s="84">
        <v>16</v>
      </c>
      <c r="AL82" s="84">
        <v>32</v>
      </c>
      <c r="AM82" s="84">
        <v>64</v>
      </c>
      <c r="AN82" s="84"/>
      <c r="AO82" s="84"/>
      <c r="AP82" s="84"/>
      <c r="AQ82" s="84"/>
      <c r="AR82" s="84"/>
      <c r="AS82" s="84"/>
      <c r="AT82" s="84"/>
      <c r="AU82" s="84"/>
      <c r="AV82" s="84"/>
      <c r="AX82" s="84" t="s">
        <v>100</v>
      </c>
      <c r="AY82" s="84">
        <v>0</v>
      </c>
      <c r="AZ82" s="84">
        <v>8</v>
      </c>
      <c r="BA82" s="84">
        <v>16</v>
      </c>
      <c r="BB82" s="84">
        <v>32</v>
      </c>
      <c r="BC82" s="84">
        <v>64</v>
      </c>
      <c r="BD82" s="84"/>
      <c r="BE82" s="84"/>
      <c r="BF82" s="84"/>
      <c r="BG82" s="84"/>
      <c r="BH82" s="84"/>
      <c r="BI82" s="84"/>
      <c r="BJ82" s="84"/>
      <c r="BK82" s="84"/>
      <c r="BL82" s="84"/>
    </row>
    <row r="83" spans="1:64" x14ac:dyDescent="0.2">
      <c r="B83" t="s">
        <v>57</v>
      </c>
      <c r="C83">
        <f xml:space="preserve"> C79 *'Calibration Plates'!$AQ$103</f>
        <v>1357.4549152654163</v>
      </c>
      <c r="D83">
        <f xml:space="preserve"> D79 *'Calibration Plates'!$AQ$103</f>
        <v>1610.3619171434607</v>
      </c>
      <c r="E83">
        <f xml:space="preserve"> E79 *'Calibration Plates'!$AQ$103</f>
        <v>1603.2430533868937</v>
      </c>
      <c r="F83">
        <f xml:space="preserve"> F79 *'Calibration Plates'!$AQ$103</f>
        <v>1601.8942160435442</v>
      </c>
      <c r="G83">
        <f xml:space="preserve"> G79 *'Calibration Plates'!$AQ$103</f>
        <v>1503.4290899790253</v>
      </c>
      <c r="R83" s="51" t="s">
        <v>57</v>
      </c>
      <c r="S83" s="51">
        <f xml:space="preserve"> S79 *'Calibration Plates'!$AQ$103</f>
        <v>5323.8436348004407</v>
      </c>
      <c r="T83" s="51">
        <f xml:space="preserve"> T79 *'Calibration Plates'!$AQ$103</f>
        <v>5843.7593970772286</v>
      </c>
      <c r="U83" s="51">
        <f xml:space="preserve"> U79 *'Calibration Plates'!$AQ$103</f>
        <v>4934.4745666729041</v>
      </c>
      <c r="V83" s="51">
        <f xml:space="preserve"> V79 *'Calibration Plates'!$AQ$103</f>
        <v>4154.8573281003273</v>
      </c>
      <c r="W83" s="51">
        <f xml:space="preserve"> W79 *'Calibration Plates'!$AQ$103</f>
        <v>3573.0381109660107</v>
      </c>
      <c r="X83" s="51"/>
      <c r="Y83" s="51"/>
      <c r="Z83" s="51"/>
      <c r="AA83" s="51"/>
      <c r="AB83" s="51"/>
      <c r="AC83" s="51"/>
      <c r="AD83" s="51"/>
      <c r="AE83" s="51"/>
      <c r="AF83" s="51"/>
      <c r="AH83" s="84" t="s">
        <v>57</v>
      </c>
      <c r="AI83" s="84">
        <f xml:space="preserve"> AI79 *'Calibration Plates'!$AQ$103</f>
        <v>30538.305625526955</v>
      </c>
      <c r="AJ83" s="84">
        <f xml:space="preserve"> AJ79 *'Calibration Plates'!$AQ$103</f>
        <v>24543.263114267789</v>
      </c>
      <c r="AK83" s="84">
        <f xml:space="preserve"> AK79 *'Calibration Plates'!$AQ$103</f>
        <v>22546.289890324031</v>
      </c>
      <c r="AL83" s="84">
        <f xml:space="preserve"> AL79 *'Calibration Plates'!$AQ$103</f>
        <v>15050.678488343101</v>
      </c>
      <c r="AM83" s="84">
        <f xml:space="preserve"> AM79 *'Calibration Plates'!$AQ$103</f>
        <v>7824.4259289847432</v>
      </c>
      <c r="AN83" s="84"/>
      <c r="AO83" s="84"/>
      <c r="AP83" s="84"/>
      <c r="AQ83" s="84"/>
      <c r="AR83" s="84"/>
      <c r="AS83" s="84"/>
      <c r="AT83" s="84"/>
      <c r="AU83" s="84"/>
      <c r="AV83" s="84"/>
      <c r="AX83" s="84" t="s">
        <v>57</v>
      </c>
      <c r="AY83" s="84">
        <f xml:space="preserve"> AY79 *'Calibration Plates'!$AQ$103</f>
        <v>46068.006154444571</v>
      </c>
      <c r="AZ83" s="84">
        <f xml:space="preserve"> AZ79 *'Calibration Plates'!$AQ$103</f>
        <v>41091.406750320188</v>
      </c>
      <c r="BA83" s="84">
        <f xml:space="preserve"> BA79 *'Calibration Plates'!$AQ$103</f>
        <v>34823.604766000848</v>
      </c>
      <c r="BB83" s="84">
        <f xml:space="preserve"> BB79 *'Calibration Plates'!$AQ$103</f>
        <v>28684.333515948143</v>
      </c>
      <c r="BC83" s="84">
        <f xml:space="preserve"> BC79 *'Calibration Plates'!$AQ$103</f>
        <v>12445.719791504314</v>
      </c>
      <c r="BD83" s="84"/>
      <c r="BE83" s="84"/>
      <c r="BF83" s="84"/>
      <c r="BG83" s="84"/>
      <c r="BH83" s="84"/>
      <c r="BI83" s="84"/>
      <c r="BJ83" s="84"/>
      <c r="BK83" s="84"/>
      <c r="BL83" s="84"/>
    </row>
    <row r="84" spans="1:64" x14ac:dyDescent="0.2">
      <c r="B84" t="s">
        <v>56</v>
      </c>
      <c r="C84">
        <f xml:space="preserve"> C80 *'Calibration Plates'!$AQ$103</f>
        <v>85.351429670842336</v>
      </c>
      <c r="D84">
        <f xml:space="preserve"> D80 *'Calibration Plates'!$AQ$103</f>
        <v>170.62792393372081</v>
      </c>
      <c r="E84">
        <f xml:space="preserve"> E80 *'Calibration Plates'!$AQ$103</f>
        <v>71.338508381599567</v>
      </c>
      <c r="F84">
        <f xml:space="preserve"> F80 *'Calibration Plates'!$AQ$103</f>
        <v>92.770035059264984</v>
      </c>
      <c r="G84">
        <f xml:space="preserve"> G80 *'Calibration Plates'!$AQ$103</f>
        <v>97.715771984880078</v>
      </c>
      <c r="R84" s="51" t="s">
        <v>56</v>
      </c>
      <c r="S84" s="51">
        <f xml:space="preserve"> S80 *'Calibration Plates'!$AQ$103</f>
        <v>626.65343532698932</v>
      </c>
      <c r="T84" s="51">
        <f xml:space="preserve"> T80 *'Calibration Plates'!$AQ$103</f>
        <v>651.12178316416669</v>
      </c>
      <c r="U84" s="51">
        <f xml:space="preserve"> U80 *'Calibration Plates'!$AQ$103</f>
        <v>432.37182315874344</v>
      </c>
      <c r="V84" s="51">
        <f xml:space="preserve"> V80 *'Calibration Plates'!$AQ$103</f>
        <v>350.90834173676393</v>
      </c>
      <c r="W84" s="51">
        <f xml:space="preserve"> W80 *'Calibration Plates'!$AQ$103</f>
        <v>436.84059327271888</v>
      </c>
      <c r="X84" s="51"/>
      <c r="Y84" s="51"/>
      <c r="Z84" s="51"/>
      <c r="AA84" s="51"/>
      <c r="AB84" s="51"/>
      <c r="AC84" s="51"/>
      <c r="AD84" s="51"/>
      <c r="AE84" s="51"/>
      <c r="AF84" s="51"/>
      <c r="AH84" s="84" t="s">
        <v>56</v>
      </c>
      <c r="AI84" s="84">
        <f xml:space="preserve"> AI80 *'Calibration Plates'!$AQ$103</f>
        <v>3851.3106697855496</v>
      </c>
      <c r="AJ84" s="84">
        <f xml:space="preserve"> AJ80 *'Calibration Plates'!$AQ$103</f>
        <v>1849.2019791859927</v>
      </c>
      <c r="AK84" s="84">
        <f xml:space="preserve"> AK80 *'Calibration Plates'!$AQ$103</f>
        <v>2926.999002257669</v>
      </c>
      <c r="AL84" s="84">
        <f xml:space="preserve"> AL80 *'Calibration Plates'!$AQ$103</f>
        <v>1628.3045824702758</v>
      </c>
      <c r="AM84" s="84">
        <f xml:space="preserve"> AM80 *'Calibration Plates'!$AQ$103</f>
        <v>1633.0783965446822</v>
      </c>
      <c r="AN84" s="84"/>
      <c r="AO84" s="84"/>
      <c r="AP84" s="84"/>
      <c r="AQ84" s="84"/>
      <c r="AR84" s="84"/>
      <c r="AS84" s="84"/>
      <c r="AT84" s="84"/>
      <c r="AU84" s="84"/>
      <c r="AV84" s="84"/>
      <c r="AX84" s="84" t="s">
        <v>56</v>
      </c>
      <c r="AY84" s="84">
        <f xml:space="preserve"> AY80 *'Calibration Plates'!$AQ$103</f>
        <v>2466.1015854419638</v>
      </c>
      <c r="AZ84" s="84">
        <f xml:space="preserve"> AZ80 *'Calibration Plates'!$AQ$103</f>
        <v>1486.9826907143422</v>
      </c>
      <c r="BA84" s="84">
        <f xml:space="preserve"> BA80 *'Calibration Plates'!$AQ$103</f>
        <v>3365.8895060186078</v>
      </c>
      <c r="BB84" s="84">
        <f xml:space="preserve"> BB80 *'Calibration Plates'!$AQ$103</f>
        <v>2061.4408365617455</v>
      </c>
      <c r="BC84" s="84">
        <f xml:space="preserve"> BC80 *'Calibration Plates'!$AQ$103</f>
        <v>2648.3444838585228</v>
      </c>
      <c r="BD84" s="84"/>
      <c r="BE84" s="84"/>
      <c r="BF84" s="84"/>
      <c r="BG84" s="84"/>
      <c r="BH84" s="84"/>
      <c r="BI84" s="84"/>
      <c r="BJ84" s="84"/>
      <c r="BK84" s="84"/>
      <c r="BL84" s="84"/>
    </row>
    <row r="85" spans="1:64" x14ac:dyDescent="0.2"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</row>
    <row r="86" spans="1:64" x14ac:dyDescent="0.2"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</row>
    <row r="87" spans="1:64" x14ac:dyDescent="0.2"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</row>
    <row r="88" spans="1:64" x14ac:dyDescent="0.2"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</row>
    <row r="89" spans="1:64" x14ac:dyDescent="0.2"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</row>
    <row r="90" spans="1:64" x14ac:dyDescent="0.2"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</row>
    <row r="91" spans="1:64" x14ac:dyDescent="0.2"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</row>
    <row r="92" spans="1:64" x14ac:dyDescent="0.2">
      <c r="A92" s="84"/>
      <c r="B92" s="84"/>
      <c r="C92" s="84" t="s">
        <v>124</v>
      </c>
      <c r="D92" s="84" t="s">
        <v>185</v>
      </c>
      <c r="E92" s="84" t="s">
        <v>186</v>
      </c>
      <c r="F92" s="84" t="s">
        <v>187</v>
      </c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 t="s">
        <v>124</v>
      </c>
      <c r="T92" s="84" t="s">
        <v>185</v>
      </c>
      <c r="U92" s="84" t="s">
        <v>186</v>
      </c>
      <c r="V92" s="84" t="s">
        <v>187</v>
      </c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 t="s">
        <v>124</v>
      </c>
      <c r="AJ92" s="84" t="s">
        <v>185</v>
      </c>
      <c r="AK92" s="84" t="s">
        <v>186</v>
      </c>
      <c r="AL92" s="84" t="s">
        <v>187</v>
      </c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X92" s="84"/>
      <c r="AY92" s="84" t="s">
        <v>124</v>
      </c>
      <c r="AZ92" s="84" t="s">
        <v>185</v>
      </c>
      <c r="BA92" s="84" t="s">
        <v>186</v>
      </c>
      <c r="BB92" s="84" t="s">
        <v>187</v>
      </c>
      <c r="BC92" s="84"/>
      <c r="BD92" s="84"/>
      <c r="BE92" s="84"/>
      <c r="BF92" s="84"/>
      <c r="BG92" s="84"/>
      <c r="BH92" s="84"/>
      <c r="BI92" s="84"/>
      <c r="BJ92" s="84"/>
      <c r="BK92" s="84"/>
      <c r="BL92" s="84"/>
    </row>
    <row r="93" spans="1:64" x14ac:dyDescent="0.2">
      <c r="A93" s="84"/>
      <c r="B93" s="84"/>
      <c r="C93" s="84" t="s">
        <v>125</v>
      </c>
      <c r="D93" s="84">
        <f>E53</f>
        <v>18772</v>
      </c>
      <c r="E93" s="84">
        <f>D93-AVERAGE($D$93,$D$94,$D$95,$D$96,$D$97)</f>
        <v>137.59999999999854</v>
      </c>
      <c r="F93" s="84">
        <f>E93/AVERAGE($D$98,$D$99,$D$100,$D$101,$D$102)</f>
        <v>1.7623844651957059E-4</v>
      </c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 t="s">
        <v>125</v>
      </c>
      <c r="T93" s="84">
        <f>U53</f>
        <v>19886</v>
      </c>
      <c r="U93" s="84">
        <f>ROUND(T93-AVERAGE($T$93:$T$97),0)</f>
        <v>-1621</v>
      </c>
      <c r="V93" s="84">
        <f>U93/AVERAGE($T$98:$T$102)</f>
        <v>-2.0235238075502777E-3</v>
      </c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 t="s">
        <v>125</v>
      </c>
      <c r="AJ93" s="84">
        <f>AK53</f>
        <v>22742</v>
      </c>
      <c r="AK93" s="84">
        <f>ROUND(AJ93-AVERAGE($AJ$93:$AJ$97),0)</f>
        <v>-836</v>
      </c>
      <c r="AL93" s="84">
        <f>AK93/AVERAGE($AJ$98:$AJ$102)</f>
        <v>-1.0280995849724307E-3</v>
      </c>
      <c r="AX93" s="84"/>
      <c r="AY93" s="84" t="s">
        <v>125</v>
      </c>
      <c r="AZ93" s="84">
        <f>BA53</f>
        <v>22972</v>
      </c>
      <c r="BA93" s="84">
        <f>ROUND(AZ93-AVERAGE($AZ$93:$AZ$97),0)</f>
        <v>-208</v>
      </c>
      <c r="BB93" s="84">
        <f>BA93/AVERAGE($AZ$98:$AZ$102)</f>
        <v>-2.5746735796652279E-4</v>
      </c>
      <c r="BC93" s="84"/>
      <c r="BD93" s="84"/>
      <c r="BE93" s="84"/>
      <c r="BF93" s="84"/>
      <c r="BG93" s="84"/>
      <c r="BH93" s="84"/>
      <c r="BI93" s="84"/>
      <c r="BJ93" s="84"/>
      <c r="BK93" s="84"/>
      <c r="BL93" s="84"/>
    </row>
    <row r="94" spans="1:64" x14ac:dyDescent="0.2">
      <c r="A94" s="84"/>
      <c r="B94" s="84"/>
      <c r="C94" s="84" t="s">
        <v>126</v>
      </c>
      <c r="D94" s="84">
        <f>F53</f>
        <v>18753</v>
      </c>
      <c r="E94" s="84">
        <f t="shared" ref="E94:E152" si="19">D94-AVERAGE($D$93,$D$94,$D$95,$D$96,$D$97)</f>
        <v>118.59999999999854</v>
      </c>
      <c r="F94" s="84">
        <f t="shared" ref="F94:F152" si="20">E94/AVERAGE($D$98,$D$99,$D$100,$D$101,$D$102)</f>
        <v>1.5190319591003659E-4</v>
      </c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 t="s">
        <v>126</v>
      </c>
      <c r="T94" s="84">
        <f>V53</f>
        <v>21691</v>
      </c>
      <c r="U94" s="84">
        <f t="shared" ref="U94:U152" si="21">ROUND(T94-AVERAGE($T$93:$T$97),0)</f>
        <v>184</v>
      </c>
      <c r="V94" s="84">
        <f t="shared" ref="V94:V152" si="22">U94/AVERAGE($T$98:$T$102)</f>
        <v>2.2969054940731099E-4</v>
      </c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 t="s">
        <v>126</v>
      </c>
      <c r="AJ94" s="84">
        <f>AL53</f>
        <v>23100</v>
      </c>
      <c r="AK94" s="84">
        <f t="shared" ref="AK94:AK152" si="23">ROUND(AJ94-AVERAGE($AJ$93:$AJ$97),0)</f>
        <v>-478</v>
      </c>
      <c r="AL94" s="84">
        <f t="shared" ref="AL94:AL152" si="24">AK94/AVERAGE($AJ$98:$AJ$102)</f>
        <v>-5.8783684403926058E-4</v>
      </c>
      <c r="AX94" s="84"/>
      <c r="AY94" s="84" t="s">
        <v>126</v>
      </c>
      <c r="AZ94" s="84">
        <f>BB53</f>
        <v>22969</v>
      </c>
      <c r="BA94" s="84">
        <f t="shared" ref="BA94:BA152" si="25">ROUND(AZ94-AVERAGE($AZ$93:$AZ$97),0)</f>
        <v>-211</v>
      </c>
      <c r="BB94" s="84">
        <f t="shared" ref="BB94:BB152" si="26">BA94/AVERAGE($AZ$98:$AZ$102)</f>
        <v>-2.6118082947565533E-4</v>
      </c>
      <c r="BC94" s="84"/>
      <c r="BD94" s="84"/>
      <c r="BE94" s="84"/>
      <c r="BF94" s="84"/>
      <c r="BG94" s="84"/>
      <c r="BH94" s="84"/>
      <c r="BI94" s="84"/>
      <c r="BJ94" s="84"/>
      <c r="BK94" s="84"/>
      <c r="BL94" s="84"/>
    </row>
    <row r="95" spans="1:64" x14ac:dyDescent="0.2">
      <c r="A95" s="84"/>
      <c r="B95" s="84"/>
      <c r="C95" s="84" t="s">
        <v>127</v>
      </c>
      <c r="D95" s="84">
        <f>G53</f>
        <v>18639</v>
      </c>
      <c r="E95" s="84">
        <f t="shared" si="19"/>
        <v>4.5999999999985448</v>
      </c>
      <c r="F95" s="84">
        <f t="shared" si="20"/>
        <v>5.8916922528326801E-6</v>
      </c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 t="s">
        <v>127</v>
      </c>
      <c r="T95" s="84">
        <f>W53</f>
        <v>21731</v>
      </c>
      <c r="U95" s="84">
        <f t="shared" si="21"/>
        <v>224</v>
      </c>
      <c r="V95" s="84">
        <f t="shared" si="22"/>
        <v>2.796232775393351E-4</v>
      </c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 t="s">
        <v>127</v>
      </c>
      <c r="AJ95" s="84">
        <f>AM53</f>
        <v>23275</v>
      </c>
      <c r="AK95" s="84">
        <f t="shared" si="23"/>
        <v>-303</v>
      </c>
      <c r="AL95" s="84">
        <f t="shared" si="24"/>
        <v>-3.7262461034287856E-4</v>
      </c>
      <c r="AX95" s="84"/>
      <c r="AY95" s="84" t="s">
        <v>127</v>
      </c>
      <c r="AZ95" s="84">
        <f>BC53</f>
        <v>23597</v>
      </c>
      <c r="BA95" s="84">
        <f t="shared" si="25"/>
        <v>417</v>
      </c>
      <c r="BB95" s="84">
        <f t="shared" si="26"/>
        <v>5.1617253976942313E-4</v>
      </c>
      <c r="BC95" s="84"/>
      <c r="BD95" s="84"/>
      <c r="BE95" s="84"/>
      <c r="BF95" s="84"/>
      <c r="BG95" s="84"/>
      <c r="BH95" s="84"/>
      <c r="BI95" s="84"/>
      <c r="BJ95" s="84"/>
      <c r="BK95" s="84"/>
      <c r="BL95" s="84"/>
    </row>
    <row r="96" spans="1:64" x14ac:dyDescent="0.2">
      <c r="A96" s="84"/>
      <c r="B96" s="84"/>
      <c r="C96" s="84" t="s">
        <v>128</v>
      </c>
      <c r="D96" s="84">
        <f>H53</f>
        <v>18556</v>
      </c>
      <c r="E96" s="84">
        <f t="shared" si="19"/>
        <v>-78.400000000001455</v>
      </c>
      <c r="F96" s="84">
        <f t="shared" si="20"/>
        <v>-1.0041492883092105E-4</v>
      </c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 t="s">
        <v>128</v>
      </c>
      <c r="T96" s="84">
        <f>X53</f>
        <v>22168</v>
      </c>
      <c r="U96" s="84">
        <f t="shared" si="21"/>
        <v>661</v>
      </c>
      <c r="V96" s="84">
        <f t="shared" si="22"/>
        <v>8.2513833238169866E-4</v>
      </c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 t="s">
        <v>128</v>
      </c>
      <c r="AJ96" s="84">
        <f>AN53</f>
        <v>24076</v>
      </c>
      <c r="AK96" s="84">
        <f t="shared" si="23"/>
        <v>498</v>
      </c>
      <c r="AL96" s="84">
        <f t="shared" si="24"/>
        <v>6.1243252789027565E-4</v>
      </c>
      <c r="AX96" s="84"/>
      <c r="AY96" s="84" t="s">
        <v>128</v>
      </c>
      <c r="AZ96" s="84">
        <f>BD53</f>
        <v>23299</v>
      </c>
      <c r="BA96" s="84">
        <f t="shared" si="25"/>
        <v>119</v>
      </c>
      <c r="BB96" s="84">
        <f t="shared" si="26"/>
        <v>1.4730103652892411E-4</v>
      </c>
      <c r="BC96" s="84"/>
      <c r="BD96" s="84"/>
      <c r="BE96" s="84"/>
      <c r="BF96" s="84"/>
      <c r="BG96" s="84"/>
      <c r="BH96" s="84"/>
      <c r="BI96" s="84"/>
      <c r="BJ96" s="84"/>
      <c r="BK96" s="84"/>
      <c r="BL96" s="84"/>
    </row>
    <row r="97" spans="1:64" x14ac:dyDescent="0.2">
      <c r="A97" s="84"/>
      <c r="B97" s="84"/>
      <c r="C97" s="84" t="s">
        <v>129</v>
      </c>
      <c r="D97" s="84">
        <f>I53</f>
        <v>18452</v>
      </c>
      <c r="E97" s="84">
        <f t="shared" si="19"/>
        <v>-182.40000000000146</v>
      </c>
      <c r="F97" s="84">
        <f t="shared" si="20"/>
        <v>-2.3361840585152814E-4</v>
      </c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 t="s">
        <v>129</v>
      </c>
      <c r="T97" s="84">
        <f>Y53</f>
        <v>22061</v>
      </c>
      <c r="U97" s="84">
        <f t="shared" si="21"/>
        <v>554</v>
      </c>
      <c r="V97" s="84">
        <f t="shared" si="22"/>
        <v>6.9156828462853422E-4</v>
      </c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 t="s">
        <v>129</v>
      </c>
      <c r="AJ97" s="84">
        <f>AO53</f>
        <v>24695</v>
      </c>
      <c r="AK97" s="84">
        <f t="shared" si="23"/>
        <v>1117</v>
      </c>
      <c r="AL97" s="84">
        <f t="shared" si="24"/>
        <v>1.3736689430791926E-3</v>
      </c>
      <c r="AX97" s="84"/>
      <c r="AY97" s="84" t="s">
        <v>129</v>
      </c>
      <c r="AZ97" s="84">
        <f>BE53</f>
        <v>23061</v>
      </c>
      <c r="BA97" s="84">
        <f t="shared" si="25"/>
        <v>-119</v>
      </c>
      <c r="BB97" s="84">
        <f t="shared" si="26"/>
        <v>-1.4730103652892411E-4</v>
      </c>
      <c r="BC97" s="84"/>
      <c r="BD97" s="84"/>
      <c r="BE97" s="84"/>
      <c r="BF97" s="84"/>
      <c r="BG97" s="84"/>
      <c r="BH97" s="84"/>
      <c r="BI97" s="84"/>
      <c r="BJ97" s="84"/>
      <c r="BK97" s="84"/>
      <c r="BL97" s="84"/>
    </row>
    <row r="98" spans="1:64" x14ac:dyDescent="0.2">
      <c r="A98" s="84"/>
      <c r="B98" s="84"/>
      <c r="C98" s="84" t="s">
        <v>130</v>
      </c>
      <c r="D98" s="84">
        <f>J53</f>
        <v>786370</v>
      </c>
      <c r="E98" s="84">
        <f t="shared" si="19"/>
        <v>767735.6</v>
      </c>
      <c r="F98" s="84">
        <f t="shared" si="20"/>
        <v>0.98331780146636527</v>
      </c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 t="s">
        <v>130</v>
      </c>
      <c r="T98" s="84">
        <f>Z53</f>
        <v>807849</v>
      </c>
      <c r="U98" s="84">
        <f t="shared" si="21"/>
        <v>786342</v>
      </c>
      <c r="V98" s="84">
        <f t="shared" si="22"/>
        <v>0.98160503261980292</v>
      </c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 t="s">
        <v>130</v>
      </c>
      <c r="AJ98" s="84">
        <f>AP53</f>
        <v>824099</v>
      </c>
      <c r="AK98" s="84">
        <f t="shared" si="23"/>
        <v>800521</v>
      </c>
      <c r="AL98" s="84">
        <f t="shared" si="24"/>
        <v>0.98446807160492245</v>
      </c>
      <c r="AX98" s="84"/>
      <c r="AY98" s="84" t="s">
        <v>130</v>
      </c>
      <c r="AZ98" s="84">
        <f>BF53</f>
        <v>833236</v>
      </c>
      <c r="BA98" s="84">
        <f t="shared" si="25"/>
        <v>810056</v>
      </c>
      <c r="BB98" s="84">
        <f t="shared" si="26"/>
        <v>1.002706625600623</v>
      </c>
      <c r="BC98" s="84"/>
      <c r="BD98" s="84"/>
      <c r="BE98" s="84"/>
      <c r="BF98" s="84"/>
      <c r="BG98" s="84"/>
      <c r="BH98" s="84"/>
      <c r="BI98" s="84"/>
      <c r="BJ98" s="84"/>
      <c r="BK98" s="84"/>
      <c r="BL98" s="84"/>
    </row>
    <row r="99" spans="1:64" x14ac:dyDescent="0.2">
      <c r="A99" s="84"/>
      <c r="B99" s="84"/>
      <c r="C99" s="84" t="s">
        <v>131</v>
      </c>
      <c r="D99" s="84">
        <f>K53</f>
        <v>782412</v>
      </c>
      <c r="E99" s="84">
        <f t="shared" si="19"/>
        <v>763777.6</v>
      </c>
      <c r="F99" s="84">
        <f t="shared" si="20"/>
        <v>0.9782483845236003</v>
      </c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 t="s">
        <v>131</v>
      </c>
      <c r="T99" s="84">
        <f>AA53</f>
        <v>801615</v>
      </c>
      <c r="U99" s="84">
        <f t="shared" si="21"/>
        <v>780108</v>
      </c>
      <c r="V99" s="84">
        <f t="shared" si="22"/>
        <v>0.97382301694042694</v>
      </c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 t="s">
        <v>131</v>
      </c>
      <c r="AJ99" s="84">
        <f>AQ53</f>
        <v>815983</v>
      </c>
      <c r="AK99" s="84">
        <f t="shared" si="23"/>
        <v>792405</v>
      </c>
      <c r="AL99" s="84">
        <f t="shared" si="24"/>
        <v>0.97448714309818052</v>
      </c>
      <c r="AX99" s="84"/>
      <c r="AY99" s="84" t="s">
        <v>131</v>
      </c>
      <c r="AZ99" s="84">
        <f>BG53</f>
        <v>788674</v>
      </c>
      <c r="BA99" s="84">
        <f t="shared" si="25"/>
        <v>765494</v>
      </c>
      <c r="BB99" s="84">
        <f t="shared" si="26"/>
        <v>0.94754671980396832</v>
      </c>
      <c r="BC99" s="84"/>
      <c r="BD99" s="84"/>
      <c r="BE99" s="84"/>
      <c r="BF99" s="84"/>
      <c r="BG99" s="84"/>
      <c r="BH99" s="84"/>
      <c r="BI99" s="84"/>
      <c r="BJ99" s="84"/>
      <c r="BK99" s="84"/>
      <c r="BL99" s="84"/>
    </row>
    <row r="100" spans="1:64" x14ac:dyDescent="0.2">
      <c r="A100" s="84"/>
      <c r="B100" s="84"/>
      <c r="C100" s="84" t="s">
        <v>132</v>
      </c>
      <c r="D100" s="84">
        <f>L53</f>
        <v>782146</v>
      </c>
      <c r="E100" s="84">
        <f t="shared" si="19"/>
        <v>763511.6</v>
      </c>
      <c r="F100" s="84">
        <f t="shared" si="20"/>
        <v>0.9779076910150668</v>
      </c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 t="s">
        <v>132</v>
      </c>
      <c r="T100" s="84">
        <f>AB53</f>
        <v>802608</v>
      </c>
      <c r="U100" s="84">
        <f t="shared" si="21"/>
        <v>781101</v>
      </c>
      <c r="V100" s="84">
        <f t="shared" si="22"/>
        <v>0.97506259691630448</v>
      </c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 t="s">
        <v>132</v>
      </c>
      <c r="AJ100" s="84">
        <f>AR53</f>
        <v>813321</v>
      </c>
      <c r="AK100" s="84">
        <f t="shared" si="23"/>
        <v>789743</v>
      </c>
      <c r="AL100" s="84">
        <f t="shared" si="24"/>
        <v>0.97121345757761035</v>
      </c>
      <c r="AX100" s="84"/>
      <c r="AY100" s="84" t="s">
        <v>132</v>
      </c>
      <c r="AZ100" s="84">
        <f>BH53</f>
        <v>810285</v>
      </c>
      <c r="BA100" s="84">
        <f t="shared" si="25"/>
        <v>787105</v>
      </c>
      <c r="BB100" s="84">
        <f t="shared" si="26"/>
        <v>0.97429733073192271</v>
      </c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</row>
    <row r="101" spans="1:64" x14ac:dyDescent="0.2">
      <c r="A101" s="84"/>
      <c r="B101" s="84"/>
      <c r="C101" s="84" t="s">
        <v>133</v>
      </c>
      <c r="D101" s="84">
        <f>M53</f>
        <v>775872</v>
      </c>
      <c r="E101" s="84">
        <f t="shared" si="19"/>
        <v>757237.6</v>
      </c>
      <c r="F101" s="84">
        <f t="shared" si="20"/>
        <v>0.96987193510326597</v>
      </c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 t="s">
        <v>133</v>
      </c>
      <c r="T101" s="84">
        <f>AC53</f>
        <v>795544</v>
      </c>
      <c r="U101" s="84">
        <f t="shared" si="21"/>
        <v>774037</v>
      </c>
      <c r="V101" s="84">
        <f t="shared" si="22"/>
        <v>0.96624447712818895</v>
      </c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 t="s">
        <v>133</v>
      </c>
      <c r="AJ101" s="84">
        <f>AS53</f>
        <v>806856</v>
      </c>
      <c r="AK101" s="84">
        <f t="shared" si="23"/>
        <v>783278</v>
      </c>
      <c r="AL101" s="84">
        <f t="shared" si="24"/>
        <v>0.96326290277276971</v>
      </c>
      <c r="AX101" s="84"/>
      <c r="AY101" s="84" t="s">
        <v>133</v>
      </c>
      <c r="AZ101" s="84">
        <f>BI53</f>
        <v>800684</v>
      </c>
      <c r="BA101" s="84">
        <f t="shared" si="25"/>
        <v>777504</v>
      </c>
      <c r="BB101" s="84">
        <f t="shared" si="26"/>
        <v>0.96241298407886222</v>
      </c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</row>
    <row r="102" spans="1:64" x14ac:dyDescent="0.2">
      <c r="A102" s="84"/>
      <c r="B102" s="84"/>
      <c r="C102" s="84" t="s">
        <v>134</v>
      </c>
      <c r="D102" s="84">
        <f>N53</f>
        <v>777002</v>
      </c>
      <c r="E102" s="84">
        <f t="shared" si="19"/>
        <v>758367.6</v>
      </c>
      <c r="F102" s="84">
        <f t="shared" si="20"/>
        <v>0.97131924211320142</v>
      </c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 t="s">
        <v>134</v>
      </c>
      <c r="T102" s="84">
        <f>AD53</f>
        <v>797773</v>
      </c>
      <c r="U102" s="84">
        <f t="shared" si="21"/>
        <v>776266</v>
      </c>
      <c r="V102" s="84">
        <f t="shared" si="22"/>
        <v>0.96902697840334606</v>
      </c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 t="s">
        <v>134</v>
      </c>
      <c r="AJ102" s="84">
        <f>AT53</f>
        <v>805495</v>
      </c>
      <c r="AK102" s="84">
        <f t="shared" si="23"/>
        <v>781917</v>
      </c>
      <c r="AL102" s="84">
        <f t="shared" si="24"/>
        <v>0.96158916648670822</v>
      </c>
      <c r="AX102" s="84"/>
      <c r="AY102" s="84" t="s">
        <v>134</v>
      </c>
      <c r="AZ102" s="84">
        <f>BJ53</f>
        <v>806468</v>
      </c>
      <c r="BA102" s="84">
        <f t="shared" si="25"/>
        <v>783288</v>
      </c>
      <c r="BB102" s="84">
        <f t="shared" si="26"/>
        <v>0.96957255714846979</v>
      </c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</row>
    <row r="103" spans="1:64" x14ac:dyDescent="0.2">
      <c r="A103" s="84"/>
      <c r="B103" s="84"/>
      <c r="C103" s="84" t="s">
        <v>135</v>
      </c>
      <c r="D103" s="84">
        <f>E54</f>
        <v>36834</v>
      </c>
      <c r="E103" s="84">
        <f t="shared" si="19"/>
        <v>18199.599999999999</v>
      </c>
      <c r="F103" s="84">
        <f t="shared" si="20"/>
        <v>2.3310096157540774E-2</v>
      </c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 t="s">
        <v>135</v>
      </c>
      <c r="T103" s="84">
        <f>U54</f>
        <v>98636</v>
      </c>
      <c r="U103" s="84">
        <f t="shared" si="21"/>
        <v>77129</v>
      </c>
      <c r="V103" s="84">
        <f t="shared" si="22"/>
        <v>9.6281534702372218E-2</v>
      </c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 t="s">
        <v>135</v>
      </c>
      <c r="AJ103" s="84">
        <f>AK54</f>
        <v>507248</v>
      </c>
      <c r="AK103" s="84">
        <f t="shared" si="23"/>
        <v>483670</v>
      </c>
      <c r="AL103" s="84">
        <f t="shared" si="24"/>
        <v>0.59480972041102331</v>
      </c>
      <c r="AX103" s="84"/>
      <c r="AY103" s="84" t="s">
        <v>135</v>
      </c>
      <c r="AZ103" s="84">
        <f>BA54</f>
        <v>624938</v>
      </c>
      <c r="BA103" s="84">
        <f t="shared" si="25"/>
        <v>601758</v>
      </c>
      <c r="BB103" s="84">
        <f t="shared" si="26"/>
        <v>0.7448703961308597</v>
      </c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</row>
    <row r="104" spans="1:64" x14ac:dyDescent="0.2">
      <c r="A104" s="84"/>
      <c r="B104" s="84"/>
      <c r="C104" s="84" t="s">
        <v>136</v>
      </c>
      <c r="D104" s="84">
        <f>F54</f>
        <v>35029</v>
      </c>
      <c r="E104" s="84">
        <f t="shared" si="19"/>
        <v>16394.599999999999</v>
      </c>
      <c r="F104" s="84">
        <f t="shared" si="20"/>
        <v>2.0998247349635044E-2</v>
      </c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 t="s">
        <v>136</v>
      </c>
      <c r="T104" s="84">
        <f>V54</f>
        <v>78451</v>
      </c>
      <c r="U104" s="84">
        <f t="shared" si="21"/>
        <v>56944</v>
      </c>
      <c r="V104" s="84">
        <f t="shared" si="22"/>
        <v>7.1084231768749548E-2</v>
      </c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 t="s">
        <v>136</v>
      </c>
      <c r="AJ104" s="84">
        <f>AL54</f>
        <v>484986</v>
      </c>
      <c r="AK104" s="84">
        <f t="shared" si="23"/>
        <v>461408</v>
      </c>
      <c r="AL104" s="84">
        <f t="shared" si="24"/>
        <v>0.56743226471645847</v>
      </c>
      <c r="AX104" s="84"/>
      <c r="AY104" s="84" t="s">
        <v>136</v>
      </c>
      <c r="AZ104" s="84">
        <f>BB54</f>
        <v>663638</v>
      </c>
      <c r="BA104" s="84">
        <f t="shared" si="25"/>
        <v>640458</v>
      </c>
      <c r="BB104" s="84">
        <f t="shared" si="26"/>
        <v>0.7927741785986695</v>
      </c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</row>
    <row r="105" spans="1:64" x14ac:dyDescent="0.2">
      <c r="A105" s="84"/>
      <c r="B105" s="84"/>
      <c r="C105" s="84" t="s">
        <v>137</v>
      </c>
      <c r="D105" s="84">
        <f>G54</f>
        <v>35136</v>
      </c>
      <c r="E105" s="84">
        <f t="shared" si="19"/>
        <v>16501.599999999999</v>
      </c>
      <c r="F105" s="84">
        <f t="shared" si="20"/>
        <v>2.1135293234646631E-2</v>
      </c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 t="s">
        <v>137</v>
      </c>
      <c r="T105" s="84">
        <f>W54</f>
        <v>89188</v>
      </c>
      <c r="U105" s="84">
        <f t="shared" si="21"/>
        <v>67681</v>
      </c>
      <c r="V105" s="84">
        <f t="shared" si="22"/>
        <v>8.4487424317588128E-2</v>
      </c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 t="s">
        <v>137</v>
      </c>
      <c r="AJ105" s="84">
        <f>AM54</f>
        <v>420200</v>
      </c>
      <c r="AK105" s="84">
        <f t="shared" si="23"/>
        <v>396622</v>
      </c>
      <c r="AL105" s="84">
        <f t="shared" si="24"/>
        <v>0.4877594660178653</v>
      </c>
      <c r="AX105" s="84"/>
      <c r="AY105" s="84" t="s">
        <v>137</v>
      </c>
      <c r="AZ105" s="84">
        <f>BC54</f>
        <v>584637</v>
      </c>
      <c r="BA105" s="84">
        <f t="shared" si="25"/>
        <v>561457</v>
      </c>
      <c r="BB105" s="84">
        <f t="shared" si="26"/>
        <v>0.6949848577010096</v>
      </c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</row>
    <row r="106" spans="1:64" x14ac:dyDescent="0.2">
      <c r="A106" s="84"/>
      <c r="B106" s="84"/>
      <c r="C106" s="84" t="s">
        <v>138</v>
      </c>
      <c r="D106" s="84">
        <f>H54</f>
        <v>36199</v>
      </c>
      <c r="E106" s="84">
        <f t="shared" si="19"/>
        <v>17564.599999999999</v>
      </c>
      <c r="F106" s="84">
        <f t="shared" si="20"/>
        <v>2.2496786466116876E-2</v>
      </c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 t="s">
        <v>138</v>
      </c>
      <c r="T106" s="84">
        <f>X54</f>
        <v>93665</v>
      </c>
      <c r="U106" s="84">
        <f t="shared" si="21"/>
        <v>72158</v>
      </c>
      <c r="V106" s="84">
        <f t="shared" si="22"/>
        <v>9.0076144913764922E-2</v>
      </c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 t="s">
        <v>138</v>
      </c>
      <c r="AJ106" s="84">
        <f>AN54</f>
        <v>504831</v>
      </c>
      <c r="AK106" s="84">
        <f t="shared" si="23"/>
        <v>481253</v>
      </c>
      <c r="AL106" s="84">
        <f t="shared" si="24"/>
        <v>0.59183733201762823</v>
      </c>
      <c r="AX106" s="84"/>
      <c r="AY106" s="84" t="s">
        <v>138</v>
      </c>
      <c r="AZ106" s="84">
        <f>BD54</f>
        <v>713877</v>
      </c>
      <c r="BA106" s="84">
        <f t="shared" si="25"/>
        <v>690697</v>
      </c>
      <c r="BB106" s="84">
        <f t="shared" si="26"/>
        <v>0.85496121031443939</v>
      </c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</row>
    <row r="107" spans="1:64" x14ac:dyDescent="0.2">
      <c r="A107" s="84"/>
      <c r="B107" s="84"/>
      <c r="C107" s="84" t="s">
        <v>139</v>
      </c>
      <c r="D107" s="84">
        <f>I54</f>
        <v>36441</v>
      </c>
      <c r="E107" s="84">
        <f t="shared" si="19"/>
        <v>17806.599999999999</v>
      </c>
      <c r="F107" s="84">
        <f t="shared" si="20"/>
        <v>2.2806740710722518E-2</v>
      </c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 t="s">
        <v>139</v>
      </c>
      <c r="T107" s="84">
        <f>Y54</f>
        <v>87890</v>
      </c>
      <c r="U107" s="84">
        <f t="shared" si="21"/>
        <v>66383</v>
      </c>
      <c r="V107" s="84">
        <f t="shared" si="22"/>
        <v>8.2867107289703937E-2</v>
      </c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 t="s">
        <v>139</v>
      </c>
      <c r="AJ107" s="84">
        <f>AO54</f>
        <v>398845</v>
      </c>
      <c r="AK107" s="84">
        <f t="shared" si="23"/>
        <v>375267</v>
      </c>
      <c r="AL107" s="84">
        <f t="shared" si="24"/>
        <v>0.46149742458594395</v>
      </c>
      <c r="AX107" s="84"/>
      <c r="AY107" s="84" t="s">
        <v>139</v>
      </c>
      <c r="AZ107" s="84">
        <f>BE54</f>
        <v>659205</v>
      </c>
      <c r="BA107" s="84">
        <f t="shared" si="25"/>
        <v>636025</v>
      </c>
      <c r="BB107" s="84">
        <f t="shared" si="26"/>
        <v>0.78728690553200797</v>
      </c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</row>
    <row r="108" spans="1:64" x14ac:dyDescent="0.2">
      <c r="A108" s="84"/>
      <c r="B108" s="84"/>
      <c r="C108" s="84" t="s">
        <v>140</v>
      </c>
      <c r="D108" s="84">
        <f>J54</f>
        <v>36116</v>
      </c>
      <c r="E108" s="84">
        <f t="shared" si="19"/>
        <v>17481.599999999999</v>
      </c>
      <c r="F108" s="84">
        <f t="shared" si="20"/>
        <v>2.2390479845033121E-2</v>
      </c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 t="s">
        <v>140</v>
      </c>
      <c r="T108" s="84">
        <f>Z54</f>
        <v>88566</v>
      </c>
      <c r="U108" s="84">
        <f t="shared" si="21"/>
        <v>67059</v>
      </c>
      <c r="V108" s="84">
        <f t="shared" si="22"/>
        <v>8.3710970395135142E-2</v>
      </c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 t="s">
        <v>140</v>
      </c>
      <c r="AJ108" s="84">
        <f>AP54</f>
        <v>412735</v>
      </c>
      <c r="AK108" s="84">
        <f t="shared" si="23"/>
        <v>389157</v>
      </c>
      <c r="AL108" s="84">
        <f t="shared" si="24"/>
        <v>0.47857912702047389</v>
      </c>
      <c r="AX108" s="84"/>
      <c r="AY108" s="84" t="s">
        <v>140</v>
      </c>
      <c r="AZ108" s="84">
        <f>BF54</f>
        <v>662776</v>
      </c>
      <c r="BA108" s="84">
        <f t="shared" si="25"/>
        <v>639596</v>
      </c>
      <c r="BB108" s="84">
        <f t="shared" si="26"/>
        <v>0.79170717445171213</v>
      </c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</row>
    <row r="109" spans="1:64" x14ac:dyDescent="0.2">
      <c r="A109" s="84"/>
      <c r="B109" s="84"/>
      <c r="C109" s="84" t="s">
        <v>141</v>
      </c>
      <c r="D109" s="84">
        <f>K54</f>
        <v>37123</v>
      </c>
      <c r="E109" s="84">
        <f t="shared" si="19"/>
        <v>18488.599999999999</v>
      </c>
      <c r="F109" s="84">
        <f t="shared" si="20"/>
        <v>2.3680248127338422E-2</v>
      </c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 t="s">
        <v>141</v>
      </c>
      <c r="T109" s="84">
        <f>AA54</f>
        <v>101476</v>
      </c>
      <c r="U109" s="84">
        <f t="shared" si="21"/>
        <v>79969</v>
      </c>
      <c r="V109" s="84">
        <f t="shared" si="22"/>
        <v>9.9826758399745932E-2</v>
      </c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 t="s">
        <v>141</v>
      </c>
      <c r="AJ109" s="84">
        <f>AQ54</f>
        <v>422021</v>
      </c>
      <c r="AK109" s="84">
        <f t="shared" si="23"/>
        <v>398443</v>
      </c>
      <c r="AL109" s="84">
        <f t="shared" si="24"/>
        <v>0.48999890303250021</v>
      </c>
      <c r="AX109" s="84"/>
      <c r="AY109" s="84" t="s">
        <v>141</v>
      </c>
      <c r="AZ109" s="84">
        <f>BG54</f>
        <v>642790</v>
      </c>
      <c r="BA109" s="84">
        <f t="shared" si="25"/>
        <v>619610</v>
      </c>
      <c r="BB109" s="84">
        <f t="shared" si="26"/>
        <v>0.76696802725787117</v>
      </c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</row>
    <row r="110" spans="1:64" x14ac:dyDescent="0.2">
      <c r="A110" s="84"/>
      <c r="B110" s="84"/>
      <c r="C110" s="84" t="s">
        <v>142</v>
      </c>
      <c r="D110" s="84">
        <f>L54</f>
        <v>38484</v>
      </c>
      <c r="E110" s="84">
        <f t="shared" si="19"/>
        <v>19849.599999999999</v>
      </c>
      <c r="F110" s="84">
        <f t="shared" si="20"/>
        <v>2.5423420552579252E-2</v>
      </c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 t="s">
        <v>142</v>
      </c>
      <c r="T110" s="84">
        <f>AB54</f>
        <v>108861</v>
      </c>
      <c r="U110" s="84">
        <f t="shared" si="21"/>
        <v>87354</v>
      </c>
      <c r="V110" s="84">
        <f t="shared" si="22"/>
        <v>0.10904558833112089</v>
      </c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 t="s">
        <v>142</v>
      </c>
      <c r="AJ110" s="84">
        <f>AR54</f>
        <v>465853</v>
      </c>
      <c r="AK110" s="84">
        <f t="shared" si="23"/>
        <v>442275</v>
      </c>
      <c r="AL110" s="84">
        <f t="shared" si="24"/>
        <v>0.54390280376038491</v>
      </c>
      <c r="AX110" s="84"/>
      <c r="AY110" s="84" t="s">
        <v>142</v>
      </c>
      <c r="AZ110" s="84">
        <f>BH54</f>
        <v>641756</v>
      </c>
      <c r="BA110" s="84">
        <f t="shared" si="25"/>
        <v>618576</v>
      </c>
      <c r="BB110" s="84">
        <f t="shared" si="26"/>
        <v>0.7656881174110568</v>
      </c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</row>
    <row r="111" spans="1:64" x14ac:dyDescent="0.2">
      <c r="A111" s="84"/>
      <c r="B111" s="84"/>
      <c r="C111" s="84" t="s">
        <v>143</v>
      </c>
      <c r="D111" s="84">
        <f>M54</f>
        <v>38019</v>
      </c>
      <c r="E111" s="84">
        <f t="shared" si="19"/>
        <v>19384.599999999999</v>
      </c>
      <c r="F111" s="84">
        <f t="shared" si="20"/>
        <v>2.48278473139775E-2</v>
      </c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 t="s">
        <v>143</v>
      </c>
      <c r="T111" s="84">
        <f>AC54</f>
        <v>103729</v>
      </c>
      <c r="U111" s="84">
        <f t="shared" si="21"/>
        <v>82222</v>
      </c>
      <c r="V111" s="84">
        <f t="shared" si="22"/>
        <v>0.1026392193117822</v>
      </c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 t="s">
        <v>143</v>
      </c>
      <c r="AJ111" s="84">
        <f>AS54</f>
        <v>502287</v>
      </c>
      <c r="AK111" s="84">
        <f t="shared" si="23"/>
        <v>478709</v>
      </c>
      <c r="AL111" s="84">
        <f t="shared" si="24"/>
        <v>0.58870876103177905</v>
      </c>
      <c r="AX111" s="84"/>
      <c r="AY111" s="84" t="s">
        <v>143</v>
      </c>
      <c r="AZ111" s="84">
        <f>BI54</f>
        <v>687167</v>
      </c>
      <c r="BA111" s="84">
        <f t="shared" si="25"/>
        <v>663987</v>
      </c>
      <c r="BB111" s="84">
        <f t="shared" si="26"/>
        <v>0.82189893564479599</v>
      </c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</row>
    <row r="112" spans="1:64" x14ac:dyDescent="0.2">
      <c r="A112" s="84"/>
      <c r="B112" s="84"/>
      <c r="C112" s="84" t="s">
        <v>144</v>
      </c>
      <c r="D112" s="84">
        <f>N54</f>
        <v>38105</v>
      </c>
      <c r="E112" s="84">
        <f t="shared" si="19"/>
        <v>19470.599999999999</v>
      </c>
      <c r="F112" s="84">
        <f t="shared" si="20"/>
        <v>2.4937996343052233E-2</v>
      </c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 t="s">
        <v>144</v>
      </c>
      <c r="T112" s="84">
        <f>AD54</f>
        <v>91324</v>
      </c>
      <c r="U112" s="84">
        <f t="shared" si="21"/>
        <v>69817</v>
      </c>
      <c r="V112" s="84">
        <f t="shared" si="22"/>
        <v>8.7153831999838213E-2</v>
      </c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 t="s">
        <v>144</v>
      </c>
      <c r="AJ112" s="84">
        <f>AT54</f>
        <v>338825</v>
      </c>
      <c r="AK112" s="84">
        <f t="shared" si="23"/>
        <v>315247</v>
      </c>
      <c r="AL112" s="84">
        <f t="shared" si="24"/>
        <v>0.38768577734904763</v>
      </c>
      <c r="AX112" s="84"/>
      <c r="AY112" s="84" t="s">
        <v>144</v>
      </c>
      <c r="AZ112" s="84">
        <f>BJ54</f>
        <v>680715</v>
      </c>
      <c r="BA112" s="84">
        <f t="shared" si="25"/>
        <v>657535</v>
      </c>
      <c r="BB112" s="84">
        <f t="shared" si="26"/>
        <v>0.81391249625248829</v>
      </c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</row>
    <row r="113" spans="1:64" x14ac:dyDescent="0.2">
      <c r="A113" s="84"/>
      <c r="B113" s="84"/>
      <c r="C113" s="84" t="s">
        <v>145</v>
      </c>
      <c r="D113" s="84">
        <f>E55</f>
        <v>37990</v>
      </c>
      <c r="E113" s="84">
        <f t="shared" si="19"/>
        <v>19355.599999999999</v>
      </c>
      <c r="F113" s="84">
        <f t="shared" si="20"/>
        <v>2.4790704036731368E-2</v>
      </c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 t="s">
        <v>145</v>
      </c>
      <c r="T113" s="84">
        <f>U55</f>
        <v>91011</v>
      </c>
      <c r="U113" s="84">
        <f t="shared" si="21"/>
        <v>69504</v>
      </c>
      <c r="V113" s="84">
        <f t="shared" si="22"/>
        <v>8.6763108402205122E-2</v>
      </c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 t="s">
        <v>145</v>
      </c>
      <c r="AJ113" s="84">
        <f>AK55</f>
        <v>335307</v>
      </c>
      <c r="AK113" s="84">
        <f t="shared" si="23"/>
        <v>311729</v>
      </c>
      <c r="AL113" s="84">
        <f t="shared" si="24"/>
        <v>0.38335939655965412</v>
      </c>
      <c r="AX113" s="84"/>
      <c r="AY113" s="84" t="s">
        <v>145</v>
      </c>
      <c r="AZ113" s="84">
        <f>BA55</f>
        <v>599499</v>
      </c>
      <c r="BA113" s="84">
        <f t="shared" si="25"/>
        <v>576319</v>
      </c>
      <c r="BB113" s="84">
        <f t="shared" si="26"/>
        <v>0.71338139555725222</v>
      </c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</row>
    <row r="114" spans="1:64" x14ac:dyDescent="0.2">
      <c r="A114" s="84"/>
      <c r="B114" s="84"/>
      <c r="C114" s="84" t="s">
        <v>146</v>
      </c>
      <c r="D114" s="84">
        <f>F55</f>
        <v>44676</v>
      </c>
      <c r="E114" s="84">
        <f t="shared" si="19"/>
        <v>26041.599999999999</v>
      </c>
      <c r="F114" s="84">
        <f t="shared" si="20"/>
        <v>3.3354150645960014E-2</v>
      </c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 t="s">
        <v>146</v>
      </c>
      <c r="T114" s="84">
        <f>V55</f>
        <v>100350</v>
      </c>
      <c r="U114" s="84">
        <f t="shared" si="21"/>
        <v>78843</v>
      </c>
      <c r="V114" s="84">
        <f t="shared" si="22"/>
        <v>9.8421152102829451E-2</v>
      </c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 t="s">
        <v>146</v>
      </c>
      <c r="AJ114" s="84">
        <f>AL55</f>
        <v>368374</v>
      </c>
      <c r="AK114" s="84">
        <f t="shared" si="23"/>
        <v>344796</v>
      </c>
      <c r="AL114" s="84">
        <f t="shared" si="24"/>
        <v>0.42402467045472991</v>
      </c>
      <c r="AX114" s="84"/>
      <c r="AY114" s="84" t="s">
        <v>146</v>
      </c>
      <c r="AZ114" s="84">
        <f>BB55</f>
        <v>594582</v>
      </c>
      <c r="BA114" s="84">
        <f t="shared" si="25"/>
        <v>571402</v>
      </c>
      <c r="BB114" s="84">
        <f t="shared" si="26"/>
        <v>0.70729501575378395</v>
      </c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</row>
    <row r="115" spans="1:64" x14ac:dyDescent="0.2">
      <c r="A115" s="84"/>
      <c r="B115" s="84"/>
      <c r="C115" s="84" t="s">
        <v>147</v>
      </c>
      <c r="D115" s="84">
        <f>G55</f>
        <v>41614</v>
      </c>
      <c r="E115" s="84">
        <f t="shared" si="19"/>
        <v>22979.599999999999</v>
      </c>
      <c r="F115" s="84">
        <f t="shared" si="20"/>
        <v>2.9432332889834063E-2</v>
      </c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 t="s">
        <v>147</v>
      </c>
      <c r="T115" s="84">
        <f>W55</f>
        <v>92867</v>
      </c>
      <c r="U115" s="84">
        <f t="shared" si="21"/>
        <v>71360</v>
      </c>
      <c r="V115" s="84">
        <f t="shared" si="22"/>
        <v>8.9079986987531043E-2</v>
      </c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 t="s">
        <v>147</v>
      </c>
      <c r="AJ115" s="84">
        <f>AM55</f>
        <v>374054</v>
      </c>
      <c r="AK115" s="84">
        <f t="shared" si="23"/>
        <v>350476</v>
      </c>
      <c r="AL115" s="84">
        <f t="shared" si="24"/>
        <v>0.43100984466841818</v>
      </c>
      <c r="AX115" s="84"/>
      <c r="AY115" s="84" t="s">
        <v>147</v>
      </c>
      <c r="AZ115" s="84">
        <f>BC55</f>
        <v>540917</v>
      </c>
      <c r="BA115" s="84">
        <f t="shared" si="25"/>
        <v>517737</v>
      </c>
      <c r="BB115" s="84">
        <f t="shared" si="26"/>
        <v>0.64086719957458471</v>
      </c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</row>
    <row r="116" spans="1:64" x14ac:dyDescent="0.2">
      <c r="A116" s="84"/>
      <c r="B116" s="84"/>
      <c r="C116" s="84" t="s">
        <v>148</v>
      </c>
      <c r="D116" s="84">
        <f>H55</f>
        <v>37926</v>
      </c>
      <c r="E116" s="84">
        <f t="shared" si="19"/>
        <v>19291.599999999999</v>
      </c>
      <c r="F116" s="84">
        <f t="shared" si="20"/>
        <v>2.4708732666257147E-2</v>
      </c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 t="s">
        <v>148</v>
      </c>
      <c r="T116" s="84">
        <f>X55</f>
        <v>96456</v>
      </c>
      <c r="U116" s="84">
        <f t="shared" si="21"/>
        <v>74949</v>
      </c>
      <c r="V116" s="84">
        <f t="shared" si="22"/>
        <v>9.3560201019176906E-2</v>
      </c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 t="s">
        <v>148</v>
      </c>
      <c r="AJ116" s="84">
        <f>AN55</f>
        <v>333541</v>
      </c>
      <c r="AK116" s="84">
        <f t="shared" si="23"/>
        <v>309963</v>
      </c>
      <c r="AL116" s="84">
        <f t="shared" si="24"/>
        <v>0.38118759767560945</v>
      </c>
      <c r="AX116" s="84"/>
      <c r="AY116" s="84" t="s">
        <v>148</v>
      </c>
      <c r="AZ116" s="84">
        <f>BD55</f>
        <v>602430</v>
      </c>
      <c r="BA116" s="84">
        <f t="shared" si="25"/>
        <v>579250</v>
      </c>
      <c r="BB116" s="84">
        <f t="shared" si="26"/>
        <v>0.71700945722167464</v>
      </c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</row>
    <row r="117" spans="1:64" x14ac:dyDescent="0.2">
      <c r="A117" s="84"/>
      <c r="B117" s="84"/>
      <c r="C117" s="84" t="s">
        <v>149</v>
      </c>
      <c r="D117" s="84">
        <f>I55</f>
        <v>39937</v>
      </c>
      <c r="E117" s="84">
        <f t="shared" si="19"/>
        <v>21302.6</v>
      </c>
      <c r="F117" s="84">
        <f t="shared" si="20"/>
        <v>2.7284426822876771E-2</v>
      </c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 t="s">
        <v>149</v>
      </c>
      <c r="T117" s="84">
        <f>Y55</f>
        <v>108849</v>
      </c>
      <c r="U117" s="84">
        <f t="shared" si="21"/>
        <v>87342</v>
      </c>
      <c r="V117" s="84">
        <f t="shared" si="22"/>
        <v>0.10903060851268129</v>
      </c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 t="s">
        <v>149</v>
      </c>
      <c r="AJ117" s="84">
        <f>AO55</f>
        <v>362743</v>
      </c>
      <c r="AK117" s="84">
        <f t="shared" si="23"/>
        <v>339165</v>
      </c>
      <c r="AL117" s="84">
        <f t="shared" si="24"/>
        <v>0.41709975566647661</v>
      </c>
      <c r="AX117" s="84"/>
      <c r="AY117" s="84" t="s">
        <v>149</v>
      </c>
      <c r="AZ117" s="84">
        <f>BE55</f>
        <v>606581</v>
      </c>
      <c r="BA117" s="84">
        <f t="shared" si="25"/>
        <v>583401</v>
      </c>
      <c r="BB117" s="84">
        <f t="shared" si="26"/>
        <v>0.72214766396647778</v>
      </c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</row>
    <row r="118" spans="1:64" x14ac:dyDescent="0.2">
      <c r="A118" s="84"/>
      <c r="B118" s="84"/>
      <c r="C118" s="84" t="s">
        <v>150</v>
      </c>
      <c r="D118" s="84">
        <f>J55</f>
        <v>40977</v>
      </c>
      <c r="E118" s="84">
        <f t="shared" si="19"/>
        <v>22342.6</v>
      </c>
      <c r="F118" s="84">
        <f t="shared" si="20"/>
        <v>2.8616461593082843E-2</v>
      </c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 t="s">
        <v>150</v>
      </c>
      <c r="T118" s="84">
        <f>Z55</f>
        <v>112690</v>
      </c>
      <c r="U118" s="84">
        <f t="shared" si="21"/>
        <v>91183</v>
      </c>
      <c r="V118" s="84">
        <f t="shared" si="22"/>
        <v>0.1138253987315589</v>
      </c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 t="s">
        <v>150</v>
      </c>
      <c r="AJ118" s="84">
        <f>AP55</f>
        <v>386175</v>
      </c>
      <c r="AK118" s="84">
        <f t="shared" si="23"/>
        <v>362597</v>
      </c>
      <c r="AL118" s="84">
        <f t="shared" si="24"/>
        <v>0.44591605886632585</v>
      </c>
      <c r="AX118" s="84"/>
      <c r="AY118" s="84" t="s">
        <v>150</v>
      </c>
      <c r="AZ118" s="84">
        <f>BF55</f>
        <v>558508</v>
      </c>
      <c r="BA118" s="84">
        <f t="shared" si="25"/>
        <v>535328</v>
      </c>
      <c r="BB118" s="84">
        <f t="shared" si="26"/>
        <v>0.66264175868030151</v>
      </c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</row>
    <row r="119" spans="1:64" x14ac:dyDescent="0.2">
      <c r="A119" s="84"/>
      <c r="B119" s="84"/>
      <c r="C119" s="84" t="s">
        <v>151</v>
      </c>
      <c r="D119" s="84">
        <f>K55</f>
        <v>37701</v>
      </c>
      <c r="E119" s="84">
        <f t="shared" si="19"/>
        <v>19066.599999999999</v>
      </c>
      <c r="F119" s="84">
        <f t="shared" si="20"/>
        <v>2.4420552066933721E-2</v>
      </c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 t="s">
        <v>151</v>
      </c>
      <c r="T119" s="84">
        <f>AA55</f>
        <v>95131</v>
      </c>
      <c r="U119" s="84">
        <f t="shared" si="21"/>
        <v>73624</v>
      </c>
      <c r="V119" s="84">
        <f t="shared" si="22"/>
        <v>9.1906179399803611E-2</v>
      </c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 t="s">
        <v>151</v>
      </c>
      <c r="AJ119" s="84">
        <f>AQ55</f>
        <v>324294</v>
      </c>
      <c r="AK119" s="84">
        <f t="shared" si="23"/>
        <v>300716</v>
      </c>
      <c r="AL119" s="84">
        <f t="shared" si="24"/>
        <v>0.36981578324709263</v>
      </c>
      <c r="AX119" s="84"/>
      <c r="AY119" s="84" t="s">
        <v>151</v>
      </c>
      <c r="AZ119" s="84">
        <f>BG55</f>
        <v>597710</v>
      </c>
      <c r="BA119" s="84">
        <f t="shared" si="25"/>
        <v>574530</v>
      </c>
      <c r="BB119" s="84">
        <f t="shared" si="26"/>
        <v>0.7111669287139728</v>
      </c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</row>
    <row r="120" spans="1:64" x14ac:dyDescent="0.2">
      <c r="A120" s="84"/>
      <c r="B120" s="84"/>
      <c r="C120" s="84" t="s">
        <v>152</v>
      </c>
      <c r="D120" s="84">
        <f>L55</f>
        <v>37207</v>
      </c>
      <c r="E120" s="84">
        <f t="shared" si="19"/>
        <v>18572.599999999999</v>
      </c>
      <c r="F120" s="84">
        <f t="shared" si="20"/>
        <v>2.3787835551085837E-2</v>
      </c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 t="s">
        <v>152</v>
      </c>
      <c r="T120" s="84">
        <f>AB55</f>
        <v>119725</v>
      </c>
      <c r="U120" s="84">
        <f t="shared" si="21"/>
        <v>98218</v>
      </c>
      <c r="V120" s="84">
        <f t="shared" si="22"/>
        <v>0.12260731729177865</v>
      </c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 t="s">
        <v>152</v>
      </c>
      <c r="AJ120" s="84">
        <f>AR55</f>
        <v>366634</v>
      </c>
      <c r="AK120" s="84">
        <f t="shared" si="23"/>
        <v>343056</v>
      </c>
      <c r="AL120" s="84">
        <f t="shared" si="24"/>
        <v>0.42188484595969161</v>
      </c>
      <c r="AX120" s="84"/>
      <c r="AY120" s="84" t="s">
        <v>152</v>
      </c>
      <c r="AZ120" s="84">
        <f>BH55</f>
        <v>602036</v>
      </c>
      <c r="BA120" s="84">
        <f t="shared" si="25"/>
        <v>578856</v>
      </c>
      <c r="BB120" s="84">
        <f t="shared" si="26"/>
        <v>0.71652175463014189</v>
      </c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</row>
    <row r="121" spans="1:64" x14ac:dyDescent="0.2">
      <c r="A121" s="84"/>
      <c r="B121" s="84"/>
      <c r="C121" s="84" t="s">
        <v>153</v>
      </c>
      <c r="D121" s="84">
        <f>M55</f>
        <v>41519</v>
      </c>
      <c r="E121" s="84">
        <f t="shared" si="19"/>
        <v>22884.6</v>
      </c>
      <c r="F121" s="84">
        <f t="shared" si="20"/>
        <v>2.9310656636786392E-2</v>
      </c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 t="s">
        <v>153</v>
      </c>
      <c r="T121" s="84">
        <f>AC55</f>
        <v>97362</v>
      </c>
      <c r="U121" s="84">
        <f t="shared" si="21"/>
        <v>75855</v>
      </c>
      <c r="V121" s="84">
        <f t="shared" si="22"/>
        <v>9.4691177311367253E-2</v>
      </c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 t="s">
        <v>153</v>
      </c>
      <c r="AJ121" s="84">
        <f>AS55</f>
        <v>414982</v>
      </c>
      <c r="AK121" s="84">
        <f t="shared" si="23"/>
        <v>391404</v>
      </c>
      <c r="AL121" s="84">
        <f t="shared" si="24"/>
        <v>0.48134245210113547</v>
      </c>
      <c r="AX121" s="84"/>
      <c r="AY121" s="84" t="s">
        <v>153</v>
      </c>
      <c r="AZ121" s="84">
        <f>BI55</f>
        <v>581912</v>
      </c>
      <c r="BA121" s="84">
        <f t="shared" si="25"/>
        <v>558732</v>
      </c>
      <c r="BB121" s="84">
        <f t="shared" si="26"/>
        <v>0.69161178774688081</v>
      </c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</row>
    <row r="122" spans="1:64" x14ac:dyDescent="0.2">
      <c r="A122" s="84"/>
      <c r="B122" s="84"/>
      <c r="C122" s="84" t="s">
        <v>154</v>
      </c>
      <c r="D122" s="84">
        <f>N55</f>
        <v>41689</v>
      </c>
      <c r="E122" s="84">
        <f t="shared" si="19"/>
        <v>23054.6</v>
      </c>
      <c r="F122" s="84">
        <f t="shared" si="20"/>
        <v>2.9528393089608539E-2</v>
      </c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 t="s">
        <v>154</v>
      </c>
      <c r="T122" s="84">
        <f>AD55</f>
        <v>98314</v>
      </c>
      <c r="U122" s="84">
        <f t="shared" si="21"/>
        <v>76807</v>
      </c>
      <c r="V122" s="84">
        <f t="shared" si="22"/>
        <v>9.5879576240909425E-2</v>
      </c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 t="s">
        <v>154</v>
      </c>
      <c r="AJ122" s="84">
        <f>AT55</f>
        <v>362881</v>
      </c>
      <c r="AK122" s="84">
        <f t="shared" si="23"/>
        <v>339303</v>
      </c>
      <c r="AL122" s="84">
        <f t="shared" si="24"/>
        <v>0.4172694658850486</v>
      </c>
      <c r="AX122" s="84"/>
      <c r="AY122" s="84" t="s">
        <v>154</v>
      </c>
      <c r="AZ122" s="84">
        <f>BJ55</f>
        <v>593540</v>
      </c>
      <c r="BA122" s="84">
        <f t="shared" si="25"/>
        <v>570360</v>
      </c>
      <c r="BB122" s="84">
        <f t="shared" si="26"/>
        <v>0.70600520331627858</v>
      </c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</row>
    <row r="123" spans="1:64" x14ac:dyDescent="0.2">
      <c r="A123" s="84"/>
      <c r="B123" s="84"/>
      <c r="C123" s="84" t="s">
        <v>155</v>
      </c>
      <c r="D123" s="84">
        <f>E56</f>
        <v>38305</v>
      </c>
      <c r="E123" s="84">
        <f t="shared" si="19"/>
        <v>19670.599999999999</v>
      </c>
      <c r="F123" s="84">
        <f t="shared" si="20"/>
        <v>2.519415687578417E-2</v>
      </c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 t="s">
        <v>155</v>
      </c>
      <c r="T123" s="84">
        <f>U56</f>
        <v>85058</v>
      </c>
      <c r="U123" s="84">
        <f t="shared" si="21"/>
        <v>63551</v>
      </c>
      <c r="V123" s="84">
        <f t="shared" si="22"/>
        <v>7.9331870137956631E-2</v>
      </c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 t="s">
        <v>155</v>
      </c>
      <c r="AJ123" s="84">
        <f>AK56</f>
        <v>325496</v>
      </c>
      <c r="AK123" s="84">
        <f t="shared" si="23"/>
        <v>301918</v>
      </c>
      <c r="AL123" s="84">
        <f t="shared" si="24"/>
        <v>0.37129398384653867</v>
      </c>
      <c r="AX123" s="84"/>
      <c r="AY123" s="84" t="s">
        <v>155</v>
      </c>
      <c r="AZ123" s="84">
        <f>BA56</f>
        <v>523383</v>
      </c>
      <c r="BA123" s="84">
        <f t="shared" si="25"/>
        <v>500203</v>
      </c>
      <c r="BB123" s="84">
        <f t="shared" si="26"/>
        <v>0.61916319642754136</v>
      </c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</row>
    <row r="124" spans="1:64" x14ac:dyDescent="0.2">
      <c r="A124" s="84"/>
      <c r="B124" s="84"/>
      <c r="C124" s="84" t="s">
        <v>156</v>
      </c>
      <c r="D124" s="84">
        <f>F56</f>
        <v>39816</v>
      </c>
      <c r="E124" s="84">
        <f t="shared" si="19"/>
        <v>21181.599999999999</v>
      </c>
      <c r="F124" s="84">
        <f t="shared" si="20"/>
        <v>2.7129449700573949E-2</v>
      </c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 t="s">
        <v>156</v>
      </c>
      <c r="T124" s="84">
        <f>V56</f>
        <v>81561</v>
      </c>
      <c r="U124" s="84">
        <f t="shared" si="21"/>
        <v>60054</v>
      </c>
      <c r="V124" s="84">
        <f t="shared" si="22"/>
        <v>7.4966501381014419E-2</v>
      </c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 t="s">
        <v>156</v>
      </c>
      <c r="AJ124" s="84">
        <f>AL56</f>
        <v>239897</v>
      </c>
      <c r="AK124" s="84">
        <f t="shared" si="23"/>
        <v>216319</v>
      </c>
      <c r="AL124" s="84">
        <f t="shared" si="24"/>
        <v>0.26602568674838661</v>
      </c>
      <c r="AX124" s="84"/>
      <c r="AY124" s="84" t="s">
        <v>156</v>
      </c>
      <c r="AZ124" s="84">
        <f>BB56</f>
        <v>482327</v>
      </c>
      <c r="BA124" s="84">
        <f t="shared" si="25"/>
        <v>459147</v>
      </c>
      <c r="BB124" s="84">
        <f t="shared" si="26"/>
        <v>0.5683431010012262</v>
      </c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</row>
    <row r="125" spans="1:64" x14ac:dyDescent="0.2">
      <c r="A125" s="84"/>
      <c r="B125" s="84"/>
      <c r="C125" s="84" t="s">
        <v>157</v>
      </c>
      <c r="D125" s="84">
        <f>G56</f>
        <v>39721</v>
      </c>
      <c r="E125" s="84">
        <f t="shared" si="19"/>
        <v>21086.6</v>
      </c>
      <c r="F125" s="84">
        <f t="shared" si="20"/>
        <v>2.7007773447526282E-2</v>
      </c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 t="s">
        <v>157</v>
      </c>
      <c r="T125" s="84">
        <f>W56</f>
        <v>86376</v>
      </c>
      <c r="U125" s="84">
        <f t="shared" si="21"/>
        <v>64869</v>
      </c>
      <c r="V125" s="84">
        <f t="shared" si="22"/>
        <v>8.0977153529906823E-2</v>
      </c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 t="s">
        <v>157</v>
      </c>
      <c r="AJ125" s="84">
        <f>AM56</f>
        <v>348247</v>
      </c>
      <c r="AK125" s="84">
        <f t="shared" si="23"/>
        <v>324669</v>
      </c>
      <c r="AL125" s="84">
        <f t="shared" si="24"/>
        <v>0.39927280401126086</v>
      </c>
      <c r="AX125" s="84"/>
      <c r="AY125" s="84" t="s">
        <v>157</v>
      </c>
      <c r="AZ125" s="84">
        <f>BC56</f>
        <v>476829</v>
      </c>
      <c r="BA125" s="84">
        <f t="shared" si="25"/>
        <v>453649</v>
      </c>
      <c r="BB125" s="84">
        <f t="shared" si="26"/>
        <v>0.56153754554882263</v>
      </c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</row>
    <row r="126" spans="1:64" x14ac:dyDescent="0.2">
      <c r="A126" s="84"/>
      <c r="B126" s="84"/>
      <c r="C126" s="84" t="s">
        <v>158</v>
      </c>
      <c r="D126" s="84">
        <f>H56</f>
        <v>39611</v>
      </c>
      <c r="E126" s="84">
        <f t="shared" si="19"/>
        <v>20976.6</v>
      </c>
      <c r="F126" s="84">
        <f t="shared" si="20"/>
        <v>2.6866885154523717E-2</v>
      </c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 t="s">
        <v>158</v>
      </c>
      <c r="T126" s="84">
        <f>X56</f>
        <v>88669</v>
      </c>
      <c r="U126" s="84">
        <f t="shared" si="21"/>
        <v>67162</v>
      </c>
      <c r="V126" s="84">
        <f t="shared" si="22"/>
        <v>8.3839547170075107E-2</v>
      </c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 t="s">
        <v>158</v>
      </c>
      <c r="AJ126" s="84">
        <f>AN56</f>
        <v>321717</v>
      </c>
      <c r="AK126" s="84">
        <f t="shared" si="23"/>
        <v>298139</v>
      </c>
      <c r="AL126" s="84">
        <f t="shared" si="24"/>
        <v>0.36664662938288933</v>
      </c>
      <c r="AX126" s="84"/>
      <c r="AY126" s="84" t="s">
        <v>158</v>
      </c>
      <c r="AZ126" s="84">
        <f>BD56</f>
        <v>509096</v>
      </c>
      <c r="BA126" s="84">
        <f t="shared" si="25"/>
        <v>485916</v>
      </c>
      <c r="BB126" s="84">
        <f t="shared" si="26"/>
        <v>0.6014784072772158</v>
      </c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</row>
    <row r="127" spans="1:64" x14ac:dyDescent="0.2">
      <c r="A127" s="84"/>
      <c r="B127" s="84"/>
      <c r="C127" s="84" t="s">
        <v>159</v>
      </c>
      <c r="D127" s="84">
        <f>I56</f>
        <v>40267</v>
      </c>
      <c r="E127" s="84">
        <f t="shared" si="19"/>
        <v>21632.6</v>
      </c>
      <c r="F127" s="84">
        <f t="shared" si="20"/>
        <v>2.7707091701884467E-2</v>
      </c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 t="s">
        <v>159</v>
      </c>
      <c r="T127" s="84">
        <f>Y56</f>
        <v>94008</v>
      </c>
      <c r="U127" s="84">
        <f t="shared" si="21"/>
        <v>72501</v>
      </c>
      <c r="V127" s="84">
        <f t="shared" si="22"/>
        <v>9.0504318057497035E-2</v>
      </c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 t="s">
        <v>159</v>
      </c>
      <c r="AJ127" s="84">
        <f>AO56</f>
        <v>340867</v>
      </c>
      <c r="AK127" s="84">
        <f t="shared" si="23"/>
        <v>317289</v>
      </c>
      <c r="AL127" s="84">
        <f t="shared" si="24"/>
        <v>0.39019699667023627</v>
      </c>
      <c r="AX127" s="84"/>
      <c r="AY127" s="84" t="s">
        <v>159</v>
      </c>
      <c r="AZ127" s="84">
        <f>BE56</f>
        <v>384094</v>
      </c>
      <c r="BA127" s="84">
        <f t="shared" si="25"/>
        <v>360914</v>
      </c>
      <c r="BB127" s="84">
        <f t="shared" si="26"/>
        <v>0.44674795208235391</v>
      </c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</row>
    <row r="128" spans="1:64" x14ac:dyDescent="0.2">
      <c r="A128" s="84"/>
      <c r="B128" s="84"/>
      <c r="C128" s="84" t="s">
        <v>160</v>
      </c>
      <c r="D128" s="84">
        <f>J56</f>
        <v>40492</v>
      </c>
      <c r="E128" s="84">
        <f t="shared" si="19"/>
        <v>21857.599999999999</v>
      </c>
      <c r="F128" s="84">
        <f t="shared" si="20"/>
        <v>2.7995272301207897E-2</v>
      </c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 t="s">
        <v>160</v>
      </c>
      <c r="T128" s="84">
        <f>Z56</f>
        <v>103604</v>
      </c>
      <c r="U128" s="84">
        <f t="shared" si="21"/>
        <v>82097</v>
      </c>
      <c r="V128" s="84">
        <f t="shared" si="22"/>
        <v>0.10248317953636962</v>
      </c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 t="s">
        <v>160</v>
      </c>
      <c r="AJ128" s="84">
        <f>AP56</f>
        <v>404339</v>
      </c>
      <c r="AK128" s="84">
        <f t="shared" si="23"/>
        <v>380761</v>
      </c>
      <c r="AL128" s="84">
        <f t="shared" si="24"/>
        <v>0.4682538589398178</v>
      </c>
      <c r="AX128" s="84"/>
      <c r="AY128" s="84" t="s">
        <v>160</v>
      </c>
      <c r="AZ128" s="84">
        <f>BF56</f>
        <v>553078</v>
      </c>
      <c r="BA128" s="84">
        <f t="shared" si="25"/>
        <v>529898</v>
      </c>
      <c r="BB128" s="84">
        <f t="shared" si="26"/>
        <v>0.65592037524877167</v>
      </c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</row>
    <row r="129" spans="1:64" x14ac:dyDescent="0.2">
      <c r="A129" s="84"/>
      <c r="B129" s="84"/>
      <c r="C129" s="84" t="s">
        <v>161</v>
      </c>
      <c r="D129" s="84">
        <f>K56</f>
        <v>40362</v>
      </c>
      <c r="E129" s="84">
        <f t="shared" si="19"/>
        <v>21727.599999999999</v>
      </c>
      <c r="F129" s="84">
        <f t="shared" si="20"/>
        <v>2.7828767954932138E-2</v>
      </c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 t="s">
        <v>161</v>
      </c>
      <c r="T129" s="84">
        <f>AA56</f>
        <v>88801</v>
      </c>
      <c r="U129" s="84">
        <f t="shared" si="21"/>
        <v>67294</v>
      </c>
      <c r="V129" s="84">
        <f t="shared" si="22"/>
        <v>8.4004325172910788E-2</v>
      </c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 t="s">
        <v>161</v>
      </c>
      <c r="AJ129" s="84">
        <f>AQ56</f>
        <v>340016</v>
      </c>
      <c r="AK129" s="84">
        <f t="shared" si="23"/>
        <v>316438</v>
      </c>
      <c r="AL129" s="84">
        <f t="shared" si="24"/>
        <v>0.38915045032237561</v>
      </c>
      <c r="AX129" s="84"/>
      <c r="AY129" s="84" t="s">
        <v>161</v>
      </c>
      <c r="AZ129" s="84">
        <f>BG56</f>
        <v>535481</v>
      </c>
      <c r="BA129" s="84">
        <f t="shared" si="25"/>
        <v>512301</v>
      </c>
      <c r="BB129" s="84">
        <f t="shared" si="26"/>
        <v>0.63413838920003651</v>
      </c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</row>
    <row r="130" spans="1:64" x14ac:dyDescent="0.2">
      <c r="A130" s="84"/>
      <c r="B130" s="84"/>
      <c r="C130" s="84" t="s">
        <v>162</v>
      </c>
      <c r="D130" s="84">
        <f>L56</f>
        <v>39022</v>
      </c>
      <c r="E130" s="84">
        <f t="shared" si="19"/>
        <v>20387.599999999999</v>
      </c>
      <c r="F130" s="84">
        <f t="shared" si="20"/>
        <v>2.6112492385628162E-2</v>
      </c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 t="s">
        <v>162</v>
      </c>
      <c r="T130" s="84">
        <f>AB56</f>
        <v>90345</v>
      </c>
      <c r="U130" s="84">
        <f t="shared" si="21"/>
        <v>68838</v>
      </c>
      <c r="V130" s="84">
        <f t="shared" si="22"/>
        <v>8.5931728478806924E-2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 t="s">
        <v>162</v>
      </c>
      <c r="AJ130" s="84">
        <f>AR56</f>
        <v>362911</v>
      </c>
      <c r="AK130" s="84">
        <f t="shared" si="23"/>
        <v>339333</v>
      </c>
      <c r="AL130" s="84">
        <f t="shared" si="24"/>
        <v>0.41730635941082511</v>
      </c>
      <c r="AX130" s="84"/>
      <c r="AY130" s="84" t="s">
        <v>162</v>
      </c>
      <c r="AZ130" s="84">
        <f>BH56</f>
        <v>496621</v>
      </c>
      <c r="BA130" s="84">
        <f t="shared" si="25"/>
        <v>473441</v>
      </c>
      <c r="BB130" s="84">
        <f t="shared" si="26"/>
        <v>0.58603655491840634</v>
      </c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</row>
    <row r="131" spans="1:64" x14ac:dyDescent="0.2">
      <c r="A131" s="84"/>
      <c r="B131" s="84"/>
      <c r="C131" s="84" t="s">
        <v>163</v>
      </c>
      <c r="D131" s="84">
        <f>M56</f>
        <v>42018</v>
      </c>
      <c r="E131" s="84">
        <f t="shared" si="19"/>
        <v>23383.599999999999</v>
      </c>
      <c r="F131" s="84">
        <f t="shared" si="20"/>
        <v>2.9949777165952575E-2</v>
      </c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 t="s">
        <v>163</v>
      </c>
      <c r="T131" s="84">
        <f>AC56</f>
        <v>84877</v>
      </c>
      <c r="U131" s="84">
        <f t="shared" si="21"/>
        <v>63370</v>
      </c>
      <c r="V131" s="84">
        <f t="shared" si="22"/>
        <v>7.910592454315922E-2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 t="s">
        <v>163</v>
      </c>
      <c r="AJ131" s="84">
        <f>AS56</f>
        <v>359639</v>
      </c>
      <c r="AK131" s="84">
        <f t="shared" si="23"/>
        <v>336061</v>
      </c>
      <c r="AL131" s="84">
        <f t="shared" si="24"/>
        <v>0.41328250553279905</v>
      </c>
      <c r="AX131" s="84"/>
      <c r="AY131" s="84" t="s">
        <v>163</v>
      </c>
      <c r="AZ131" s="84">
        <f>BI56</f>
        <v>548636</v>
      </c>
      <c r="BA131" s="84">
        <f t="shared" si="25"/>
        <v>525456</v>
      </c>
      <c r="BB131" s="84">
        <f t="shared" si="26"/>
        <v>0.65042196176758271</v>
      </c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</row>
    <row r="132" spans="1:64" x14ac:dyDescent="0.2">
      <c r="A132" s="84"/>
      <c r="B132" s="84"/>
      <c r="C132" s="84" t="s">
        <v>164</v>
      </c>
      <c r="D132" s="84">
        <f>N56</f>
        <v>40678</v>
      </c>
      <c r="E132" s="84">
        <f t="shared" si="19"/>
        <v>22043.599999999999</v>
      </c>
      <c r="F132" s="84">
        <f t="shared" si="20"/>
        <v>2.8233501596648596E-2</v>
      </c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 t="s">
        <v>164</v>
      </c>
      <c r="T132" s="84">
        <f>AD56</f>
        <v>85337</v>
      </c>
      <c r="U132" s="84">
        <f t="shared" si="21"/>
        <v>63830</v>
      </c>
      <c r="V132" s="84">
        <f t="shared" si="22"/>
        <v>7.9680150916677503E-2</v>
      </c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 t="s">
        <v>164</v>
      </c>
      <c r="AJ132" s="84">
        <f>AT56</f>
        <v>309771</v>
      </c>
      <c r="AK132" s="84">
        <f t="shared" si="23"/>
        <v>286193</v>
      </c>
      <c r="AL132" s="84">
        <f t="shared" si="24"/>
        <v>0.35195562741867803</v>
      </c>
      <c r="AX132" s="84"/>
      <c r="AY132" s="84" t="s">
        <v>164</v>
      </c>
      <c r="AZ132" s="84">
        <f>BJ56</f>
        <v>506985</v>
      </c>
      <c r="BA132" s="84">
        <f t="shared" si="25"/>
        <v>483805</v>
      </c>
      <c r="BB132" s="84">
        <f t="shared" si="26"/>
        <v>0.59886536115862288</v>
      </c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</row>
    <row r="133" spans="1:64" x14ac:dyDescent="0.2">
      <c r="A133" s="84"/>
      <c r="B133" s="84"/>
      <c r="C133" s="84" t="s">
        <v>165</v>
      </c>
      <c r="D133" s="84">
        <f>E57</f>
        <v>38398</v>
      </c>
      <c r="E133" s="84">
        <f t="shared" si="19"/>
        <v>19763.599999999999</v>
      </c>
      <c r="F133" s="84">
        <f t="shared" si="20"/>
        <v>2.5313271523504519E-2</v>
      </c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 t="s">
        <v>165</v>
      </c>
      <c r="T133" s="84">
        <f>U57</f>
        <v>72075</v>
      </c>
      <c r="U133" s="84">
        <f t="shared" si="21"/>
        <v>50568</v>
      </c>
      <c r="V133" s="84">
        <f t="shared" si="22"/>
        <v>6.3124954904504899E-2</v>
      </c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 t="s">
        <v>165</v>
      </c>
      <c r="AJ133" s="84">
        <f>AK57</f>
        <v>215944</v>
      </c>
      <c r="AK133" s="84">
        <f t="shared" si="23"/>
        <v>192366</v>
      </c>
      <c r="AL133" s="84">
        <f t="shared" si="24"/>
        <v>0.23656866598421841</v>
      </c>
      <c r="AX133" s="84"/>
      <c r="AY133" s="84" t="s">
        <v>165</v>
      </c>
      <c r="AZ133" s="84">
        <f>BA57</f>
        <v>388729</v>
      </c>
      <c r="BA133" s="84">
        <f t="shared" si="25"/>
        <v>365549</v>
      </c>
      <c r="BB133" s="84">
        <f t="shared" si="26"/>
        <v>0.45248526556396368</v>
      </c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</row>
    <row r="134" spans="1:64" x14ac:dyDescent="0.2">
      <c r="A134" s="84"/>
      <c r="B134" s="84"/>
      <c r="C134" s="84" t="s">
        <v>166</v>
      </c>
      <c r="D134" s="84">
        <f>F57</f>
        <v>40017</v>
      </c>
      <c r="E134" s="84">
        <f t="shared" si="19"/>
        <v>21382.6</v>
      </c>
      <c r="F134" s="84">
        <f t="shared" si="20"/>
        <v>2.7386891035969547E-2</v>
      </c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 t="s">
        <v>166</v>
      </c>
      <c r="T134" s="84">
        <f>V57</f>
        <v>76268</v>
      </c>
      <c r="U134" s="84">
        <f t="shared" si="21"/>
        <v>54761</v>
      </c>
      <c r="V134" s="84">
        <f t="shared" si="22"/>
        <v>6.8359153130944331E-2</v>
      </c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 t="s">
        <v>166</v>
      </c>
      <c r="AJ134" s="84">
        <f>AL57</f>
        <v>203578</v>
      </c>
      <c r="AK134" s="84">
        <f t="shared" si="23"/>
        <v>180000</v>
      </c>
      <c r="AL134" s="84">
        <f t="shared" si="24"/>
        <v>0.22136115465913578</v>
      </c>
      <c r="AX134" s="84"/>
      <c r="AY134" s="84" t="s">
        <v>166</v>
      </c>
      <c r="AZ134" s="84">
        <f>BB57</f>
        <v>416772</v>
      </c>
      <c r="BA134" s="84">
        <f t="shared" si="25"/>
        <v>393592</v>
      </c>
      <c r="BB134" s="84">
        <f t="shared" si="26"/>
        <v>0.48719755940749826</v>
      </c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</row>
    <row r="135" spans="1:64" x14ac:dyDescent="0.2">
      <c r="A135" s="84"/>
      <c r="B135" s="84"/>
      <c r="C135" s="84" t="s">
        <v>167</v>
      </c>
      <c r="D135" s="84">
        <f>G57</f>
        <v>40704</v>
      </c>
      <c r="E135" s="84">
        <f t="shared" si="19"/>
        <v>22069.599999999999</v>
      </c>
      <c r="F135" s="84">
        <f t="shared" si="20"/>
        <v>2.826680246590375E-2</v>
      </c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 t="s">
        <v>167</v>
      </c>
      <c r="T135" s="84">
        <f>W57</f>
        <v>81978</v>
      </c>
      <c r="U135" s="84">
        <f t="shared" si="21"/>
        <v>60471</v>
      </c>
      <c r="V135" s="84">
        <f t="shared" si="22"/>
        <v>7.5487050071790782E-2</v>
      </c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 t="s">
        <v>167</v>
      </c>
      <c r="AJ135" s="84">
        <f>AM57</f>
        <v>219519</v>
      </c>
      <c r="AK135" s="84">
        <f t="shared" si="23"/>
        <v>195941</v>
      </c>
      <c r="AL135" s="84">
        <f t="shared" si="24"/>
        <v>0.24096514447258735</v>
      </c>
      <c r="AX135" s="84"/>
      <c r="AY135" s="84" t="s">
        <v>167</v>
      </c>
      <c r="AZ135" s="84">
        <f>BC57</f>
        <v>455215</v>
      </c>
      <c r="BA135" s="84">
        <f t="shared" si="25"/>
        <v>432035</v>
      </c>
      <c r="BB135" s="84">
        <f t="shared" si="26"/>
        <v>0.53478322114935906</v>
      </c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</row>
    <row r="136" spans="1:64" x14ac:dyDescent="0.2">
      <c r="A136" s="84"/>
      <c r="B136" s="84"/>
      <c r="C136" s="84" t="s">
        <v>168</v>
      </c>
      <c r="D136" s="84">
        <f>H57</f>
        <v>42392</v>
      </c>
      <c r="E136" s="84">
        <f t="shared" si="19"/>
        <v>23757.599999999999</v>
      </c>
      <c r="F136" s="84">
        <f t="shared" si="20"/>
        <v>3.0428797362161294E-2</v>
      </c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 t="s">
        <v>168</v>
      </c>
      <c r="T136" s="84">
        <f>X57</f>
        <v>87686</v>
      </c>
      <c r="U136" s="84">
        <f t="shared" si="21"/>
        <v>66179</v>
      </c>
      <c r="V136" s="84">
        <f t="shared" si="22"/>
        <v>8.261245037623062E-2</v>
      </c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 t="s">
        <v>168</v>
      </c>
      <c r="AJ136" s="84">
        <f>AN57</f>
        <v>215281</v>
      </c>
      <c r="AK136" s="84">
        <f t="shared" si="23"/>
        <v>191703</v>
      </c>
      <c r="AL136" s="84">
        <f t="shared" si="24"/>
        <v>0.23575331906455727</v>
      </c>
      <c r="AX136" s="84"/>
      <c r="AY136" s="84" t="s">
        <v>168</v>
      </c>
      <c r="AZ136" s="84">
        <f>BD57</f>
        <v>434800</v>
      </c>
      <c r="BA136" s="84">
        <f t="shared" si="25"/>
        <v>411620</v>
      </c>
      <c r="BB136" s="84">
        <f t="shared" si="26"/>
        <v>0.50951304752971205</v>
      </c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</row>
    <row r="137" spans="1:64" x14ac:dyDescent="0.2">
      <c r="A137" s="84"/>
      <c r="B137" s="84"/>
      <c r="C137" s="84" t="s">
        <v>169</v>
      </c>
      <c r="D137" s="84">
        <f>I57</f>
        <v>41198</v>
      </c>
      <c r="E137" s="84">
        <f t="shared" si="19"/>
        <v>22563.599999999999</v>
      </c>
      <c r="F137" s="84">
        <f t="shared" si="20"/>
        <v>2.8899518981751634E-2</v>
      </c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 t="s">
        <v>169</v>
      </c>
      <c r="T137" s="84">
        <f>Y57</f>
        <v>83276</v>
      </c>
      <c r="U137" s="84">
        <f t="shared" si="21"/>
        <v>61769</v>
      </c>
      <c r="V137" s="84">
        <f t="shared" si="22"/>
        <v>7.7107367099674959E-2</v>
      </c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 t="s">
        <v>169</v>
      </c>
      <c r="AJ137" s="84">
        <f>AO57</f>
        <v>253672</v>
      </c>
      <c r="AK137" s="84">
        <f t="shared" si="23"/>
        <v>230094</v>
      </c>
      <c r="AL137" s="84">
        <f t="shared" si="24"/>
        <v>0.28296596400077328</v>
      </c>
      <c r="AX137" s="84"/>
      <c r="AY137" s="84" t="s">
        <v>169</v>
      </c>
      <c r="AZ137" s="84">
        <f>BE57</f>
        <v>418460</v>
      </c>
      <c r="BA137" s="84">
        <f t="shared" si="25"/>
        <v>395280</v>
      </c>
      <c r="BB137" s="84">
        <f t="shared" si="26"/>
        <v>0.4892870060433035</v>
      </c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</row>
    <row r="138" spans="1:64" x14ac:dyDescent="0.2">
      <c r="A138" s="84"/>
      <c r="B138" s="84"/>
      <c r="C138" s="84" t="s">
        <v>170</v>
      </c>
      <c r="D138" s="84">
        <f>J57</f>
        <v>40903</v>
      </c>
      <c r="E138" s="84">
        <f t="shared" si="19"/>
        <v>22268.6</v>
      </c>
      <c r="F138" s="84">
        <f t="shared" si="20"/>
        <v>2.8521682195972026E-2</v>
      </c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 t="s">
        <v>170</v>
      </c>
      <c r="T138" s="84">
        <f>Z57</f>
        <v>80941</v>
      </c>
      <c r="U138" s="84">
        <f t="shared" si="21"/>
        <v>59434</v>
      </c>
      <c r="V138" s="84">
        <f t="shared" si="22"/>
        <v>7.4192544094968046E-2</v>
      </c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 t="s">
        <v>170</v>
      </c>
      <c r="AJ138" s="84">
        <f>AP57</f>
        <v>274638</v>
      </c>
      <c r="AK138" s="84">
        <f t="shared" si="23"/>
        <v>251060</v>
      </c>
      <c r="AL138" s="84">
        <f t="shared" si="24"/>
        <v>0.30874961938179241</v>
      </c>
      <c r="AX138" s="84"/>
      <c r="AY138" s="84" t="s">
        <v>170</v>
      </c>
      <c r="AZ138" s="84">
        <f>BF57</f>
        <v>460198</v>
      </c>
      <c r="BA138" s="84">
        <f t="shared" si="25"/>
        <v>437018</v>
      </c>
      <c r="BB138" s="84">
        <f t="shared" si="26"/>
        <v>0.5409512973260282</v>
      </c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</row>
    <row r="139" spans="1:64" x14ac:dyDescent="0.2">
      <c r="A139" s="84"/>
      <c r="B139" s="84"/>
      <c r="C139" s="84" t="s">
        <v>171</v>
      </c>
      <c r="D139" s="84">
        <f>K57</f>
        <v>38372</v>
      </c>
      <c r="E139" s="84">
        <f t="shared" si="19"/>
        <v>19737.599999999999</v>
      </c>
      <c r="F139" s="84">
        <f t="shared" si="20"/>
        <v>2.5279970654249369E-2</v>
      </c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 t="s">
        <v>171</v>
      </c>
      <c r="T139" s="84">
        <f>AA57</f>
        <v>76590</v>
      </c>
      <c r="U139" s="84">
        <f t="shared" si="21"/>
        <v>55083</v>
      </c>
      <c r="V139" s="84">
        <f t="shared" si="22"/>
        <v>6.8761111592407123E-2</v>
      </c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 t="s">
        <v>171</v>
      </c>
      <c r="AJ139" s="84">
        <f>AQ57</f>
        <v>242749</v>
      </c>
      <c r="AK139" s="84">
        <f t="shared" si="23"/>
        <v>219171</v>
      </c>
      <c r="AL139" s="84">
        <f t="shared" si="24"/>
        <v>0.2695330312655414</v>
      </c>
      <c r="AX139" s="84"/>
      <c r="AY139" s="84" t="s">
        <v>171</v>
      </c>
      <c r="AZ139" s="84">
        <f>BG57</f>
        <v>393937</v>
      </c>
      <c r="BA139" s="84">
        <f t="shared" si="25"/>
        <v>370757</v>
      </c>
      <c r="BB139" s="84">
        <f t="shared" si="26"/>
        <v>0.45893185210381776</v>
      </c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</row>
    <row r="140" spans="1:64" x14ac:dyDescent="0.2">
      <c r="A140" s="84"/>
      <c r="B140" s="84"/>
      <c r="C140" s="84" t="s">
        <v>172</v>
      </c>
      <c r="D140" s="84">
        <f>L57</f>
        <v>39517</v>
      </c>
      <c r="E140" s="84">
        <f t="shared" si="19"/>
        <v>20882.599999999999</v>
      </c>
      <c r="F140" s="84">
        <f t="shared" si="20"/>
        <v>2.6746489704139707E-2</v>
      </c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 t="s">
        <v>172</v>
      </c>
      <c r="T140" s="84">
        <f>AB57</f>
        <v>75512</v>
      </c>
      <c r="U140" s="84">
        <f t="shared" si="21"/>
        <v>54005</v>
      </c>
      <c r="V140" s="84">
        <f t="shared" si="22"/>
        <v>6.741542456924908E-2</v>
      </c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 t="s">
        <v>172</v>
      </c>
      <c r="AJ140" s="84">
        <f>AR57</f>
        <v>251014</v>
      </c>
      <c r="AK140" s="84">
        <f t="shared" si="23"/>
        <v>227436</v>
      </c>
      <c r="AL140" s="84">
        <f t="shared" si="24"/>
        <v>0.27969719761697337</v>
      </c>
      <c r="AX140" s="84"/>
      <c r="AY140" s="84" t="s">
        <v>172</v>
      </c>
      <c r="AZ140" s="84">
        <f>BH57</f>
        <v>377602</v>
      </c>
      <c r="BA140" s="84">
        <f t="shared" si="25"/>
        <v>354422</v>
      </c>
      <c r="BB140" s="84">
        <f t="shared" si="26"/>
        <v>0.43871199973659109</v>
      </c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</row>
    <row r="141" spans="1:64" x14ac:dyDescent="0.2">
      <c r="A141" s="84"/>
      <c r="B141" s="84"/>
      <c r="C141" s="84" t="s">
        <v>173</v>
      </c>
      <c r="D141" s="84">
        <f>M57</f>
        <v>39767</v>
      </c>
      <c r="E141" s="84">
        <f t="shared" si="19"/>
        <v>21132.6</v>
      </c>
      <c r="F141" s="84">
        <f t="shared" si="20"/>
        <v>2.7066690370054627E-2</v>
      </c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 t="s">
        <v>173</v>
      </c>
      <c r="T141" s="84">
        <f>AC57</f>
        <v>72422</v>
      </c>
      <c r="U141" s="84">
        <f t="shared" si="21"/>
        <v>50915</v>
      </c>
      <c r="V141" s="84">
        <f t="shared" si="22"/>
        <v>6.3558121321050209E-2</v>
      </c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 t="s">
        <v>173</v>
      </c>
      <c r="AJ141" s="84">
        <f>AS57</f>
        <v>236232</v>
      </c>
      <c r="AK141" s="84">
        <f t="shared" si="23"/>
        <v>212654</v>
      </c>
      <c r="AL141" s="84">
        <f t="shared" si="24"/>
        <v>0.26151852768268813</v>
      </c>
      <c r="AX141" s="84"/>
      <c r="AY141" s="84" t="s">
        <v>173</v>
      </c>
      <c r="AZ141" s="84">
        <f>BI57</f>
        <v>386513</v>
      </c>
      <c r="BA141" s="84">
        <f t="shared" si="25"/>
        <v>363333</v>
      </c>
      <c r="BB141" s="84">
        <f t="shared" si="26"/>
        <v>0.44974224794255108</v>
      </c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</row>
    <row r="142" spans="1:64" x14ac:dyDescent="0.2">
      <c r="A142" s="84"/>
      <c r="B142" s="84"/>
      <c r="C142" s="84" t="s">
        <v>174</v>
      </c>
      <c r="D142" s="84">
        <f>N57</f>
        <v>38837</v>
      </c>
      <c r="E142" s="84">
        <f t="shared" si="19"/>
        <v>20202.599999999999</v>
      </c>
      <c r="F142" s="84">
        <f t="shared" si="20"/>
        <v>2.587554389285112E-2</v>
      </c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 t="s">
        <v>174</v>
      </c>
      <c r="T142" s="84">
        <f>AD57</f>
        <v>75469</v>
      </c>
      <c r="U142" s="84">
        <f t="shared" si="21"/>
        <v>53962</v>
      </c>
      <c r="V142" s="84">
        <f t="shared" si="22"/>
        <v>6.7361746886507146E-2</v>
      </c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 t="s">
        <v>174</v>
      </c>
      <c r="AJ142" s="84">
        <f>AT57</f>
        <v>203976</v>
      </c>
      <c r="AK142" s="84">
        <f t="shared" si="23"/>
        <v>180398</v>
      </c>
      <c r="AL142" s="84">
        <f t="shared" si="24"/>
        <v>0.22185060876777099</v>
      </c>
      <c r="AX142" s="84"/>
      <c r="AY142" s="84" t="s">
        <v>174</v>
      </c>
      <c r="AZ142" s="84">
        <f>BJ57</f>
        <v>440771</v>
      </c>
      <c r="BA142" s="84">
        <f t="shared" si="25"/>
        <v>417591</v>
      </c>
      <c r="BB142" s="84">
        <f t="shared" si="26"/>
        <v>0.51690409365672219</v>
      </c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</row>
    <row r="143" spans="1:64" x14ac:dyDescent="0.2">
      <c r="A143" s="84"/>
      <c r="B143" s="84"/>
      <c r="C143" s="84" t="s">
        <v>175</v>
      </c>
      <c r="D143" s="84">
        <f>E58</f>
        <v>38747</v>
      </c>
      <c r="E143" s="84">
        <f t="shared" si="19"/>
        <v>20112.599999999999</v>
      </c>
      <c r="F143" s="84">
        <f t="shared" si="20"/>
        <v>2.5760271653121749E-2</v>
      </c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 t="s">
        <v>175</v>
      </c>
      <c r="T143" s="84">
        <f>U58</f>
        <v>60887</v>
      </c>
      <c r="U143" s="84">
        <f t="shared" si="21"/>
        <v>39380</v>
      </c>
      <c r="V143" s="84">
        <f t="shared" si="22"/>
        <v>4.9158770845977751E-2</v>
      </c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 t="s">
        <v>175</v>
      </c>
      <c r="AJ143" s="84">
        <f>AK58</f>
        <v>107900</v>
      </c>
      <c r="AK143" s="84">
        <f t="shared" si="23"/>
        <v>84322</v>
      </c>
      <c r="AL143" s="84">
        <f t="shared" si="24"/>
        <v>0.1036978626842647</v>
      </c>
      <c r="AX143" s="84"/>
      <c r="AY143" s="84" t="s">
        <v>175</v>
      </c>
      <c r="AZ143" s="84">
        <f>BA58</f>
        <v>160480</v>
      </c>
      <c r="BA143" s="84">
        <f t="shared" si="25"/>
        <v>137300</v>
      </c>
      <c r="BB143" s="84">
        <f t="shared" si="26"/>
        <v>0.1699532127346326</v>
      </c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</row>
    <row r="144" spans="1:64" x14ac:dyDescent="0.2">
      <c r="A144" s="84"/>
      <c r="B144" s="84"/>
      <c r="C144" s="84" t="s">
        <v>176</v>
      </c>
      <c r="D144" s="84">
        <f>F58</f>
        <v>38395</v>
      </c>
      <c r="E144" s="84">
        <f t="shared" si="19"/>
        <v>19760.599999999999</v>
      </c>
      <c r="F144" s="84">
        <f t="shared" si="20"/>
        <v>2.5309429115513541E-2</v>
      </c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 t="s">
        <v>176</v>
      </c>
      <c r="T144" s="84">
        <f>V58</f>
        <v>67966</v>
      </c>
      <c r="U144" s="84">
        <f t="shared" si="21"/>
        <v>46459</v>
      </c>
      <c r="V144" s="84">
        <f t="shared" si="22"/>
        <v>5.7995615407142723E-2</v>
      </c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 t="s">
        <v>176</v>
      </c>
      <c r="AJ144" s="84">
        <f>AL58</f>
        <v>102156</v>
      </c>
      <c r="AK144" s="84">
        <f t="shared" si="23"/>
        <v>78578</v>
      </c>
      <c r="AL144" s="84">
        <f t="shared" si="24"/>
        <v>9.6633982282253172E-2</v>
      </c>
      <c r="AX144" s="84"/>
      <c r="AY144" s="84" t="s">
        <v>176</v>
      </c>
      <c r="AZ144" s="84">
        <f>BB58</f>
        <v>157154</v>
      </c>
      <c r="BA144" s="84">
        <f t="shared" si="25"/>
        <v>133974</v>
      </c>
      <c r="BB144" s="84">
        <f t="shared" si="26"/>
        <v>0.165836210654841</v>
      </c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</row>
    <row r="145" spans="1:64" x14ac:dyDescent="0.2">
      <c r="A145" s="84"/>
      <c r="B145" s="84"/>
      <c r="C145" s="84" t="s">
        <v>177</v>
      </c>
      <c r="D145" s="84">
        <f>G58</f>
        <v>36706</v>
      </c>
      <c r="E145" s="84">
        <f t="shared" si="19"/>
        <v>18071.599999999999</v>
      </c>
      <c r="F145" s="84">
        <f t="shared" si="20"/>
        <v>2.3146153416592336E-2</v>
      </c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 t="s">
        <v>177</v>
      </c>
      <c r="T145" s="84">
        <f>W58</f>
        <v>68960</v>
      </c>
      <c r="U145" s="84">
        <f t="shared" si="21"/>
        <v>47453</v>
      </c>
      <c r="V145" s="84">
        <f t="shared" si="22"/>
        <v>5.9236443701223523E-2</v>
      </c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 t="s">
        <v>177</v>
      </c>
      <c r="AJ145" s="84">
        <f>AM58</f>
        <v>123280</v>
      </c>
      <c r="AK145" s="84">
        <f t="shared" si="23"/>
        <v>99702</v>
      </c>
      <c r="AL145" s="84">
        <f t="shared" si="24"/>
        <v>0.12261194356569531</v>
      </c>
      <c r="AX145" s="84"/>
      <c r="AY145" s="84" t="s">
        <v>177</v>
      </c>
      <c r="AZ145" s="84">
        <f>BC58</f>
        <v>198260</v>
      </c>
      <c r="BA145" s="84">
        <f t="shared" si="25"/>
        <v>175080</v>
      </c>
      <c r="BB145" s="84">
        <f t="shared" si="26"/>
        <v>0.21671819727297506</v>
      </c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</row>
    <row r="146" spans="1:64" x14ac:dyDescent="0.2">
      <c r="A146" s="84"/>
      <c r="B146" s="84"/>
      <c r="C146" s="84" t="s">
        <v>178</v>
      </c>
      <c r="D146" s="84">
        <f>H58</f>
        <v>38193</v>
      </c>
      <c r="E146" s="84">
        <f t="shared" si="19"/>
        <v>19558.599999999999</v>
      </c>
      <c r="F146" s="84">
        <f t="shared" si="20"/>
        <v>2.5050706977454283E-2</v>
      </c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 t="s">
        <v>178</v>
      </c>
      <c r="T146" s="84">
        <f>X58</f>
        <v>65913</v>
      </c>
      <c r="U146" s="84">
        <f t="shared" si="21"/>
        <v>44406</v>
      </c>
      <c r="V146" s="84">
        <f t="shared" si="22"/>
        <v>5.5432818135766587E-2</v>
      </c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 t="s">
        <v>178</v>
      </c>
      <c r="AJ146" s="84">
        <f>AN58</f>
        <v>124837</v>
      </c>
      <c r="AK146" s="84">
        <f t="shared" si="23"/>
        <v>101259</v>
      </c>
      <c r="AL146" s="84">
        <f t="shared" si="24"/>
        <v>0.12452671755349684</v>
      </c>
      <c r="AX146" s="84"/>
      <c r="AY146" s="84" t="s">
        <v>178</v>
      </c>
      <c r="AZ146" s="84">
        <f>BD58</f>
        <v>195040</v>
      </c>
      <c r="BA146" s="84">
        <f t="shared" si="25"/>
        <v>171860</v>
      </c>
      <c r="BB146" s="84">
        <f t="shared" si="26"/>
        <v>0.21273240451983946</v>
      </c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</row>
    <row r="147" spans="1:64" x14ac:dyDescent="0.2">
      <c r="A147" s="84"/>
      <c r="B147" s="84"/>
      <c r="C147" s="84" t="s">
        <v>179</v>
      </c>
      <c r="D147" s="84">
        <f>I58</f>
        <v>38342</v>
      </c>
      <c r="E147" s="84">
        <f t="shared" si="19"/>
        <v>19707.599999999999</v>
      </c>
      <c r="F147" s="84">
        <f t="shared" si="20"/>
        <v>2.5241546574339576E-2</v>
      </c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 t="s">
        <v>179</v>
      </c>
      <c r="T147" s="84">
        <f>Y58</f>
        <v>70660</v>
      </c>
      <c r="U147" s="84">
        <f t="shared" si="21"/>
        <v>49153</v>
      </c>
      <c r="V147" s="84">
        <f t="shared" si="22"/>
        <v>6.1358584646834552E-2</v>
      </c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 t="s">
        <v>179</v>
      </c>
      <c r="AJ147" s="84">
        <f>AO58</f>
        <v>141531</v>
      </c>
      <c r="AK147" s="84">
        <f t="shared" si="23"/>
        <v>117953</v>
      </c>
      <c r="AL147" s="84">
        <f t="shared" si="24"/>
        <v>0.14505673486393914</v>
      </c>
      <c r="AX147" s="84"/>
      <c r="AY147" s="84" t="s">
        <v>179</v>
      </c>
      <c r="AZ147" s="84">
        <f>BE58</f>
        <v>228907</v>
      </c>
      <c r="BA147" s="84">
        <f t="shared" si="25"/>
        <v>205727</v>
      </c>
      <c r="BB147" s="84">
        <f t="shared" si="26"/>
        <v>0.25465378438643671</v>
      </c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</row>
    <row r="148" spans="1:64" x14ac:dyDescent="0.2">
      <c r="A148" s="84"/>
      <c r="B148" s="84"/>
      <c r="C148" s="84" t="s">
        <v>180</v>
      </c>
      <c r="D148" s="84">
        <f>J58</f>
        <v>39116</v>
      </c>
      <c r="E148" s="84">
        <f t="shared" si="19"/>
        <v>20481.599999999999</v>
      </c>
      <c r="F148" s="84">
        <f t="shared" si="20"/>
        <v>2.6232887836012173E-2</v>
      </c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 t="s">
        <v>180</v>
      </c>
      <c r="T148" s="84">
        <f>Z58</f>
        <v>77500</v>
      </c>
      <c r="U148" s="84">
        <f t="shared" si="21"/>
        <v>55993</v>
      </c>
      <c r="V148" s="84">
        <f t="shared" si="22"/>
        <v>6.9897081157410668E-2</v>
      </c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 t="s">
        <v>180</v>
      </c>
      <c r="AJ148" s="84">
        <f>AP58</f>
        <v>166782</v>
      </c>
      <c r="AK148" s="84">
        <f t="shared" si="23"/>
        <v>143204</v>
      </c>
      <c r="AL148" s="84">
        <f t="shared" si="24"/>
        <v>0.17611001551003821</v>
      </c>
      <c r="AX148" s="84"/>
      <c r="AY148" s="84" t="s">
        <v>180</v>
      </c>
      <c r="AZ148" s="84">
        <f>BF58</f>
        <v>258109</v>
      </c>
      <c r="BA148" s="84">
        <f t="shared" si="25"/>
        <v>234929</v>
      </c>
      <c r="BB148" s="84">
        <f t="shared" si="26"/>
        <v>0.29080071605633284</v>
      </c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</row>
    <row r="149" spans="1:64" x14ac:dyDescent="0.2">
      <c r="A149" s="84"/>
      <c r="B149" s="84"/>
      <c r="C149" s="84" t="s">
        <v>181</v>
      </c>
      <c r="D149" s="84">
        <f>K58</f>
        <v>37352</v>
      </c>
      <c r="E149" s="84">
        <f t="shared" si="19"/>
        <v>18717.599999999999</v>
      </c>
      <c r="F149" s="84">
        <f t="shared" si="20"/>
        <v>2.3973551937316491E-2</v>
      </c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 t="s">
        <v>181</v>
      </c>
      <c r="T149" s="84">
        <f>AA58</f>
        <v>63308</v>
      </c>
      <c r="U149" s="84">
        <f t="shared" si="21"/>
        <v>41801</v>
      </c>
      <c r="V149" s="84">
        <f t="shared" si="22"/>
        <v>5.2180949216168511E-2</v>
      </c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 t="s">
        <v>181</v>
      </c>
      <c r="AJ149" s="84">
        <f>AQ58</f>
        <v>125829</v>
      </c>
      <c r="AK149" s="84">
        <f t="shared" si="23"/>
        <v>102251</v>
      </c>
      <c r="AL149" s="84">
        <f t="shared" si="24"/>
        <v>0.12574666347250718</v>
      </c>
      <c r="AX149" s="84"/>
      <c r="AY149" s="84" t="s">
        <v>181</v>
      </c>
      <c r="AZ149" s="84">
        <f>BG58</f>
        <v>177146</v>
      </c>
      <c r="BA149" s="84">
        <f t="shared" si="25"/>
        <v>153966</v>
      </c>
      <c r="BB149" s="84">
        <f t="shared" si="26"/>
        <v>0.19058278479170024</v>
      </c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</row>
    <row r="150" spans="1:64" x14ac:dyDescent="0.2">
      <c r="A150" s="84"/>
      <c r="B150" s="84"/>
      <c r="C150" s="84" t="s">
        <v>182</v>
      </c>
      <c r="D150" s="84">
        <f>L58</f>
        <v>39152</v>
      </c>
      <c r="E150" s="84">
        <f t="shared" si="19"/>
        <v>20517.599999999999</v>
      </c>
      <c r="F150" s="84">
        <f t="shared" si="20"/>
        <v>2.6278996731903922E-2</v>
      </c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 t="s">
        <v>182</v>
      </c>
      <c r="T150" s="84">
        <f>AB58</f>
        <v>80600</v>
      </c>
      <c r="U150" s="84">
        <f t="shared" si="21"/>
        <v>59093</v>
      </c>
      <c r="V150" s="84">
        <f t="shared" si="22"/>
        <v>7.3766867587642546E-2</v>
      </c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 t="s">
        <v>182</v>
      </c>
      <c r="AJ150" s="84">
        <f>AR58</f>
        <v>174913</v>
      </c>
      <c r="AK150" s="84">
        <f t="shared" si="23"/>
        <v>151335</v>
      </c>
      <c r="AL150" s="84">
        <f t="shared" si="24"/>
        <v>0.1861093907796684</v>
      </c>
      <c r="AX150" s="84"/>
      <c r="AY150" s="84" t="s">
        <v>182</v>
      </c>
      <c r="AZ150" s="84">
        <f>BH58</f>
        <v>246842</v>
      </c>
      <c r="BA150" s="84">
        <f t="shared" si="25"/>
        <v>223662</v>
      </c>
      <c r="BB150" s="84">
        <f t="shared" si="26"/>
        <v>0.27685415489186743</v>
      </c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</row>
    <row r="151" spans="1:64" x14ac:dyDescent="0.2">
      <c r="A151" s="84"/>
      <c r="B151" s="84"/>
      <c r="C151" s="84" t="s">
        <v>183</v>
      </c>
      <c r="D151" s="84">
        <f>M58</f>
        <v>39071</v>
      </c>
      <c r="E151" s="84">
        <f t="shared" si="19"/>
        <v>20436.599999999999</v>
      </c>
      <c r="F151" s="84">
        <f t="shared" si="20"/>
        <v>2.6175251716147485E-2</v>
      </c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 t="s">
        <v>183</v>
      </c>
      <c r="T151" s="84">
        <f>AC58</f>
        <v>76058</v>
      </c>
      <c r="U151" s="84">
        <f t="shared" si="21"/>
        <v>54551</v>
      </c>
      <c r="V151" s="84">
        <f t="shared" si="22"/>
        <v>6.8097006308251204E-2</v>
      </c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 t="s">
        <v>183</v>
      </c>
      <c r="AJ151" s="84">
        <f>AS58</f>
        <v>135770</v>
      </c>
      <c r="AK151" s="84">
        <f t="shared" si="23"/>
        <v>112192</v>
      </c>
      <c r="AL151" s="84">
        <f t="shared" si="24"/>
        <v>0.13797194813065422</v>
      </c>
      <c r="AX151" s="84"/>
      <c r="AY151" s="84" t="s">
        <v>183</v>
      </c>
      <c r="AZ151" s="84">
        <f>BI58</f>
        <v>162799</v>
      </c>
      <c r="BA151" s="84">
        <f t="shared" si="25"/>
        <v>139619</v>
      </c>
      <c r="BB151" s="84">
        <f t="shared" si="26"/>
        <v>0.17282372621119205</v>
      </c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</row>
    <row r="152" spans="1:64" x14ac:dyDescent="0.2">
      <c r="A152" s="84"/>
      <c r="B152" s="84"/>
      <c r="C152" s="84" t="s">
        <v>184</v>
      </c>
      <c r="D152" s="84">
        <f>N58</f>
        <v>41898</v>
      </c>
      <c r="E152" s="84">
        <f t="shared" si="19"/>
        <v>23263.599999999999</v>
      </c>
      <c r="F152" s="84">
        <f t="shared" si="20"/>
        <v>2.9796080846313411E-2</v>
      </c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 t="s">
        <v>184</v>
      </c>
      <c r="T152" s="84">
        <f>AD58</f>
        <v>70948</v>
      </c>
      <c r="U152" s="84">
        <f t="shared" si="21"/>
        <v>49441</v>
      </c>
      <c r="V152" s="84">
        <f t="shared" si="22"/>
        <v>6.1718100289385125E-2</v>
      </c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 t="s">
        <v>184</v>
      </c>
      <c r="AJ152" s="84">
        <f>AT58</f>
        <v>114538</v>
      </c>
      <c r="AK152" s="84">
        <f t="shared" si="23"/>
        <v>90960</v>
      </c>
      <c r="AL152" s="84">
        <f t="shared" si="24"/>
        <v>0.11186117015441661</v>
      </c>
      <c r="AX152" s="84"/>
      <c r="AY152" s="84" t="s">
        <v>184</v>
      </c>
      <c r="AZ152" s="84">
        <f>BJ58</f>
        <v>157091</v>
      </c>
      <c r="BA152" s="84">
        <f t="shared" si="25"/>
        <v>133911</v>
      </c>
      <c r="BB152" s="84">
        <f t="shared" si="26"/>
        <v>0.16575822775314922</v>
      </c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</row>
    <row r="153" spans="1:64" x14ac:dyDescent="0.2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</row>
    <row r="154" spans="1:64" x14ac:dyDescent="0.2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</row>
    <row r="155" spans="1:64" x14ac:dyDescent="0.2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</row>
    <row r="156" spans="1:64" x14ac:dyDescent="0.2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</row>
    <row r="157" spans="1:64" x14ac:dyDescent="0.2">
      <c r="A157" s="84"/>
      <c r="B157" s="84" t="s">
        <v>188</v>
      </c>
      <c r="C157" s="84" t="s">
        <v>124</v>
      </c>
      <c r="D157" s="84" t="s">
        <v>191</v>
      </c>
      <c r="E157" s="84" t="s">
        <v>192</v>
      </c>
      <c r="F157" s="84" t="s">
        <v>193</v>
      </c>
      <c r="G157" s="84" t="s">
        <v>194</v>
      </c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</row>
    <row r="158" spans="1:64" x14ac:dyDescent="0.2">
      <c r="A158" s="84"/>
      <c r="B158" s="84" t="s">
        <v>190</v>
      </c>
      <c r="C158" s="84" t="s">
        <v>125</v>
      </c>
      <c r="D158" s="84">
        <f>F93/$F93</f>
        <v>1</v>
      </c>
      <c r="E158" s="84">
        <f>ROUND(V93/$F93,3)</f>
        <v>-11.481999999999999</v>
      </c>
      <c r="F158" s="84">
        <f>ROUND(AL93/$F93,3)</f>
        <v>-5.8339999999999996</v>
      </c>
      <c r="G158" s="84">
        <f>ROUND(BB93/$F93,3)</f>
        <v>-1.4610000000000001</v>
      </c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</row>
    <row r="159" spans="1:64" x14ac:dyDescent="0.2">
      <c r="A159" s="84"/>
      <c r="B159" s="84" t="s">
        <v>190</v>
      </c>
      <c r="C159" s="84" t="s">
        <v>126</v>
      </c>
      <c r="D159" s="84">
        <f t="shared" ref="D159:D217" si="27">F94/$F94</f>
        <v>1</v>
      </c>
      <c r="E159" s="84">
        <f t="shared" ref="E159:E217" si="28">ROUND(V94/$F94,3)</f>
        <v>1.512</v>
      </c>
      <c r="F159" s="84">
        <f t="shared" ref="F159:F217" si="29">ROUND(AL94/$F94,3)</f>
        <v>-3.87</v>
      </c>
      <c r="G159" s="84">
        <f t="shared" ref="G159:G217" si="30">ROUND(BB94/$F94,3)</f>
        <v>-1.7190000000000001</v>
      </c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</row>
    <row r="160" spans="1:64" x14ac:dyDescent="0.2">
      <c r="A160" s="84"/>
      <c r="B160" s="84" t="s">
        <v>190</v>
      </c>
      <c r="C160" s="84" t="s">
        <v>127</v>
      </c>
      <c r="D160" s="84">
        <f t="shared" si="27"/>
        <v>1</v>
      </c>
      <c r="E160" s="84">
        <f t="shared" si="28"/>
        <v>47.460999999999999</v>
      </c>
      <c r="F160" s="84">
        <f t="shared" si="29"/>
        <v>-63.246000000000002</v>
      </c>
      <c r="G160" s="84">
        <f t="shared" si="30"/>
        <v>87.61</v>
      </c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</row>
    <row r="161" spans="1:38" x14ac:dyDescent="0.2">
      <c r="A161" s="84"/>
      <c r="B161" s="84" t="s">
        <v>190</v>
      </c>
      <c r="C161" s="84" t="s">
        <v>128</v>
      </c>
      <c r="D161" s="84">
        <f t="shared" si="27"/>
        <v>1</v>
      </c>
      <c r="E161" s="84">
        <f t="shared" si="28"/>
        <v>-8.2170000000000005</v>
      </c>
      <c r="F161" s="84">
        <f t="shared" si="29"/>
        <v>-6.0990000000000002</v>
      </c>
      <c r="G161" s="84">
        <f t="shared" si="30"/>
        <v>-1.4670000000000001</v>
      </c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</row>
    <row r="162" spans="1:38" x14ac:dyDescent="0.2">
      <c r="A162" s="84"/>
      <c r="B162" s="84" t="s">
        <v>190</v>
      </c>
      <c r="C162" s="84" t="s">
        <v>129</v>
      </c>
      <c r="D162" s="84">
        <f t="shared" si="27"/>
        <v>1</v>
      </c>
      <c r="E162" s="84">
        <f t="shared" si="28"/>
        <v>-2.96</v>
      </c>
      <c r="F162" s="84">
        <f t="shared" si="29"/>
        <v>-5.88</v>
      </c>
      <c r="G162" s="84">
        <f t="shared" si="30"/>
        <v>0.63100000000000001</v>
      </c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</row>
    <row r="163" spans="1:38" x14ac:dyDescent="0.2">
      <c r="A163" s="84"/>
      <c r="B163" s="84" t="s">
        <v>64</v>
      </c>
      <c r="C163" s="84" t="s">
        <v>130</v>
      </c>
      <c r="D163" s="84">
        <f t="shared" si="27"/>
        <v>1</v>
      </c>
      <c r="E163" s="84">
        <f t="shared" si="28"/>
        <v>0.998</v>
      </c>
      <c r="F163" s="84">
        <f t="shared" si="29"/>
        <v>1.0009999999999999</v>
      </c>
      <c r="G163" s="84">
        <f t="shared" si="30"/>
        <v>1.02</v>
      </c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</row>
    <row r="164" spans="1:38" x14ac:dyDescent="0.2">
      <c r="A164" s="84"/>
      <c r="B164" s="84" t="s">
        <v>64</v>
      </c>
      <c r="C164" s="84" t="s">
        <v>131</v>
      </c>
      <c r="D164" s="84">
        <f t="shared" si="27"/>
        <v>1</v>
      </c>
      <c r="E164" s="84">
        <f t="shared" si="28"/>
        <v>0.995</v>
      </c>
      <c r="F164" s="84">
        <f t="shared" si="29"/>
        <v>0.996</v>
      </c>
      <c r="G164" s="84">
        <f t="shared" si="30"/>
        <v>0.96899999999999997</v>
      </c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</row>
    <row r="165" spans="1:38" x14ac:dyDescent="0.2">
      <c r="A165" s="84"/>
      <c r="B165" s="84" t="s">
        <v>64</v>
      </c>
      <c r="C165" s="84" t="s">
        <v>132</v>
      </c>
      <c r="D165" s="84">
        <f t="shared" si="27"/>
        <v>1</v>
      </c>
      <c r="E165" s="84">
        <f t="shared" si="28"/>
        <v>0.997</v>
      </c>
      <c r="F165" s="84">
        <f t="shared" si="29"/>
        <v>0.99299999999999999</v>
      </c>
      <c r="G165" s="84">
        <f t="shared" si="30"/>
        <v>0.996</v>
      </c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</row>
    <row r="166" spans="1:38" x14ac:dyDescent="0.2">
      <c r="A166" s="84"/>
      <c r="B166" s="84" t="s">
        <v>64</v>
      </c>
      <c r="C166" s="84" t="s">
        <v>133</v>
      </c>
      <c r="D166" s="84">
        <f t="shared" si="27"/>
        <v>1</v>
      </c>
      <c r="E166" s="84">
        <f t="shared" si="28"/>
        <v>0.996</v>
      </c>
      <c r="F166" s="84">
        <f t="shared" si="29"/>
        <v>0.99299999999999999</v>
      </c>
      <c r="G166" s="84">
        <f t="shared" si="30"/>
        <v>0.99199999999999999</v>
      </c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</row>
    <row r="167" spans="1:38" x14ac:dyDescent="0.2">
      <c r="A167" s="84"/>
      <c r="B167" s="84" t="s">
        <v>64</v>
      </c>
      <c r="C167" s="84" t="s">
        <v>134</v>
      </c>
      <c r="D167" s="84">
        <f t="shared" si="27"/>
        <v>1</v>
      </c>
      <c r="E167" s="84">
        <f t="shared" si="28"/>
        <v>0.998</v>
      </c>
      <c r="F167" s="84">
        <f t="shared" si="29"/>
        <v>0.99</v>
      </c>
      <c r="G167" s="84">
        <f t="shared" si="30"/>
        <v>0.998</v>
      </c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</row>
    <row r="168" spans="1:38" x14ac:dyDescent="0.2">
      <c r="A168" s="84"/>
      <c r="B168" s="84">
        <v>0</v>
      </c>
      <c r="C168" s="84" t="s">
        <v>135</v>
      </c>
      <c r="D168" s="84">
        <f t="shared" si="27"/>
        <v>1</v>
      </c>
      <c r="E168" s="84">
        <f t="shared" si="28"/>
        <v>4.13</v>
      </c>
      <c r="F168" s="84">
        <f t="shared" si="29"/>
        <v>25.516999999999999</v>
      </c>
      <c r="G168" s="84">
        <f t="shared" si="30"/>
        <v>31.954999999999998</v>
      </c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</row>
    <row r="169" spans="1:38" x14ac:dyDescent="0.2">
      <c r="A169" s="84"/>
      <c r="B169" s="84">
        <v>0</v>
      </c>
      <c r="C169" s="84" t="s">
        <v>136</v>
      </c>
      <c r="D169" s="84">
        <f t="shared" si="27"/>
        <v>1</v>
      </c>
      <c r="E169" s="84">
        <f t="shared" si="28"/>
        <v>3.3849999999999998</v>
      </c>
      <c r="F169" s="84">
        <f t="shared" si="29"/>
        <v>27.023</v>
      </c>
      <c r="G169" s="84">
        <f t="shared" si="30"/>
        <v>37.753999999999998</v>
      </c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</row>
    <row r="170" spans="1:38" x14ac:dyDescent="0.2">
      <c r="A170" s="84"/>
      <c r="B170" s="84">
        <v>0</v>
      </c>
      <c r="C170" s="84" t="s">
        <v>137</v>
      </c>
      <c r="D170" s="84">
        <f t="shared" si="27"/>
        <v>1</v>
      </c>
      <c r="E170" s="84">
        <f t="shared" si="28"/>
        <v>3.9969999999999999</v>
      </c>
      <c r="F170" s="84">
        <f t="shared" si="29"/>
        <v>23.077999999999999</v>
      </c>
      <c r="G170" s="84">
        <f t="shared" si="30"/>
        <v>32.883000000000003</v>
      </c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</row>
    <row r="171" spans="1:38" x14ac:dyDescent="0.2">
      <c r="A171" s="84"/>
      <c r="B171" s="84">
        <v>0</v>
      </c>
      <c r="C171" s="84" t="s">
        <v>138</v>
      </c>
      <c r="D171" s="84">
        <f t="shared" si="27"/>
        <v>1</v>
      </c>
      <c r="E171" s="84">
        <f t="shared" si="28"/>
        <v>4.0039999999999996</v>
      </c>
      <c r="F171" s="84">
        <f t="shared" si="29"/>
        <v>26.308</v>
      </c>
      <c r="G171" s="84">
        <f t="shared" si="30"/>
        <v>38.003999999999998</v>
      </c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</row>
    <row r="172" spans="1:38" x14ac:dyDescent="0.2">
      <c r="A172" s="84"/>
      <c r="B172" s="84">
        <v>0</v>
      </c>
      <c r="C172" s="84" t="s">
        <v>139</v>
      </c>
      <c r="D172" s="84">
        <f t="shared" si="27"/>
        <v>1</v>
      </c>
      <c r="E172" s="84">
        <f t="shared" si="28"/>
        <v>3.633</v>
      </c>
      <c r="F172" s="84">
        <f t="shared" si="29"/>
        <v>20.234999999999999</v>
      </c>
      <c r="G172" s="84">
        <f t="shared" si="30"/>
        <v>34.520000000000003</v>
      </c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</row>
    <row r="173" spans="1:38" x14ac:dyDescent="0.2">
      <c r="A173" s="84"/>
      <c r="B173" s="84">
        <v>0</v>
      </c>
      <c r="C173" s="84" t="s">
        <v>140</v>
      </c>
      <c r="D173" s="84">
        <f t="shared" si="27"/>
        <v>1</v>
      </c>
      <c r="E173" s="84">
        <f t="shared" si="28"/>
        <v>3.7389999999999999</v>
      </c>
      <c r="F173" s="84">
        <f t="shared" si="29"/>
        <v>21.373999999999999</v>
      </c>
      <c r="G173" s="84">
        <f t="shared" si="30"/>
        <v>35.359000000000002</v>
      </c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</row>
    <row r="174" spans="1:38" x14ac:dyDescent="0.2">
      <c r="A174" s="84"/>
      <c r="B174" s="84">
        <v>0</v>
      </c>
      <c r="C174" s="84" t="s">
        <v>141</v>
      </c>
      <c r="D174" s="84">
        <f t="shared" si="27"/>
        <v>1</v>
      </c>
      <c r="E174" s="84">
        <f t="shared" si="28"/>
        <v>4.2160000000000002</v>
      </c>
      <c r="F174" s="84">
        <f t="shared" si="29"/>
        <v>20.692</v>
      </c>
      <c r="G174" s="84">
        <f t="shared" si="30"/>
        <v>32.389000000000003</v>
      </c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</row>
    <row r="175" spans="1:38" x14ac:dyDescent="0.2">
      <c r="A175" s="84"/>
      <c r="B175" s="84">
        <v>0</v>
      </c>
      <c r="C175" s="84" t="s">
        <v>142</v>
      </c>
      <c r="D175" s="84">
        <f t="shared" si="27"/>
        <v>1</v>
      </c>
      <c r="E175" s="84">
        <f t="shared" si="28"/>
        <v>4.2889999999999997</v>
      </c>
      <c r="F175" s="84">
        <f t="shared" si="29"/>
        <v>21.393999999999998</v>
      </c>
      <c r="G175" s="84">
        <f t="shared" si="30"/>
        <v>30.117000000000001</v>
      </c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</row>
    <row r="176" spans="1:38" x14ac:dyDescent="0.2">
      <c r="A176" s="84"/>
      <c r="B176" s="84">
        <v>0</v>
      </c>
      <c r="C176" s="84" t="s">
        <v>143</v>
      </c>
      <c r="D176" s="84">
        <f t="shared" si="27"/>
        <v>1</v>
      </c>
      <c r="E176" s="84">
        <f t="shared" si="28"/>
        <v>4.1340000000000003</v>
      </c>
      <c r="F176" s="84">
        <f t="shared" si="29"/>
        <v>23.712</v>
      </c>
      <c r="G176" s="84">
        <f t="shared" si="30"/>
        <v>33.103999999999999</v>
      </c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</row>
    <row r="177" spans="1:38" x14ac:dyDescent="0.2">
      <c r="A177" s="84"/>
      <c r="B177" s="84">
        <v>0</v>
      </c>
      <c r="C177" s="84" t="s">
        <v>144</v>
      </c>
      <c r="D177" s="84">
        <f t="shared" si="27"/>
        <v>1</v>
      </c>
      <c r="E177" s="84">
        <f t="shared" si="28"/>
        <v>3.4950000000000001</v>
      </c>
      <c r="F177" s="84">
        <f t="shared" si="29"/>
        <v>15.545999999999999</v>
      </c>
      <c r="G177" s="84">
        <f t="shared" si="30"/>
        <v>32.637</v>
      </c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</row>
    <row r="178" spans="1:38" x14ac:dyDescent="0.2">
      <c r="A178" s="84"/>
      <c r="B178" s="84">
        <v>8</v>
      </c>
      <c r="C178" s="84" t="s">
        <v>145</v>
      </c>
      <c r="D178" s="84">
        <f t="shared" si="27"/>
        <v>1</v>
      </c>
      <c r="E178" s="84">
        <f t="shared" si="28"/>
        <v>3.5</v>
      </c>
      <c r="F178" s="84">
        <f t="shared" si="29"/>
        <v>15.464</v>
      </c>
      <c r="G178" s="84">
        <f t="shared" si="30"/>
        <v>28.776</v>
      </c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</row>
    <row r="179" spans="1:38" x14ac:dyDescent="0.2">
      <c r="A179" s="84"/>
      <c r="B179" s="84">
        <v>8</v>
      </c>
      <c r="C179" s="84" t="s">
        <v>146</v>
      </c>
      <c r="D179" s="84">
        <f t="shared" si="27"/>
        <v>1</v>
      </c>
      <c r="E179" s="84">
        <f t="shared" si="28"/>
        <v>2.9510000000000001</v>
      </c>
      <c r="F179" s="84">
        <f t="shared" si="29"/>
        <v>12.712999999999999</v>
      </c>
      <c r="G179" s="84">
        <f t="shared" si="30"/>
        <v>21.206</v>
      </c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</row>
    <row r="180" spans="1:38" x14ac:dyDescent="0.2">
      <c r="A180" s="84"/>
      <c r="B180" s="84">
        <v>8</v>
      </c>
      <c r="C180" s="84" t="s">
        <v>147</v>
      </c>
      <c r="D180" s="84">
        <f t="shared" si="27"/>
        <v>1</v>
      </c>
      <c r="E180" s="84">
        <f t="shared" si="28"/>
        <v>3.0270000000000001</v>
      </c>
      <c r="F180" s="84">
        <f t="shared" si="29"/>
        <v>14.644</v>
      </c>
      <c r="G180" s="84">
        <f t="shared" si="30"/>
        <v>21.774000000000001</v>
      </c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</row>
    <row r="181" spans="1:38" x14ac:dyDescent="0.2">
      <c r="A181" s="84"/>
      <c r="B181" s="84">
        <v>8</v>
      </c>
      <c r="C181" s="84" t="s">
        <v>148</v>
      </c>
      <c r="D181" s="84">
        <f t="shared" si="27"/>
        <v>1</v>
      </c>
      <c r="E181" s="84">
        <f t="shared" si="28"/>
        <v>3.7869999999999999</v>
      </c>
      <c r="F181" s="84">
        <f t="shared" si="29"/>
        <v>15.427</v>
      </c>
      <c r="G181" s="84">
        <f t="shared" si="30"/>
        <v>29.018000000000001</v>
      </c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</row>
    <row r="182" spans="1:38" x14ac:dyDescent="0.2">
      <c r="A182" s="84"/>
      <c r="B182" s="84">
        <v>8</v>
      </c>
      <c r="C182" s="84" t="s">
        <v>149</v>
      </c>
      <c r="D182" s="84">
        <f t="shared" si="27"/>
        <v>1</v>
      </c>
      <c r="E182" s="84">
        <f t="shared" si="28"/>
        <v>3.996</v>
      </c>
      <c r="F182" s="84">
        <f t="shared" si="29"/>
        <v>15.287000000000001</v>
      </c>
      <c r="G182" s="84">
        <f t="shared" si="30"/>
        <v>26.466999999999999</v>
      </c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</row>
    <row r="183" spans="1:38" x14ac:dyDescent="0.2">
      <c r="A183" s="84"/>
      <c r="B183" s="84">
        <v>8</v>
      </c>
      <c r="C183" s="84" t="s">
        <v>150</v>
      </c>
      <c r="D183" s="84">
        <f t="shared" si="27"/>
        <v>1</v>
      </c>
      <c r="E183" s="84">
        <f t="shared" si="28"/>
        <v>3.9780000000000002</v>
      </c>
      <c r="F183" s="84">
        <f t="shared" si="29"/>
        <v>15.583</v>
      </c>
      <c r="G183" s="84">
        <f t="shared" si="30"/>
        <v>23.155999999999999</v>
      </c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</row>
    <row r="184" spans="1:38" x14ac:dyDescent="0.2">
      <c r="A184" s="84"/>
      <c r="B184" s="84">
        <v>8</v>
      </c>
      <c r="C184" s="84" t="s">
        <v>151</v>
      </c>
      <c r="D184" s="84">
        <f t="shared" si="27"/>
        <v>1</v>
      </c>
      <c r="E184" s="84">
        <f t="shared" si="28"/>
        <v>3.7629999999999999</v>
      </c>
      <c r="F184" s="84">
        <f t="shared" si="29"/>
        <v>15.144</v>
      </c>
      <c r="G184" s="84">
        <f t="shared" si="30"/>
        <v>29.122</v>
      </c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</row>
    <row r="185" spans="1:38" x14ac:dyDescent="0.2">
      <c r="A185" s="84"/>
      <c r="B185" s="84">
        <v>8</v>
      </c>
      <c r="C185" s="84" t="s">
        <v>152</v>
      </c>
      <c r="D185" s="84">
        <f t="shared" si="27"/>
        <v>1</v>
      </c>
      <c r="E185" s="84">
        <f t="shared" si="28"/>
        <v>5.1539999999999999</v>
      </c>
      <c r="F185" s="84">
        <f t="shared" si="29"/>
        <v>17.734999999999999</v>
      </c>
      <c r="G185" s="84">
        <f t="shared" si="30"/>
        <v>30.120999999999999</v>
      </c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</row>
    <row r="186" spans="1:38" x14ac:dyDescent="0.2">
      <c r="A186" s="84"/>
      <c r="B186" s="84">
        <v>8</v>
      </c>
      <c r="C186" s="84" t="s">
        <v>153</v>
      </c>
      <c r="D186" s="84">
        <f t="shared" si="27"/>
        <v>1</v>
      </c>
      <c r="E186" s="84">
        <f t="shared" si="28"/>
        <v>3.2309999999999999</v>
      </c>
      <c r="F186" s="84">
        <f t="shared" si="29"/>
        <v>16.422000000000001</v>
      </c>
      <c r="G186" s="84">
        <f t="shared" si="30"/>
        <v>23.596</v>
      </c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</row>
    <row r="187" spans="1:38" x14ac:dyDescent="0.2">
      <c r="A187" s="84"/>
      <c r="B187" s="84">
        <v>8</v>
      </c>
      <c r="C187" s="84" t="s">
        <v>154</v>
      </c>
      <c r="D187" s="84">
        <f t="shared" si="27"/>
        <v>1</v>
      </c>
      <c r="E187" s="84">
        <f t="shared" si="28"/>
        <v>3.2469999999999999</v>
      </c>
      <c r="F187" s="84">
        <f t="shared" si="29"/>
        <v>14.131</v>
      </c>
      <c r="G187" s="84">
        <f t="shared" si="30"/>
        <v>23.908999999999999</v>
      </c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</row>
    <row r="188" spans="1:38" x14ac:dyDescent="0.2">
      <c r="A188" s="84"/>
      <c r="B188" s="84">
        <v>16</v>
      </c>
      <c r="C188" s="84" t="s">
        <v>155</v>
      </c>
      <c r="D188" s="84">
        <f t="shared" si="27"/>
        <v>1</v>
      </c>
      <c r="E188" s="84">
        <f t="shared" si="28"/>
        <v>3.149</v>
      </c>
      <c r="F188" s="84">
        <f t="shared" si="29"/>
        <v>14.737</v>
      </c>
      <c r="G188" s="84">
        <f t="shared" si="30"/>
        <v>24.576000000000001</v>
      </c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</row>
    <row r="189" spans="1:38" x14ac:dyDescent="0.2">
      <c r="A189" s="84"/>
      <c r="B189" s="84">
        <v>16</v>
      </c>
      <c r="C189" s="84" t="s">
        <v>156</v>
      </c>
      <c r="D189" s="84">
        <f t="shared" si="27"/>
        <v>1</v>
      </c>
      <c r="E189" s="84">
        <f t="shared" si="28"/>
        <v>2.7629999999999999</v>
      </c>
      <c r="F189" s="84">
        <f t="shared" si="29"/>
        <v>9.8059999999999992</v>
      </c>
      <c r="G189" s="84">
        <f t="shared" si="30"/>
        <v>20.949000000000002</v>
      </c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</row>
    <row r="190" spans="1:38" x14ac:dyDescent="0.2">
      <c r="A190" s="84"/>
      <c r="B190" s="84">
        <v>16</v>
      </c>
      <c r="C190" s="84" t="s">
        <v>157</v>
      </c>
      <c r="D190" s="84">
        <f t="shared" si="27"/>
        <v>1</v>
      </c>
      <c r="E190" s="84">
        <f t="shared" si="28"/>
        <v>2.9980000000000002</v>
      </c>
      <c r="F190" s="84">
        <f t="shared" si="29"/>
        <v>14.784000000000001</v>
      </c>
      <c r="G190" s="84">
        <f t="shared" si="30"/>
        <v>20.792000000000002</v>
      </c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</row>
    <row r="191" spans="1:38" x14ac:dyDescent="0.2">
      <c r="A191" s="84"/>
      <c r="B191" s="84">
        <v>16</v>
      </c>
      <c r="C191" s="84" t="s">
        <v>158</v>
      </c>
      <c r="D191" s="84">
        <f t="shared" si="27"/>
        <v>1</v>
      </c>
      <c r="E191" s="84">
        <f t="shared" si="28"/>
        <v>3.121</v>
      </c>
      <c r="F191" s="84">
        <f t="shared" si="29"/>
        <v>13.647</v>
      </c>
      <c r="G191" s="84">
        <f t="shared" si="30"/>
        <v>22.387</v>
      </c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</row>
    <row r="192" spans="1:38" x14ac:dyDescent="0.2">
      <c r="A192" s="84"/>
      <c r="B192" s="84">
        <v>16</v>
      </c>
      <c r="C192" s="84" t="s">
        <v>159</v>
      </c>
      <c r="D192" s="84">
        <f t="shared" si="27"/>
        <v>1</v>
      </c>
      <c r="E192" s="84">
        <f t="shared" si="28"/>
        <v>3.266</v>
      </c>
      <c r="F192" s="84">
        <f t="shared" si="29"/>
        <v>14.083</v>
      </c>
      <c r="G192" s="84">
        <f t="shared" si="30"/>
        <v>16.123999999999999</v>
      </c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</row>
    <row r="193" spans="1:38" x14ac:dyDescent="0.2">
      <c r="A193" s="84"/>
      <c r="B193" s="84">
        <v>16</v>
      </c>
      <c r="C193" s="84" t="s">
        <v>160</v>
      </c>
      <c r="D193" s="84">
        <f t="shared" si="27"/>
        <v>1</v>
      </c>
      <c r="E193" s="84">
        <f t="shared" si="28"/>
        <v>3.661</v>
      </c>
      <c r="F193" s="84">
        <f t="shared" si="29"/>
        <v>16.725999999999999</v>
      </c>
      <c r="G193" s="84">
        <f t="shared" si="30"/>
        <v>23.43</v>
      </c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</row>
    <row r="194" spans="1:38" x14ac:dyDescent="0.2">
      <c r="A194" s="84"/>
      <c r="B194" s="84">
        <v>16</v>
      </c>
      <c r="C194" s="84" t="s">
        <v>161</v>
      </c>
      <c r="D194" s="84">
        <f t="shared" si="27"/>
        <v>1</v>
      </c>
      <c r="E194" s="84">
        <f t="shared" si="28"/>
        <v>3.0190000000000001</v>
      </c>
      <c r="F194" s="84">
        <f t="shared" si="29"/>
        <v>13.984</v>
      </c>
      <c r="G194" s="84">
        <f t="shared" si="30"/>
        <v>22.786999999999999</v>
      </c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</row>
    <row r="195" spans="1:38" x14ac:dyDescent="0.2">
      <c r="A195" s="84"/>
      <c r="B195" s="84">
        <v>16</v>
      </c>
      <c r="C195" s="84" t="s">
        <v>162</v>
      </c>
      <c r="D195" s="84">
        <f t="shared" si="27"/>
        <v>1</v>
      </c>
      <c r="E195" s="84">
        <f t="shared" si="28"/>
        <v>3.2909999999999999</v>
      </c>
      <c r="F195" s="84">
        <f t="shared" si="29"/>
        <v>15.981</v>
      </c>
      <c r="G195" s="84">
        <f t="shared" si="30"/>
        <v>22.443000000000001</v>
      </c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</row>
    <row r="196" spans="1:38" x14ac:dyDescent="0.2">
      <c r="A196" s="84"/>
      <c r="B196" s="84">
        <v>16</v>
      </c>
      <c r="C196" s="84" t="s">
        <v>163</v>
      </c>
      <c r="D196" s="84">
        <f t="shared" si="27"/>
        <v>1</v>
      </c>
      <c r="E196" s="84">
        <f t="shared" si="28"/>
        <v>2.641</v>
      </c>
      <c r="F196" s="84">
        <f t="shared" si="29"/>
        <v>13.798999999999999</v>
      </c>
      <c r="G196" s="84">
        <f t="shared" si="30"/>
        <v>21.716999999999999</v>
      </c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</row>
    <row r="197" spans="1:38" x14ac:dyDescent="0.2">
      <c r="A197" s="84"/>
      <c r="B197" s="84">
        <v>16</v>
      </c>
      <c r="C197" s="84" t="s">
        <v>164</v>
      </c>
      <c r="D197" s="84">
        <f t="shared" si="27"/>
        <v>1</v>
      </c>
      <c r="E197" s="84">
        <f t="shared" si="28"/>
        <v>2.8220000000000001</v>
      </c>
      <c r="F197" s="84">
        <f t="shared" si="29"/>
        <v>12.465999999999999</v>
      </c>
      <c r="G197" s="84">
        <f t="shared" si="30"/>
        <v>21.210999999999999</v>
      </c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</row>
    <row r="198" spans="1:38" x14ac:dyDescent="0.2">
      <c r="A198" s="84"/>
      <c r="B198" s="84">
        <v>32</v>
      </c>
      <c r="C198" s="84" t="s">
        <v>165</v>
      </c>
      <c r="D198" s="84">
        <f t="shared" si="27"/>
        <v>1</v>
      </c>
      <c r="E198" s="84">
        <f t="shared" si="28"/>
        <v>2.4940000000000002</v>
      </c>
      <c r="F198" s="84">
        <f t="shared" si="29"/>
        <v>9.3460000000000001</v>
      </c>
      <c r="G198" s="84">
        <f t="shared" si="30"/>
        <v>17.875</v>
      </c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</row>
    <row r="199" spans="1:38" x14ac:dyDescent="0.2">
      <c r="A199" s="84"/>
      <c r="B199" s="84">
        <v>32</v>
      </c>
      <c r="C199" s="84" t="s">
        <v>166</v>
      </c>
      <c r="D199" s="84">
        <f t="shared" si="27"/>
        <v>1</v>
      </c>
      <c r="E199" s="84">
        <f t="shared" si="28"/>
        <v>2.496</v>
      </c>
      <c r="F199" s="84">
        <f t="shared" si="29"/>
        <v>8.0830000000000002</v>
      </c>
      <c r="G199" s="84">
        <f t="shared" si="30"/>
        <v>17.789000000000001</v>
      </c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</row>
    <row r="200" spans="1:38" x14ac:dyDescent="0.2">
      <c r="A200" s="84"/>
      <c r="B200" s="84">
        <v>32</v>
      </c>
      <c r="C200" s="84" t="s">
        <v>167</v>
      </c>
      <c r="D200" s="84">
        <f t="shared" si="27"/>
        <v>1</v>
      </c>
      <c r="E200" s="84">
        <f t="shared" si="28"/>
        <v>2.6709999999999998</v>
      </c>
      <c r="F200" s="84">
        <f t="shared" si="29"/>
        <v>8.5250000000000004</v>
      </c>
      <c r="G200" s="84">
        <f t="shared" si="30"/>
        <v>18.919</v>
      </c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</row>
    <row r="201" spans="1:38" x14ac:dyDescent="0.2">
      <c r="A201" s="84"/>
      <c r="B201" s="84">
        <v>32</v>
      </c>
      <c r="C201" s="84" t="s">
        <v>168</v>
      </c>
      <c r="D201" s="84">
        <f t="shared" si="27"/>
        <v>1</v>
      </c>
      <c r="E201" s="84">
        <f t="shared" si="28"/>
        <v>2.7149999999999999</v>
      </c>
      <c r="F201" s="84">
        <f t="shared" si="29"/>
        <v>7.7480000000000002</v>
      </c>
      <c r="G201" s="84">
        <f t="shared" si="30"/>
        <v>16.744</v>
      </c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</row>
    <row r="202" spans="1:38" x14ac:dyDescent="0.2">
      <c r="A202" s="84"/>
      <c r="B202" s="84">
        <v>32</v>
      </c>
      <c r="C202" s="84" t="s">
        <v>169</v>
      </c>
      <c r="D202" s="84">
        <f t="shared" si="27"/>
        <v>1</v>
      </c>
      <c r="E202" s="84">
        <f t="shared" si="28"/>
        <v>2.6680000000000001</v>
      </c>
      <c r="F202" s="84">
        <f t="shared" si="29"/>
        <v>9.7910000000000004</v>
      </c>
      <c r="G202" s="84">
        <f t="shared" si="30"/>
        <v>16.931000000000001</v>
      </c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</row>
    <row r="203" spans="1:38" x14ac:dyDescent="0.2">
      <c r="A203" s="84"/>
      <c r="B203" s="84">
        <v>32</v>
      </c>
      <c r="C203" s="84" t="s">
        <v>170</v>
      </c>
      <c r="D203" s="84">
        <f t="shared" si="27"/>
        <v>1</v>
      </c>
      <c r="E203" s="84">
        <f t="shared" si="28"/>
        <v>2.601</v>
      </c>
      <c r="F203" s="84">
        <f t="shared" si="29"/>
        <v>10.824999999999999</v>
      </c>
      <c r="G203" s="84">
        <f t="shared" si="30"/>
        <v>18.966000000000001</v>
      </c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</row>
    <row r="204" spans="1:38" x14ac:dyDescent="0.2">
      <c r="A204" s="84"/>
      <c r="B204" s="84">
        <v>32</v>
      </c>
      <c r="C204" s="84" t="s">
        <v>171</v>
      </c>
      <c r="D204" s="84">
        <f t="shared" si="27"/>
        <v>1</v>
      </c>
      <c r="E204" s="84">
        <f t="shared" si="28"/>
        <v>2.72</v>
      </c>
      <c r="F204" s="84">
        <f t="shared" si="29"/>
        <v>10.662000000000001</v>
      </c>
      <c r="G204" s="84">
        <f t="shared" si="30"/>
        <v>18.154</v>
      </c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</row>
    <row r="205" spans="1:38" x14ac:dyDescent="0.2">
      <c r="A205" s="84"/>
      <c r="B205" s="84">
        <v>32</v>
      </c>
      <c r="C205" s="84" t="s">
        <v>172</v>
      </c>
      <c r="D205" s="84">
        <f t="shared" si="27"/>
        <v>1</v>
      </c>
      <c r="E205" s="84">
        <f t="shared" si="28"/>
        <v>2.5209999999999999</v>
      </c>
      <c r="F205" s="84">
        <f t="shared" si="29"/>
        <v>10.457000000000001</v>
      </c>
      <c r="G205" s="84">
        <f t="shared" si="30"/>
        <v>16.402999999999999</v>
      </c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</row>
    <row r="206" spans="1:38" x14ac:dyDescent="0.2">
      <c r="A206" s="84"/>
      <c r="B206" s="84">
        <v>32</v>
      </c>
      <c r="C206" s="84" t="s">
        <v>173</v>
      </c>
      <c r="D206" s="84">
        <f t="shared" si="27"/>
        <v>1</v>
      </c>
      <c r="E206" s="84">
        <f t="shared" si="28"/>
        <v>2.3479999999999999</v>
      </c>
      <c r="F206" s="84">
        <f t="shared" si="29"/>
        <v>9.6620000000000008</v>
      </c>
      <c r="G206" s="84">
        <f t="shared" si="30"/>
        <v>16.616</v>
      </c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</row>
    <row r="207" spans="1:38" x14ac:dyDescent="0.2">
      <c r="A207" s="84"/>
      <c r="B207" s="84">
        <v>32</v>
      </c>
      <c r="C207" s="84" t="s">
        <v>174</v>
      </c>
      <c r="D207" s="84">
        <f t="shared" si="27"/>
        <v>1</v>
      </c>
      <c r="E207" s="84">
        <f t="shared" si="28"/>
        <v>2.6030000000000002</v>
      </c>
      <c r="F207" s="84">
        <f t="shared" si="29"/>
        <v>8.5739999999999998</v>
      </c>
      <c r="G207" s="84">
        <f t="shared" si="30"/>
        <v>19.977</v>
      </c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</row>
    <row r="208" spans="1:38" x14ac:dyDescent="0.2">
      <c r="A208" s="84"/>
      <c r="B208" s="84">
        <v>64</v>
      </c>
      <c r="C208" s="84" t="s">
        <v>175</v>
      </c>
      <c r="D208" s="84">
        <f t="shared" si="27"/>
        <v>1</v>
      </c>
      <c r="E208" s="84">
        <f t="shared" si="28"/>
        <v>1.9079999999999999</v>
      </c>
      <c r="F208" s="84">
        <f t="shared" si="29"/>
        <v>4.0250000000000004</v>
      </c>
      <c r="G208" s="84">
        <f t="shared" si="30"/>
        <v>6.5970000000000004</v>
      </c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</row>
    <row r="209" spans="1:38" x14ac:dyDescent="0.2">
      <c r="A209" s="84"/>
      <c r="B209" s="84">
        <v>64</v>
      </c>
      <c r="C209" s="84" t="s">
        <v>176</v>
      </c>
      <c r="D209" s="84">
        <f t="shared" si="27"/>
        <v>1</v>
      </c>
      <c r="E209" s="84">
        <f t="shared" si="28"/>
        <v>2.2909999999999999</v>
      </c>
      <c r="F209" s="84">
        <f t="shared" si="29"/>
        <v>3.8180000000000001</v>
      </c>
      <c r="G209" s="84">
        <f t="shared" si="30"/>
        <v>6.5519999999999996</v>
      </c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</row>
    <row r="210" spans="1:38" x14ac:dyDescent="0.2">
      <c r="A210" s="84"/>
      <c r="B210" s="84">
        <v>64</v>
      </c>
      <c r="C210" s="84" t="s">
        <v>177</v>
      </c>
      <c r="D210" s="84">
        <f t="shared" si="27"/>
        <v>1</v>
      </c>
      <c r="E210" s="84">
        <f t="shared" si="28"/>
        <v>2.5590000000000002</v>
      </c>
      <c r="F210" s="84">
        <f t="shared" si="29"/>
        <v>5.2969999999999997</v>
      </c>
      <c r="G210" s="84">
        <f t="shared" si="30"/>
        <v>9.3629999999999995</v>
      </c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</row>
    <row r="211" spans="1:38" x14ac:dyDescent="0.2">
      <c r="A211" s="84"/>
      <c r="B211" s="84">
        <v>64</v>
      </c>
      <c r="C211" s="84" t="s">
        <v>178</v>
      </c>
      <c r="D211" s="84">
        <f t="shared" si="27"/>
        <v>1</v>
      </c>
      <c r="E211" s="84">
        <f t="shared" si="28"/>
        <v>2.2130000000000001</v>
      </c>
      <c r="F211" s="84">
        <f t="shared" si="29"/>
        <v>4.9710000000000001</v>
      </c>
      <c r="G211" s="84">
        <f t="shared" si="30"/>
        <v>8.4920000000000009</v>
      </c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</row>
    <row r="212" spans="1:38" x14ac:dyDescent="0.2">
      <c r="A212" s="84"/>
      <c r="B212" s="84">
        <v>64</v>
      </c>
      <c r="C212" s="84" t="s">
        <v>179</v>
      </c>
      <c r="D212" s="84">
        <f t="shared" si="27"/>
        <v>1</v>
      </c>
      <c r="E212" s="84">
        <f t="shared" si="28"/>
        <v>2.431</v>
      </c>
      <c r="F212" s="84">
        <f t="shared" si="29"/>
        <v>5.7469999999999999</v>
      </c>
      <c r="G212" s="84">
        <f t="shared" si="30"/>
        <v>10.089</v>
      </c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</row>
    <row r="213" spans="1:38" x14ac:dyDescent="0.2">
      <c r="A213" s="84"/>
      <c r="B213" s="84">
        <v>64</v>
      </c>
      <c r="C213" s="84" t="s">
        <v>180</v>
      </c>
      <c r="D213" s="84">
        <f t="shared" si="27"/>
        <v>1</v>
      </c>
      <c r="E213" s="84">
        <f t="shared" si="28"/>
        <v>2.6640000000000001</v>
      </c>
      <c r="F213" s="84">
        <f t="shared" si="29"/>
        <v>6.7130000000000001</v>
      </c>
      <c r="G213" s="84">
        <f t="shared" si="30"/>
        <v>11.085000000000001</v>
      </c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</row>
    <row r="214" spans="1:38" x14ac:dyDescent="0.2">
      <c r="A214" s="84"/>
      <c r="B214" s="84">
        <v>64</v>
      </c>
      <c r="C214" s="84" t="s">
        <v>181</v>
      </c>
      <c r="D214" s="84">
        <f t="shared" si="27"/>
        <v>1</v>
      </c>
      <c r="E214" s="84">
        <f t="shared" si="28"/>
        <v>2.177</v>
      </c>
      <c r="F214" s="84">
        <f t="shared" si="29"/>
        <v>5.2450000000000001</v>
      </c>
      <c r="G214" s="84">
        <f t="shared" si="30"/>
        <v>7.95</v>
      </c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</row>
    <row r="215" spans="1:38" x14ac:dyDescent="0.2">
      <c r="A215" s="84"/>
      <c r="B215" s="84">
        <v>64</v>
      </c>
      <c r="C215" s="84" t="s">
        <v>182</v>
      </c>
      <c r="D215" s="84">
        <f t="shared" si="27"/>
        <v>1</v>
      </c>
      <c r="E215" s="84">
        <f t="shared" si="28"/>
        <v>2.8069999999999999</v>
      </c>
      <c r="F215" s="84">
        <f t="shared" si="29"/>
        <v>7.0819999999999999</v>
      </c>
      <c r="G215" s="84">
        <f t="shared" si="30"/>
        <v>10.535</v>
      </c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</row>
    <row r="216" spans="1:38" x14ac:dyDescent="0.2">
      <c r="A216" s="84"/>
      <c r="B216" s="84">
        <v>64</v>
      </c>
      <c r="C216" s="84" t="s">
        <v>183</v>
      </c>
      <c r="D216" s="84">
        <f t="shared" si="27"/>
        <v>1</v>
      </c>
      <c r="E216" s="84">
        <f t="shared" si="28"/>
        <v>2.6019999999999999</v>
      </c>
      <c r="F216" s="84">
        <f t="shared" si="29"/>
        <v>5.2709999999999999</v>
      </c>
      <c r="G216" s="84">
        <f t="shared" si="30"/>
        <v>6.6029999999999998</v>
      </c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</row>
    <row r="217" spans="1:38" x14ac:dyDescent="0.2">
      <c r="A217" s="84"/>
      <c r="B217" s="84">
        <v>64</v>
      </c>
      <c r="C217" s="84" t="s">
        <v>184</v>
      </c>
      <c r="D217" s="84">
        <f t="shared" si="27"/>
        <v>1</v>
      </c>
      <c r="E217" s="84">
        <f t="shared" si="28"/>
        <v>2.0710000000000002</v>
      </c>
      <c r="F217" s="84">
        <f t="shared" si="29"/>
        <v>3.754</v>
      </c>
      <c r="G217" s="84">
        <f t="shared" si="30"/>
        <v>5.5629999999999997</v>
      </c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</row>
    <row r="219" spans="1:38" x14ac:dyDescent="0.2">
      <c r="A219" s="84" t="s">
        <v>188</v>
      </c>
      <c r="B219" s="84"/>
      <c r="C219" s="84"/>
      <c r="D219" s="84"/>
      <c r="E219" s="84"/>
    </row>
    <row r="220" spans="1:38" x14ac:dyDescent="0.2">
      <c r="A220" s="84"/>
      <c r="B220" s="84">
        <v>0</v>
      </c>
      <c r="C220" s="84">
        <v>2</v>
      </c>
      <c r="D220" s="84">
        <v>5</v>
      </c>
      <c r="E220" s="84">
        <v>7</v>
      </c>
    </row>
    <row r="221" spans="1:38" x14ac:dyDescent="0.2">
      <c r="A221" s="84">
        <v>0</v>
      </c>
      <c r="B221" s="84">
        <f>AVERAGE(D168:D177)</f>
        <v>1</v>
      </c>
      <c r="C221" s="84">
        <f t="shared" ref="C221:E221" si="31">AVERAGE(E168:E177)</f>
        <v>3.9021999999999997</v>
      </c>
      <c r="D221" s="84">
        <f t="shared" si="31"/>
        <v>22.4879</v>
      </c>
      <c r="E221" s="84">
        <f t="shared" si="31"/>
        <v>33.872200000000007</v>
      </c>
    </row>
    <row r="222" spans="1:38" x14ac:dyDescent="0.2">
      <c r="A222" s="84">
        <v>8</v>
      </c>
      <c r="B222" s="84">
        <f>AVERAGE(D178:D187)</f>
        <v>1</v>
      </c>
      <c r="C222" s="84">
        <f t="shared" ref="C222:E222" si="32">AVERAGE(E178:E187)</f>
        <v>3.6634000000000002</v>
      </c>
      <c r="D222" s="84">
        <f t="shared" si="32"/>
        <v>15.255000000000001</v>
      </c>
      <c r="E222" s="84">
        <f t="shared" si="32"/>
        <v>25.714500000000005</v>
      </c>
    </row>
    <row r="223" spans="1:38" x14ac:dyDescent="0.2">
      <c r="A223" s="84">
        <v>16</v>
      </c>
      <c r="B223" s="84">
        <f>AVERAGE(D188:D197)</f>
        <v>1</v>
      </c>
      <c r="C223" s="84">
        <f t="shared" ref="C223:E223" si="33">AVERAGE(E188:E197)</f>
        <v>3.0731000000000006</v>
      </c>
      <c r="D223" s="84">
        <f t="shared" si="33"/>
        <v>14.001300000000001</v>
      </c>
      <c r="E223" s="84">
        <f t="shared" si="33"/>
        <v>21.641600000000004</v>
      </c>
    </row>
    <row r="224" spans="1:38" x14ac:dyDescent="0.2">
      <c r="A224" s="84">
        <v>32</v>
      </c>
      <c r="B224" s="84">
        <f>AVERAGE(D198:D207)</f>
        <v>1</v>
      </c>
      <c r="C224" s="84">
        <f t="shared" ref="C224:E224" si="34">AVERAGE(E198:E207)</f>
        <v>2.5836999999999999</v>
      </c>
      <c r="D224" s="84">
        <f t="shared" si="34"/>
        <v>9.367300000000002</v>
      </c>
      <c r="E224" s="84">
        <f t="shared" si="34"/>
        <v>17.837399999999999</v>
      </c>
    </row>
    <row r="225" spans="1:5" x14ac:dyDescent="0.2">
      <c r="A225" s="84">
        <v>64</v>
      </c>
      <c r="B225" s="84">
        <f>AVERAGE(D208:D217)</f>
        <v>1</v>
      </c>
      <c r="C225" s="84">
        <f t="shared" ref="C225:E225" si="35">AVERAGE(E208:E217)</f>
        <v>2.3723000000000001</v>
      </c>
      <c r="D225" s="84">
        <f t="shared" si="35"/>
        <v>5.1923000000000004</v>
      </c>
      <c r="E225" s="84">
        <f t="shared" si="35"/>
        <v>8.2829000000000015</v>
      </c>
    </row>
    <row r="226" spans="1:5" x14ac:dyDescent="0.2">
      <c r="A226" s="84"/>
      <c r="B226" s="84"/>
      <c r="C226" s="84"/>
      <c r="D226" s="84"/>
      <c r="E226" s="84"/>
    </row>
    <row r="227" spans="1:5" x14ac:dyDescent="0.2">
      <c r="A227" s="84" t="s">
        <v>56</v>
      </c>
      <c r="B227" s="84" t="s">
        <v>191</v>
      </c>
      <c r="C227" s="84" t="s">
        <v>192</v>
      </c>
      <c r="D227" s="84" t="s">
        <v>193</v>
      </c>
      <c r="E227" s="84" t="s">
        <v>194</v>
      </c>
    </row>
    <row r="228" spans="1:5" x14ac:dyDescent="0.2">
      <c r="A228" s="84">
        <v>0</v>
      </c>
      <c r="B228" s="84">
        <f>_xlfn.STDEV.P(D168:D177)</f>
        <v>0</v>
      </c>
      <c r="C228" s="84">
        <f t="shared" ref="C228:E228" si="36">_xlfn.STDEV.P(E168:E177)</f>
        <v>0.30091021916844235</v>
      </c>
      <c r="D228" s="84">
        <f t="shared" si="36"/>
        <v>3.2420759229234557</v>
      </c>
      <c r="E228" s="84">
        <f t="shared" si="36"/>
        <v>2.4050320912619845</v>
      </c>
    </row>
    <row r="229" spans="1:5" x14ac:dyDescent="0.2">
      <c r="A229" s="84">
        <v>8</v>
      </c>
      <c r="B229" s="84">
        <f>_xlfn.STDEV.P(D178:D187)</f>
        <v>0</v>
      </c>
      <c r="C229" s="84">
        <f t="shared" ref="C229:E229" si="37">_xlfn.STDEV.P(E178:E187)</f>
        <v>0.61288321889247399</v>
      </c>
      <c r="D229" s="84">
        <f t="shared" si="37"/>
        <v>1.2571771553762818</v>
      </c>
      <c r="E229" s="84">
        <f t="shared" si="37"/>
        <v>3.1941877919120163</v>
      </c>
    </row>
    <row r="230" spans="1:5" x14ac:dyDescent="0.2">
      <c r="A230" s="84">
        <v>16</v>
      </c>
      <c r="B230" s="84">
        <f>_xlfn.STDEV.P(D188:D197)</f>
        <v>0</v>
      </c>
      <c r="C230" s="84">
        <f t="shared" ref="C230:E230" si="38">_xlfn.STDEV.P(E188:E197)</f>
        <v>0.28157821293558921</v>
      </c>
      <c r="D230" s="84">
        <f t="shared" si="38"/>
        <v>1.8063275478162812</v>
      </c>
      <c r="E230" s="84">
        <f t="shared" si="38"/>
        <v>2.1483809811111252</v>
      </c>
    </row>
    <row r="231" spans="1:5" x14ac:dyDescent="0.2">
      <c r="A231" s="84">
        <v>32</v>
      </c>
      <c r="B231" s="84">
        <f>_xlfn.STDEV.P(D198:D207)</f>
        <v>0</v>
      </c>
      <c r="C231" s="84">
        <f t="shared" ref="C231:E231" si="39">_xlfn.STDEV.P(E198:E207)</f>
        <v>0.112445586840925</v>
      </c>
      <c r="D231" s="84">
        <f t="shared" si="39"/>
        <v>1.0423895672923686</v>
      </c>
      <c r="E231" s="84">
        <f t="shared" si="39"/>
        <v>1.1265825491281145</v>
      </c>
    </row>
    <row r="232" spans="1:5" x14ac:dyDescent="0.2">
      <c r="A232" s="84">
        <v>64</v>
      </c>
      <c r="B232" s="84">
        <f>_xlfn.STDEV.P(D208:D217)</f>
        <v>0</v>
      </c>
      <c r="C232" s="84">
        <f t="shared" ref="C232:E232" si="40">_xlfn.STDEV.P(E208:E217)</f>
        <v>0.27232372280063827</v>
      </c>
      <c r="D232" s="84">
        <f t="shared" si="40"/>
        <v>1.0761082705750387</v>
      </c>
      <c r="E232" s="84">
        <f t="shared" si="40"/>
        <v>1.8320772609254192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DDB3-3B05-4D39-AE28-1A6CD4BD7282}">
  <dimension ref="A2:BL233"/>
  <sheetViews>
    <sheetView topLeftCell="A156" zoomScale="51" zoomScaleNormal="55" workbookViewId="0">
      <selection activeCell="AH194" sqref="AH194"/>
    </sheetView>
  </sheetViews>
  <sheetFormatPr baseColWidth="10" defaultRowHeight="12.75" x14ac:dyDescent="0.2"/>
  <sheetData>
    <row r="2" spans="2:64" x14ac:dyDescent="0.2">
      <c r="B2" t="s">
        <v>74</v>
      </c>
    </row>
    <row r="4" spans="2:64" x14ac:dyDescent="0.2">
      <c r="B4" t="s">
        <v>75</v>
      </c>
    </row>
    <row r="5" spans="2:64" x14ac:dyDescent="0.2">
      <c r="C5" t="s">
        <v>52</v>
      </c>
    </row>
    <row r="6" spans="2:64" x14ac:dyDescent="0.2">
      <c r="C6" t="s">
        <v>58</v>
      </c>
    </row>
    <row r="7" spans="2:64" x14ac:dyDescent="0.2">
      <c r="C7" t="s">
        <v>53</v>
      </c>
    </row>
    <row r="8" spans="2:64" x14ac:dyDescent="0.2">
      <c r="B8" t="s">
        <v>59</v>
      </c>
    </row>
    <row r="9" spans="2:64" x14ac:dyDescent="0.2">
      <c r="B9" t="s">
        <v>60</v>
      </c>
    </row>
    <row r="10" spans="2:64" x14ac:dyDescent="0.2">
      <c r="B10" t="s">
        <v>61</v>
      </c>
    </row>
    <row r="12" spans="2:64" x14ac:dyDescent="0.2">
      <c r="B12" s="67" t="s">
        <v>116</v>
      </c>
      <c r="C12" s="5" t="s">
        <v>95</v>
      </c>
      <c r="D12" s="6">
        <v>1</v>
      </c>
      <c r="E12" s="6">
        <v>2</v>
      </c>
      <c r="F12" s="6">
        <v>3</v>
      </c>
      <c r="G12" s="6">
        <v>4</v>
      </c>
      <c r="H12" s="6">
        <v>5</v>
      </c>
      <c r="I12" s="6">
        <v>6</v>
      </c>
      <c r="J12" s="6">
        <v>7</v>
      </c>
      <c r="K12" s="6">
        <v>8</v>
      </c>
      <c r="L12" s="6">
        <v>9</v>
      </c>
      <c r="M12" s="6">
        <v>10</v>
      </c>
      <c r="N12" s="6">
        <v>11</v>
      </c>
      <c r="O12" s="6">
        <v>12</v>
      </c>
      <c r="R12" s="67" t="s">
        <v>117</v>
      </c>
      <c r="S12" s="70" t="s">
        <v>95</v>
      </c>
      <c r="T12" s="71">
        <v>1</v>
      </c>
      <c r="U12" s="71">
        <v>2</v>
      </c>
      <c r="V12" s="71">
        <v>3</v>
      </c>
      <c r="W12" s="71">
        <v>4</v>
      </c>
      <c r="X12" s="71">
        <v>5</v>
      </c>
      <c r="Y12" s="71">
        <v>6</v>
      </c>
      <c r="Z12" s="71">
        <v>7</v>
      </c>
      <c r="AA12" s="71">
        <v>8</v>
      </c>
      <c r="AB12" s="71">
        <v>9</v>
      </c>
      <c r="AC12" s="71">
        <v>10</v>
      </c>
      <c r="AD12" s="71">
        <v>11</v>
      </c>
      <c r="AE12" s="71">
        <v>12</v>
      </c>
      <c r="AF12" s="67"/>
      <c r="AH12" s="84" t="s">
        <v>119</v>
      </c>
      <c r="AI12" s="70" t="s">
        <v>121</v>
      </c>
      <c r="AJ12" s="71">
        <v>1</v>
      </c>
      <c r="AK12" s="71">
        <v>2</v>
      </c>
      <c r="AL12" s="71">
        <v>3</v>
      </c>
      <c r="AM12" s="71">
        <v>4</v>
      </c>
      <c r="AN12" s="71">
        <v>5</v>
      </c>
      <c r="AO12" s="71">
        <v>6</v>
      </c>
      <c r="AP12" s="71">
        <v>7</v>
      </c>
      <c r="AQ12" s="71">
        <v>8</v>
      </c>
      <c r="AR12" s="71">
        <v>9</v>
      </c>
      <c r="AS12" s="71">
        <v>10</v>
      </c>
      <c r="AT12" s="71">
        <v>11</v>
      </c>
      <c r="AU12" s="71">
        <v>12</v>
      </c>
      <c r="AV12" s="84"/>
      <c r="AX12" s="84" t="s">
        <v>196</v>
      </c>
      <c r="AY12" s="70" t="s">
        <v>198</v>
      </c>
      <c r="AZ12" s="71">
        <v>1</v>
      </c>
      <c r="BA12" s="71">
        <v>2</v>
      </c>
      <c r="BB12" s="71">
        <v>3</v>
      </c>
      <c r="BC12" s="71">
        <v>4</v>
      </c>
      <c r="BD12" s="71">
        <v>5</v>
      </c>
      <c r="BE12" s="71">
        <v>6</v>
      </c>
      <c r="BF12" s="71">
        <v>7</v>
      </c>
      <c r="BG12" s="71">
        <v>8</v>
      </c>
      <c r="BH12" s="71">
        <v>9</v>
      </c>
      <c r="BI12" s="71">
        <v>10</v>
      </c>
      <c r="BJ12" s="71">
        <v>11</v>
      </c>
      <c r="BK12" s="71">
        <v>12</v>
      </c>
      <c r="BL12" s="84"/>
    </row>
    <row r="13" spans="2:64" x14ac:dyDescent="0.2">
      <c r="C13" s="6" t="s">
        <v>29</v>
      </c>
      <c r="D13" s="7"/>
      <c r="E13" s="7"/>
      <c r="F13" s="7"/>
      <c r="G13" s="7"/>
      <c r="H13" s="14"/>
      <c r="I13" s="14"/>
      <c r="J13" s="14"/>
      <c r="K13" s="7"/>
      <c r="L13" s="7"/>
      <c r="M13" s="7"/>
      <c r="N13" s="7"/>
      <c r="O13" s="7"/>
      <c r="R13" s="67"/>
      <c r="S13" s="71" t="s">
        <v>29</v>
      </c>
      <c r="T13" s="74"/>
      <c r="U13" s="74"/>
      <c r="V13" s="74"/>
      <c r="W13" s="74"/>
      <c r="X13" s="14"/>
      <c r="Y13" s="14"/>
      <c r="Z13" s="14"/>
      <c r="AA13" s="74"/>
      <c r="AB13" s="74"/>
      <c r="AC13" s="74"/>
      <c r="AD13" s="74"/>
      <c r="AE13" s="74"/>
      <c r="AF13" s="67"/>
      <c r="AH13" s="84"/>
      <c r="AI13" s="71" t="s">
        <v>29</v>
      </c>
      <c r="AJ13" s="74"/>
      <c r="AK13" s="74"/>
      <c r="AL13" s="74"/>
      <c r="AM13" s="74"/>
      <c r="AN13" s="14"/>
      <c r="AO13" s="14"/>
      <c r="AP13" s="14"/>
      <c r="AQ13" s="74"/>
      <c r="AR13" s="74"/>
      <c r="AS13" s="74"/>
      <c r="AT13" s="74"/>
      <c r="AU13" s="74"/>
      <c r="AV13" s="84"/>
      <c r="AX13" s="84"/>
      <c r="AY13" s="71" t="s">
        <v>29</v>
      </c>
      <c r="AZ13" s="74"/>
      <c r="BA13" s="74"/>
      <c r="BB13" s="74"/>
      <c r="BC13" s="74"/>
      <c r="BD13" s="14"/>
      <c r="BE13" s="14"/>
      <c r="BF13" s="14"/>
      <c r="BG13" s="74"/>
      <c r="BH13" s="74"/>
      <c r="BI13" s="74"/>
      <c r="BJ13" s="74"/>
      <c r="BK13" s="74"/>
      <c r="BL13" s="84"/>
    </row>
    <row r="14" spans="2:64" x14ac:dyDescent="0.2">
      <c r="C14" s="6" t="s">
        <v>33</v>
      </c>
      <c r="D14" s="7"/>
      <c r="E14" s="7" t="s">
        <v>77</v>
      </c>
      <c r="F14" s="14" t="s">
        <v>64</v>
      </c>
      <c r="G14" s="7" t="s">
        <v>112</v>
      </c>
      <c r="H14" s="7" t="s">
        <v>112</v>
      </c>
      <c r="I14" s="7" t="s">
        <v>112</v>
      </c>
      <c r="J14" s="7" t="s">
        <v>112</v>
      </c>
      <c r="K14" s="7" t="s">
        <v>112</v>
      </c>
      <c r="L14" s="7" t="s">
        <v>112</v>
      </c>
      <c r="M14" s="7" t="s">
        <v>112</v>
      </c>
      <c r="N14" s="7" t="s">
        <v>112</v>
      </c>
      <c r="O14" s="7"/>
      <c r="R14" s="67"/>
      <c r="S14" s="71" t="s">
        <v>33</v>
      </c>
      <c r="T14" s="74"/>
      <c r="U14" s="74" t="s">
        <v>77</v>
      </c>
      <c r="V14" s="14" t="s">
        <v>64</v>
      </c>
      <c r="W14" s="74" t="s">
        <v>112</v>
      </c>
      <c r="X14" s="74" t="s">
        <v>112</v>
      </c>
      <c r="Y14" s="74" t="s">
        <v>112</v>
      </c>
      <c r="Z14" s="74" t="s">
        <v>112</v>
      </c>
      <c r="AA14" s="74" t="s">
        <v>112</v>
      </c>
      <c r="AB14" s="74" t="s">
        <v>112</v>
      </c>
      <c r="AC14" s="74" t="s">
        <v>112</v>
      </c>
      <c r="AD14" s="74" t="s">
        <v>112</v>
      </c>
      <c r="AE14" s="74"/>
      <c r="AF14" s="67"/>
      <c r="AH14" s="84"/>
      <c r="AI14" s="71" t="s">
        <v>33</v>
      </c>
      <c r="AJ14" s="74"/>
      <c r="AK14" s="74" t="s">
        <v>77</v>
      </c>
      <c r="AL14" s="14" t="s">
        <v>64</v>
      </c>
      <c r="AM14" s="74" t="s">
        <v>112</v>
      </c>
      <c r="AN14" s="74" t="s">
        <v>112</v>
      </c>
      <c r="AO14" s="74" t="s">
        <v>112</v>
      </c>
      <c r="AP14" s="74" t="s">
        <v>112</v>
      </c>
      <c r="AQ14" s="74" t="s">
        <v>112</v>
      </c>
      <c r="AR14" s="74" t="s">
        <v>112</v>
      </c>
      <c r="AS14" s="74" t="s">
        <v>112</v>
      </c>
      <c r="AT14" s="74" t="s">
        <v>112</v>
      </c>
      <c r="AU14" s="74"/>
      <c r="AV14" s="84"/>
      <c r="AX14" s="84"/>
      <c r="AY14" s="71" t="s">
        <v>33</v>
      </c>
      <c r="AZ14" s="74"/>
      <c r="BA14" s="74" t="s">
        <v>77</v>
      </c>
      <c r="BB14" s="14" t="s">
        <v>64</v>
      </c>
      <c r="BC14" s="74" t="s">
        <v>112</v>
      </c>
      <c r="BD14" s="74" t="s">
        <v>112</v>
      </c>
      <c r="BE14" s="74" t="s">
        <v>112</v>
      </c>
      <c r="BF14" s="74" t="s">
        <v>112</v>
      </c>
      <c r="BG14" s="74" t="s">
        <v>112</v>
      </c>
      <c r="BH14" s="74" t="s">
        <v>112</v>
      </c>
      <c r="BI14" s="74" t="s">
        <v>112</v>
      </c>
      <c r="BJ14" s="74" t="s">
        <v>112</v>
      </c>
      <c r="BK14" s="74"/>
      <c r="BL14" s="84"/>
    </row>
    <row r="15" spans="2:64" x14ac:dyDescent="0.2">
      <c r="C15" s="6" t="s">
        <v>36</v>
      </c>
      <c r="D15" s="7"/>
      <c r="E15" s="7" t="s">
        <v>77</v>
      </c>
      <c r="F15" s="14" t="s">
        <v>64</v>
      </c>
      <c r="G15" s="7" t="s">
        <v>112</v>
      </c>
      <c r="H15" s="7" t="s">
        <v>112</v>
      </c>
      <c r="I15" s="7" t="s">
        <v>112</v>
      </c>
      <c r="J15" s="7" t="s">
        <v>112</v>
      </c>
      <c r="K15" s="7" t="s">
        <v>112</v>
      </c>
      <c r="L15" s="7" t="s">
        <v>112</v>
      </c>
      <c r="M15" s="7" t="s">
        <v>112</v>
      </c>
      <c r="N15" s="7" t="s">
        <v>112</v>
      </c>
      <c r="O15" s="7"/>
      <c r="R15" s="67"/>
      <c r="S15" s="71" t="s">
        <v>36</v>
      </c>
      <c r="T15" s="74"/>
      <c r="U15" s="74" t="s">
        <v>77</v>
      </c>
      <c r="V15" s="14" t="s">
        <v>64</v>
      </c>
      <c r="W15" s="74" t="s">
        <v>112</v>
      </c>
      <c r="X15" s="74" t="s">
        <v>112</v>
      </c>
      <c r="Y15" s="74" t="s">
        <v>112</v>
      </c>
      <c r="Z15" s="74" t="s">
        <v>112</v>
      </c>
      <c r="AA15" s="74" t="s">
        <v>112</v>
      </c>
      <c r="AB15" s="74" t="s">
        <v>112</v>
      </c>
      <c r="AC15" s="74" t="s">
        <v>112</v>
      </c>
      <c r="AD15" s="74" t="s">
        <v>112</v>
      </c>
      <c r="AE15" s="74"/>
      <c r="AF15" s="67"/>
      <c r="AH15" s="84"/>
      <c r="AI15" s="71" t="s">
        <v>36</v>
      </c>
      <c r="AJ15" s="74"/>
      <c r="AK15" s="74" t="s">
        <v>77</v>
      </c>
      <c r="AL15" s="14" t="s">
        <v>64</v>
      </c>
      <c r="AM15" s="74" t="s">
        <v>112</v>
      </c>
      <c r="AN15" s="74" t="s">
        <v>112</v>
      </c>
      <c r="AO15" s="74" t="s">
        <v>112</v>
      </c>
      <c r="AP15" s="74" t="s">
        <v>112</v>
      </c>
      <c r="AQ15" s="74" t="s">
        <v>112</v>
      </c>
      <c r="AR15" s="74" t="s">
        <v>112</v>
      </c>
      <c r="AS15" s="74" t="s">
        <v>112</v>
      </c>
      <c r="AT15" s="74" t="s">
        <v>112</v>
      </c>
      <c r="AU15" s="74"/>
      <c r="AV15" s="84"/>
      <c r="AX15" s="84"/>
      <c r="AY15" s="71" t="s">
        <v>36</v>
      </c>
      <c r="AZ15" s="74"/>
      <c r="BA15" s="74" t="s">
        <v>77</v>
      </c>
      <c r="BB15" s="14" t="s">
        <v>64</v>
      </c>
      <c r="BC15" s="74" t="s">
        <v>112</v>
      </c>
      <c r="BD15" s="74" t="s">
        <v>112</v>
      </c>
      <c r="BE15" s="74" t="s">
        <v>112</v>
      </c>
      <c r="BF15" s="74" t="s">
        <v>112</v>
      </c>
      <c r="BG15" s="74" t="s">
        <v>112</v>
      </c>
      <c r="BH15" s="74" t="s">
        <v>112</v>
      </c>
      <c r="BI15" s="74" t="s">
        <v>112</v>
      </c>
      <c r="BJ15" s="74" t="s">
        <v>112</v>
      </c>
      <c r="BK15" s="74"/>
      <c r="BL15" s="84"/>
    </row>
    <row r="16" spans="2:64" x14ac:dyDescent="0.2">
      <c r="C16" s="6" t="s">
        <v>39</v>
      </c>
      <c r="D16" s="7"/>
      <c r="E16" s="7" t="s">
        <v>77</v>
      </c>
      <c r="F16" s="14" t="s">
        <v>64</v>
      </c>
      <c r="G16" s="7" t="s">
        <v>113</v>
      </c>
      <c r="H16" s="7" t="s">
        <v>113</v>
      </c>
      <c r="I16" s="7" t="s">
        <v>113</v>
      </c>
      <c r="J16" s="7" t="s">
        <v>113</v>
      </c>
      <c r="K16" s="7" t="s">
        <v>113</v>
      </c>
      <c r="L16" s="7" t="s">
        <v>113</v>
      </c>
      <c r="M16" s="7" t="s">
        <v>113</v>
      </c>
      <c r="N16" s="7" t="s">
        <v>113</v>
      </c>
      <c r="O16" s="7"/>
      <c r="R16" s="67"/>
      <c r="S16" s="71" t="s">
        <v>39</v>
      </c>
      <c r="T16" s="74"/>
      <c r="U16" s="74" t="s">
        <v>77</v>
      </c>
      <c r="V16" s="14" t="s">
        <v>64</v>
      </c>
      <c r="W16" s="74" t="s">
        <v>113</v>
      </c>
      <c r="X16" s="74" t="s">
        <v>113</v>
      </c>
      <c r="Y16" s="74" t="s">
        <v>113</v>
      </c>
      <c r="Z16" s="74" t="s">
        <v>113</v>
      </c>
      <c r="AA16" s="74" t="s">
        <v>113</v>
      </c>
      <c r="AB16" s="74" t="s">
        <v>113</v>
      </c>
      <c r="AC16" s="74" t="s">
        <v>113</v>
      </c>
      <c r="AD16" s="74" t="s">
        <v>113</v>
      </c>
      <c r="AE16" s="74"/>
      <c r="AF16" s="67"/>
      <c r="AH16" s="84"/>
      <c r="AI16" s="71" t="s">
        <v>39</v>
      </c>
      <c r="AJ16" s="74"/>
      <c r="AK16" s="74" t="s">
        <v>77</v>
      </c>
      <c r="AL16" s="14" t="s">
        <v>64</v>
      </c>
      <c r="AM16" s="74" t="s">
        <v>113</v>
      </c>
      <c r="AN16" s="74" t="s">
        <v>113</v>
      </c>
      <c r="AO16" s="74" t="s">
        <v>113</v>
      </c>
      <c r="AP16" s="74" t="s">
        <v>113</v>
      </c>
      <c r="AQ16" s="74" t="s">
        <v>113</v>
      </c>
      <c r="AR16" s="74" t="s">
        <v>113</v>
      </c>
      <c r="AS16" s="74" t="s">
        <v>113</v>
      </c>
      <c r="AT16" s="74" t="s">
        <v>113</v>
      </c>
      <c r="AU16" s="74"/>
      <c r="AV16" s="84"/>
      <c r="AX16" s="84"/>
      <c r="AY16" s="71" t="s">
        <v>39</v>
      </c>
      <c r="AZ16" s="74"/>
      <c r="BA16" s="74" t="s">
        <v>77</v>
      </c>
      <c r="BB16" s="14" t="s">
        <v>64</v>
      </c>
      <c r="BC16" s="74" t="s">
        <v>113</v>
      </c>
      <c r="BD16" s="74" t="s">
        <v>113</v>
      </c>
      <c r="BE16" s="74" t="s">
        <v>113</v>
      </c>
      <c r="BF16" s="74" t="s">
        <v>113</v>
      </c>
      <c r="BG16" s="74" t="s">
        <v>113</v>
      </c>
      <c r="BH16" s="74" t="s">
        <v>113</v>
      </c>
      <c r="BI16" s="74" t="s">
        <v>113</v>
      </c>
      <c r="BJ16" s="74" t="s">
        <v>113</v>
      </c>
      <c r="BK16" s="74"/>
      <c r="BL16" s="84"/>
    </row>
    <row r="17" spans="2:64" x14ac:dyDescent="0.2">
      <c r="C17" s="6" t="s">
        <v>42</v>
      </c>
      <c r="D17" s="7"/>
      <c r="E17" s="7" t="s">
        <v>77</v>
      </c>
      <c r="F17" s="14" t="s">
        <v>64</v>
      </c>
      <c r="G17" s="7" t="s">
        <v>113</v>
      </c>
      <c r="H17" s="7" t="s">
        <v>113</v>
      </c>
      <c r="I17" s="7" t="s">
        <v>113</v>
      </c>
      <c r="J17" s="7" t="s">
        <v>113</v>
      </c>
      <c r="K17" s="7" t="s">
        <v>113</v>
      </c>
      <c r="L17" s="7" t="s">
        <v>113</v>
      </c>
      <c r="M17" s="7" t="s">
        <v>113</v>
      </c>
      <c r="N17" s="7" t="s">
        <v>113</v>
      </c>
      <c r="O17" s="7"/>
      <c r="R17" s="67"/>
      <c r="S17" s="71" t="s">
        <v>42</v>
      </c>
      <c r="T17" s="74"/>
      <c r="U17" s="74" t="s">
        <v>77</v>
      </c>
      <c r="V17" s="14" t="s">
        <v>64</v>
      </c>
      <c r="W17" s="74" t="s">
        <v>113</v>
      </c>
      <c r="X17" s="74" t="s">
        <v>113</v>
      </c>
      <c r="Y17" s="74" t="s">
        <v>113</v>
      </c>
      <c r="Z17" s="74" t="s">
        <v>113</v>
      </c>
      <c r="AA17" s="74" t="s">
        <v>113</v>
      </c>
      <c r="AB17" s="74" t="s">
        <v>113</v>
      </c>
      <c r="AC17" s="74" t="s">
        <v>113</v>
      </c>
      <c r="AD17" s="74" t="s">
        <v>113</v>
      </c>
      <c r="AE17" s="74"/>
      <c r="AF17" s="67"/>
      <c r="AH17" s="84"/>
      <c r="AI17" s="71" t="s">
        <v>42</v>
      </c>
      <c r="AJ17" s="74"/>
      <c r="AK17" s="74" t="s">
        <v>77</v>
      </c>
      <c r="AL17" s="14" t="s">
        <v>64</v>
      </c>
      <c r="AM17" s="74" t="s">
        <v>113</v>
      </c>
      <c r="AN17" s="74" t="s">
        <v>113</v>
      </c>
      <c r="AO17" s="74" t="s">
        <v>113</v>
      </c>
      <c r="AP17" s="74" t="s">
        <v>113</v>
      </c>
      <c r="AQ17" s="74" t="s">
        <v>113</v>
      </c>
      <c r="AR17" s="74" t="s">
        <v>113</v>
      </c>
      <c r="AS17" s="74" t="s">
        <v>113</v>
      </c>
      <c r="AT17" s="74" t="s">
        <v>113</v>
      </c>
      <c r="AU17" s="74"/>
      <c r="AV17" s="84"/>
      <c r="AX17" s="84"/>
      <c r="AY17" s="71" t="s">
        <v>42</v>
      </c>
      <c r="AZ17" s="74"/>
      <c r="BA17" s="74" t="s">
        <v>77</v>
      </c>
      <c r="BB17" s="14" t="s">
        <v>64</v>
      </c>
      <c r="BC17" s="74" t="s">
        <v>113</v>
      </c>
      <c r="BD17" s="74" t="s">
        <v>113</v>
      </c>
      <c r="BE17" s="74" t="s">
        <v>113</v>
      </c>
      <c r="BF17" s="74" t="s">
        <v>113</v>
      </c>
      <c r="BG17" s="74" t="s">
        <v>113</v>
      </c>
      <c r="BH17" s="74" t="s">
        <v>113</v>
      </c>
      <c r="BI17" s="74" t="s">
        <v>113</v>
      </c>
      <c r="BJ17" s="74" t="s">
        <v>113</v>
      </c>
      <c r="BK17" s="74"/>
      <c r="BL17" s="84"/>
    </row>
    <row r="18" spans="2:64" x14ac:dyDescent="0.2">
      <c r="C18" s="6" t="s">
        <v>43</v>
      </c>
      <c r="D18" s="7"/>
      <c r="E18" s="7" t="s">
        <v>77</v>
      </c>
      <c r="F18" s="14" t="s">
        <v>64</v>
      </c>
      <c r="G18" s="7" t="s">
        <v>114</v>
      </c>
      <c r="H18" s="7" t="s">
        <v>114</v>
      </c>
      <c r="I18" s="7" t="s">
        <v>114</v>
      </c>
      <c r="J18" s="7" t="s">
        <v>114</v>
      </c>
      <c r="K18" s="7" t="s">
        <v>114</v>
      </c>
      <c r="L18" s="7" t="s">
        <v>114</v>
      </c>
      <c r="M18" s="7" t="s">
        <v>114</v>
      </c>
      <c r="N18" s="7" t="s">
        <v>114</v>
      </c>
      <c r="O18" s="7"/>
      <c r="R18" s="67"/>
      <c r="S18" s="71" t="s">
        <v>43</v>
      </c>
      <c r="T18" s="74"/>
      <c r="U18" s="74" t="s">
        <v>77</v>
      </c>
      <c r="V18" s="14" t="s">
        <v>64</v>
      </c>
      <c r="W18" s="74" t="s">
        <v>114</v>
      </c>
      <c r="X18" s="74" t="s">
        <v>114</v>
      </c>
      <c r="Y18" s="74" t="s">
        <v>114</v>
      </c>
      <c r="Z18" s="74" t="s">
        <v>114</v>
      </c>
      <c r="AA18" s="74" t="s">
        <v>114</v>
      </c>
      <c r="AB18" s="74" t="s">
        <v>114</v>
      </c>
      <c r="AC18" s="74" t="s">
        <v>114</v>
      </c>
      <c r="AD18" s="74" t="s">
        <v>114</v>
      </c>
      <c r="AE18" s="74"/>
      <c r="AF18" s="67"/>
      <c r="AH18" s="84"/>
      <c r="AI18" s="71" t="s">
        <v>43</v>
      </c>
      <c r="AJ18" s="74"/>
      <c r="AK18" s="74" t="s">
        <v>77</v>
      </c>
      <c r="AL18" s="14" t="s">
        <v>64</v>
      </c>
      <c r="AM18" s="74" t="s">
        <v>114</v>
      </c>
      <c r="AN18" s="74" t="s">
        <v>114</v>
      </c>
      <c r="AO18" s="74" t="s">
        <v>114</v>
      </c>
      <c r="AP18" s="74" t="s">
        <v>114</v>
      </c>
      <c r="AQ18" s="74" t="s">
        <v>114</v>
      </c>
      <c r="AR18" s="74" t="s">
        <v>114</v>
      </c>
      <c r="AS18" s="74" t="s">
        <v>114</v>
      </c>
      <c r="AT18" s="74" t="s">
        <v>114</v>
      </c>
      <c r="AU18" s="74"/>
      <c r="AV18" s="84"/>
      <c r="AX18" s="84"/>
      <c r="AY18" s="71" t="s">
        <v>43</v>
      </c>
      <c r="AZ18" s="74"/>
      <c r="BA18" s="74" t="s">
        <v>77</v>
      </c>
      <c r="BB18" s="14" t="s">
        <v>64</v>
      </c>
      <c r="BC18" s="74" t="s">
        <v>114</v>
      </c>
      <c r="BD18" s="74" t="s">
        <v>114</v>
      </c>
      <c r="BE18" s="74" t="s">
        <v>114</v>
      </c>
      <c r="BF18" s="74" t="s">
        <v>114</v>
      </c>
      <c r="BG18" s="74" t="s">
        <v>114</v>
      </c>
      <c r="BH18" s="74" t="s">
        <v>114</v>
      </c>
      <c r="BI18" s="74" t="s">
        <v>114</v>
      </c>
      <c r="BJ18" s="74" t="s">
        <v>114</v>
      </c>
      <c r="BK18" s="74"/>
      <c r="BL18" s="84"/>
    </row>
    <row r="19" spans="2:64" x14ac:dyDescent="0.2">
      <c r="C19" s="6" t="s">
        <v>44</v>
      </c>
      <c r="D19" s="7"/>
      <c r="E19" s="7" t="s">
        <v>77</v>
      </c>
      <c r="F19" s="14" t="s">
        <v>64</v>
      </c>
      <c r="G19" s="7" t="s">
        <v>114</v>
      </c>
      <c r="H19" s="7" t="s">
        <v>114</v>
      </c>
      <c r="I19" s="7" t="s">
        <v>114</v>
      </c>
      <c r="J19" s="7" t="s">
        <v>114</v>
      </c>
      <c r="K19" s="7" t="s">
        <v>114</v>
      </c>
      <c r="L19" s="7" t="s">
        <v>114</v>
      </c>
      <c r="M19" s="7" t="s">
        <v>114</v>
      </c>
      <c r="N19" s="7" t="s">
        <v>114</v>
      </c>
      <c r="O19" s="7"/>
      <c r="R19" s="67"/>
      <c r="S19" s="71" t="s">
        <v>44</v>
      </c>
      <c r="T19" s="74"/>
      <c r="U19" s="74" t="s">
        <v>77</v>
      </c>
      <c r="V19" s="14" t="s">
        <v>64</v>
      </c>
      <c r="W19" s="74" t="s">
        <v>114</v>
      </c>
      <c r="X19" s="74" t="s">
        <v>114</v>
      </c>
      <c r="Y19" s="74" t="s">
        <v>114</v>
      </c>
      <c r="Z19" s="74" t="s">
        <v>114</v>
      </c>
      <c r="AA19" s="74" t="s">
        <v>114</v>
      </c>
      <c r="AB19" s="74" t="s">
        <v>114</v>
      </c>
      <c r="AC19" s="74" t="s">
        <v>114</v>
      </c>
      <c r="AD19" s="74" t="s">
        <v>114</v>
      </c>
      <c r="AE19" s="74"/>
      <c r="AF19" s="67"/>
      <c r="AH19" s="84"/>
      <c r="AI19" s="71" t="s">
        <v>44</v>
      </c>
      <c r="AJ19" s="74"/>
      <c r="AK19" s="74" t="s">
        <v>77</v>
      </c>
      <c r="AL19" s="14" t="s">
        <v>64</v>
      </c>
      <c r="AM19" s="74" t="s">
        <v>114</v>
      </c>
      <c r="AN19" s="74" t="s">
        <v>114</v>
      </c>
      <c r="AO19" s="74" t="s">
        <v>114</v>
      </c>
      <c r="AP19" s="74" t="s">
        <v>114</v>
      </c>
      <c r="AQ19" s="74" t="s">
        <v>114</v>
      </c>
      <c r="AR19" s="74" t="s">
        <v>114</v>
      </c>
      <c r="AS19" s="74" t="s">
        <v>114</v>
      </c>
      <c r="AT19" s="74" t="s">
        <v>114</v>
      </c>
      <c r="AU19" s="74"/>
      <c r="AV19" s="84"/>
      <c r="AX19" s="84"/>
      <c r="AY19" s="71" t="s">
        <v>44</v>
      </c>
      <c r="AZ19" s="74"/>
      <c r="BA19" s="74" t="s">
        <v>77</v>
      </c>
      <c r="BB19" s="14" t="s">
        <v>64</v>
      </c>
      <c r="BC19" s="74" t="s">
        <v>114</v>
      </c>
      <c r="BD19" s="74" t="s">
        <v>114</v>
      </c>
      <c r="BE19" s="74" t="s">
        <v>114</v>
      </c>
      <c r="BF19" s="74" t="s">
        <v>114</v>
      </c>
      <c r="BG19" s="74" t="s">
        <v>114</v>
      </c>
      <c r="BH19" s="74" t="s">
        <v>114</v>
      </c>
      <c r="BI19" s="74" t="s">
        <v>114</v>
      </c>
      <c r="BJ19" s="74" t="s">
        <v>114</v>
      </c>
      <c r="BK19" s="74"/>
      <c r="BL19" s="84"/>
    </row>
    <row r="20" spans="2:64" x14ac:dyDescent="0.2">
      <c r="C20" s="6" t="s">
        <v>45</v>
      </c>
      <c r="D20" s="7"/>
      <c r="E20" s="7"/>
      <c r="F20" s="7"/>
      <c r="G20" s="7"/>
      <c r="H20" s="14"/>
      <c r="I20" s="14"/>
      <c r="J20" s="14"/>
      <c r="K20" s="7"/>
      <c r="L20" s="7"/>
      <c r="M20" s="7"/>
      <c r="N20" s="7"/>
      <c r="O20" s="7"/>
      <c r="R20" s="67"/>
      <c r="S20" s="71" t="s">
        <v>45</v>
      </c>
      <c r="T20" s="74"/>
      <c r="U20" s="74"/>
      <c r="V20" s="74"/>
      <c r="W20" s="74"/>
      <c r="X20" s="14"/>
      <c r="Y20" s="14"/>
      <c r="Z20" s="14"/>
      <c r="AA20" s="74"/>
      <c r="AB20" s="74"/>
      <c r="AC20" s="74"/>
      <c r="AD20" s="74"/>
      <c r="AE20" s="74"/>
      <c r="AF20" s="67"/>
      <c r="AH20" s="84"/>
      <c r="AI20" s="71" t="s">
        <v>45</v>
      </c>
      <c r="AJ20" s="74"/>
      <c r="AK20" s="74"/>
      <c r="AL20" s="74"/>
      <c r="AM20" s="74"/>
      <c r="AN20" s="14"/>
      <c r="AO20" s="14"/>
      <c r="AP20" s="14"/>
      <c r="AQ20" s="74"/>
      <c r="AR20" s="74"/>
      <c r="AS20" s="74"/>
      <c r="AT20" s="74"/>
      <c r="AU20" s="74"/>
      <c r="AV20" s="84"/>
      <c r="AX20" s="84"/>
      <c r="AY20" s="71" t="s">
        <v>45</v>
      </c>
      <c r="AZ20" s="74"/>
      <c r="BA20" s="74"/>
      <c r="BB20" s="74"/>
      <c r="BC20" s="74"/>
      <c r="BD20" s="14"/>
      <c r="BE20" s="14"/>
      <c r="BF20" s="14"/>
      <c r="BG20" s="74"/>
      <c r="BH20" s="74"/>
      <c r="BI20" s="74"/>
      <c r="BJ20" s="74"/>
      <c r="BK20" s="74"/>
      <c r="BL20" s="84"/>
    </row>
    <row r="21" spans="2:64" x14ac:dyDescent="0.2"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</row>
    <row r="22" spans="2:64" x14ac:dyDescent="0.2">
      <c r="B22" t="s">
        <v>0</v>
      </c>
      <c r="C22" t="s">
        <v>1</v>
      </c>
      <c r="R22" s="79" t="s">
        <v>0</v>
      </c>
      <c r="S22" s="79" t="s">
        <v>1</v>
      </c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H22" s="84" t="s">
        <v>0</v>
      </c>
      <c r="AI22" s="84" t="s">
        <v>1</v>
      </c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X22" s="84" t="s">
        <v>0</v>
      </c>
      <c r="AY22" s="84" t="s">
        <v>1</v>
      </c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</row>
    <row r="23" spans="2:64" x14ac:dyDescent="0.2"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</row>
    <row r="24" spans="2:64" x14ac:dyDescent="0.2">
      <c r="B24" t="s">
        <v>2</v>
      </c>
      <c r="C24" t="s">
        <v>97</v>
      </c>
      <c r="R24" s="79" t="s">
        <v>2</v>
      </c>
      <c r="S24" s="79" t="s">
        <v>118</v>
      </c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H24" s="84" t="s">
        <v>2</v>
      </c>
      <c r="AI24" s="84" t="s">
        <v>123</v>
      </c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X24" s="84" t="s">
        <v>2</v>
      </c>
      <c r="AY24" s="84" t="s">
        <v>195</v>
      </c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</row>
    <row r="25" spans="2:64" x14ac:dyDescent="0.2">
      <c r="B25" t="s">
        <v>3</v>
      </c>
      <c r="C25" t="s">
        <v>98</v>
      </c>
      <c r="R25" s="79" t="s">
        <v>3</v>
      </c>
      <c r="S25" s="79" t="s">
        <v>98</v>
      </c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H25" s="84" t="s">
        <v>3</v>
      </c>
      <c r="AI25" s="84" t="s">
        <v>98</v>
      </c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X25" s="84" t="s">
        <v>3</v>
      </c>
      <c r="AY25" s="84" t="s">
        <v>98</v>
      </c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</row>
    <row r="26" spans="2:64" x14ac:dyDescent="0.2">
      <c r="B26" t="s">
        <v>4</v>
      </c>
      <c r="C26" t="s">
        <v>115</v>
      </c>
      <c r="R26" s="79" t="s">
        <v>4</v>
      </c>
      <c r="S26" s="79" t="s">
        <v>115</v>
      </c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H26" s="84" t="s">
        <v>4</v>
      </c>
      <c r="AI26" s="84" t="s">
        <v>115</v>
      </c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X26" s="84" t="s">
        <v>4</v>
      </c>
      <c r="AY26" s="84" t="s">
        <v>115</v>
      </c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</row>
    <row r="27" spans="2:64" x14ac:dyDescent="0.2">
      <c r="B27" t="s">
        <v>6</v>
      </c>
      <c r="C27" s="1">
        <v>45679</v>
      </c>
      <c r="R27" s="79" t="s">
        <v>6</v>
      </c>
      <c r="S27" s="80">
        <v>45681</v>
      </c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H27" s="84" t="s">
        <v>6</v>
      </c>
      <c r="AI27" s="80">
        <v>45684</v>
      </c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X27" s="84" t="s">
        <v>6</v>
      </c>
      <c r="AY27" s="80">
        <v>45686</v>
      </c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</row>
    <row r="28" spans="2:64" x14ac:dyDescent="0.2">
      <c r="B28" t="s">
        <v>7</v>
      </c>
      <c r="C28" s="2">
        <v>0.58535879629629628</v>
      </c>
      <c r="R28" s="79" t="s">
        <v>7</v>
      </c>
      <c r="S28" s="81">
        <v>0.58013888888888887</v>
      </c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H28" s="84" t="s">
        <v>7</v>
      </c>
      <c r="AI28" s="81">
        <v>0.59319444444444447</v>
      </c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X28" s="84" t="s">
        <v>7</v>
      </c>
      <c r="AY28" s="81">
        <v>0.5912384259259259</v>
      </c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</row>
    <row r="29" spans="2:64" x14ac:dyDescent="0.2">
      <c r="B29" t="s">
        <v>8</v>
      </c>
      <c r="C29" t="s">
        <v>9</v>
      </c>
      <c r="R29" s="79" t="s">
        <v>8</v>
      </c>
      <c r="S29" s="79" t="s">
        <v>9</v>
      </c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H29" s="84" t="s">
        <v>8</v>
      </c>
      <c r="AI29" s="84" t="s">
        <v>9</v>
      </c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X29" s="84" t="s">
        <v>8</v>
      </c>
      <c r="AY29" s="84" t="s">
        <v>9</v>
      </c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</row>
    <row r="30" spans="2:64" x14ac:dyDescent="0.2">
      <c r="B30" t="s">
        <v>10</v>
      </c>
      <c r="C30" t="s">
        <v>11</v>
      </c>
      <c r="R30" s="79" t="s">
        <v>10</v>
      </c>
      <c r="S30" s="79" t="s">
        <v>11</v>
      </c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H30" s="84" t="s">
        <v>10</v>
      </c>
      <c r="AI30" s="84" t="s">
        <v>11</v>
      </c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X30" s="84" t="s">
        <v>10</v>
      </c>
      <c r="AY30" s="84" t="s">
        <v>11</v>
      </c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</row>
    <row r="31" spans="2:64" x14ac:dyDescent="0.2">
      <c r="B31" t="s">
        <v>12</v>
      </c>
      <c r="C31" t="s">
        <v>13</v>
      </c>
      <c r="R31" s="79" t="s">
        <v>12</v>
      </c>
      <c r="S31" s="79" t="s">
        <v>13</v>
      </c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H31" s="84" t="s">
        <v>12</v>
      </c>
      <c r="AI31" s="84" t="s">
        <v>13</v>
      </c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X31" s="84" t="s">
        <v>12</v>
      </c>
      <c r="AY31" s="84" t="s">
        <v>13</v>
      </c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</row>
    <row r="32" spans="2:64" x14ac:dyDescent="0.2"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</row>
    <row r="33" spans="2:64" ht="25.5" x14ac:dyDescent="0.2">
      <c r="B33" s="3" t="s">
        <v>14</v>
      </c>
      <c r="C33" s="4"/>
      <c r="R33" s="82" t="s">
        <v>14</v>
      </c>
      <c r="S33" s="83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H33" s="82" t="s">
        <v>14</v>
      </c>
      <c r="AI33" s="83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X33" s="82" t="s">
        <v>14</v>
      </c>
      <c r="AY33" s="83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</row>
    <row r="34" spans="2:64" x14ac:dyDescent="0.2">
      <c r="B34" t="s">
        <v>15</v>
      </c>
      <c r="C34" t="s">
        <v>16</v>
      </c>
      <c r="R34" s="79" t="s">
        <v>15</v>
      </c>
      <c r="S34" s="79" t="s">
        <v>16</v>
      </c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H34" s="84" t="s">
        <v>15</v>
      </c>
      <c r="AI34" s="84" t="s">
        <v>16</v>
      </c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X34" s="84" t="s">
        <v>15</v>
      </c>
      <c r="AY34" s="84" t="s">
        <v>16</v>
      </c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</row>
    <row r="35" spans="2:64" x14ac:dyDescent="0.2">
      <c r="B35" t="s">
        <v>17</v>
      </c>
      <c r="R35" s="79" t="s">
        <v>17</v>
      </c>
      <c r="S35" s="79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H35" s="84" t="s">
        <v>17</v>
      </c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X35" s="84" t="s">
        <v>17</v>
      </c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</row>
    <row r="36" spans="2:64" x14ac:dyDescent="0.2">
      <c r="B36" t="s">
        <v>67</v>
      </c>
      <c r="C36" t="s">
        <v>68</v>
      </c>
      <c r="R36" s="79" t="s">
        <v>67</v>
      </c>
      <c r="S36" s="79" t="s">
        <v>68</v>
      </c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H36" s="84" t="s">
        <v>67</v>
      </c>
      <c r="AI36" s="84" t="s">
        <v>68</v>
      </c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X36" s="84" t="s">
        <v>67</v>
      </c>
      <c r="AY36" s="84" t="s">
        <v>68</v>
      </c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</row>
    <row r="37" spans="2:64" x14ac:dyDescent="0.2">
      <c r="C37" t="s">
        <v>69</v>
      </c>
      <c r="R37" s="79"/>
      <c r="S37" s="79" t="s">
        <v>69</v>
      </c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H37" s="84"/>
      <c r="AI37" s="84" t="s">
        <v>69</v>
      </c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X37" s="84"/>
      <c r="AY37" s="84" t="s">
        <v>69</v>
      </c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</row>
    <row r="38" spans="2:64" x14ac:dyDescent="0.2">
      <c r="B38" t="s">
        <v>18</v>
      </c>
      <c r="C38" t="s">
        <v>19</v>
      </c>
      <c r="R38" s="79" t="s">
        <v>18</v>
      </c>
      <c r="S38" s="79" t="s">
        <v>19</v>
      </c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H38" s="84" t="s">
        <v>18</v>
      </c>
      <c r="AI38" s="84" t="s">
        <v>19</v>
      </c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X38" s="84" t="s">
        <v>18</v>
      </c>
      <c r="AY38" s="84" t="s">
        <v>19</v>
      </c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</row>
    <row r="39" spans="2:64" x14ac:dyDescent="0.2">
      <c r="C39" t="s">
        <v>20</v>
      </c>
      <c r="R39" s="79"/>
      <c r="S39" s="79" t="s">
        <v>20</v>
      </c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H39" s="84"/>
      <c r="AI39" s="84" t="s">
        <v>20</v>
      </c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X39" s="84"/>
      <c r="AY39" s="84" t="s">
        <v>20</v>
      </c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</row>
    <row r="40" spans="2:64" x14ac:dyDescent="0.2">
      <c r="C40" t="s">
        <v>21</v>
      </c>
      <c r="R40" s="79"/>
      <c r="S40" s="79" t="s">
        <v>21</v>
      </c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H40" s="84"/>
      <c r="AI40" s="84" t="s">
        <v>21</v>
      </c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X40" s="84"/>
      <c r="AY40" s="84" t="s">
        <v>21</v>
      </c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</row>
    <row r="41" spans="2:64" x14ac:dyDescent="0.2">
      <c r="C41" t="s">
        <v>22</v>
      </c>
      <c r="R41" s="79"/>
      <c r="S41" s="79" t="s">
        <v>22</v>
      </c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H41" s="84"/>
      <c r="AI41" s="84" t="s">
        <v>22</v>
      </c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X41" s="84"/>
      <c r="AY41" s="84" t="s">
        <v>22</v>
      </c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</row>
    <row r="42" spans="2:64" x14ac:dyDescent="0.2">
      <c r="C42" t="s">
        <v>23</v>
      </c>
      <c r="R42" s="79"/>
      <c r="S42" s="79" t="s">
        <v>23</v>
      </c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H42" s="84"/>
      <c r="AI42" s="84" t="s">
        <v>23</v>
      </c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X42" s="84"/>
      <c r="AY42" s="84" t="s">
        <v>23</v>
      </c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</row>
    <row r="43" spans="2:64" x14ac:dyDescent="0.2">
      <c r="C43" t="s">
        <v>24</v>
      </c>
      <c r="R43" s="79"/>
      <c r="S43" s="79" t="s">
        <v>24</v>
      </c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H43" s="84"/>
      <c r="AI43" s="84" t="s">
        <v>24</v>
      </c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X43" s="84"/>
      <c r="AY43" s="84" t="s">
        <v>24</v>
      </c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</row>
    <row r="44" spans="2:64" x14ac:dyDescent="0.2">
      <c r="C44" t="s">
        <v>25</v>
      </c>
      <c r="R44" s="79"/>
      <c r="S44" s="79" t="s">
        <v>25</v>
      </c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H44" s="84"/>
      <c r="AI44" s="84" t="s">
        <v>25</v>
      </c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X44" s="84"/>
      <c r="AY44" s="84" t="s">
        <v>25</v>
      </c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</row>
    <row r="45" spans="2:64" x14ac:dyDescent="0.2">
      <c r="C45" t="s">
        <v>26</v>
      </c>
      <c r="R45" s="79"/>
      <c r="S45" s="79" t="s">
        <v>26</v>
      </c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H45" s="84"/>
      <c r="AI45" s="84" t="s">
        <v>26</v>
      </c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X45" s="84"/>
      <c r="AY45" s="84" t="s">
        <v>26</v>
      </c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</row>
    <row r="46" spans="2:64" x14ac:dyDescent="0.2">
      <c r="C46" t="s">
        <v>27</v>
      </c>
      <c r="R46" s="79"/>
      <c r="S46" s="79" t="s">
        <v>27</v>
      </c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H46" s="84"/>
      <c r="AI46" s="84" t="s">
        <v>27</v>
      </c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X46" s="84"/>
      <c r="AY46" s="84" t="s">
        <v>27</v>
      </c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</row>
    <row r="47" spans="2:64" x14ac:dyDescent="0.2"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</row>
    <row r="48" spans="2:64" ht="25.5" x14ac:dyDescent="0.2">
      <c r="B48" s="3" t="s">
        <v>47</v>
      </c>
      <c r="C48" s="4"/>
      <c r="R48" s="68" t="s">
        <v>47</v>
      </c>
      <c r="S48" s="69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H48" s="82" t="s">
        <v>47</v>
      </c>
      <c r="AI48" s="83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X48" s="82" t="s">
        <v>47</v>
      </c>
      <c r="AY48" s="83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</row>
    <row r="49" spans="2:64" x14ac:dyDescent="0.2">
      <c r="B49" t="s">
        <v>48</v>
      </c>
      <c r="C49">
        <v>37</v>
      </c>
      <c r="R49" s="67" t="s">
        <v>48</v>
      </c>
      <c r="S49" s="67">
        <v>37</v>
      </c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H49" s="84" t="s">
        <v>48</v>
      </c>
      <c r="AI49" s="84">
        <v>37</v>
      </c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X49" s="84" t="s">
        <v>48</v>
      </c>
      <c r="AY49" s="84">
        <v>37</v>
      </c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</row>
    <row r="50" spans="2:64" x14ac:dyDescent="0.2"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</row>
    <row r="51" spans="2:64" x14ac:dyDescent="0.2">
      <c r="C51" s="5"/>
      <c r="D51" s="6">
        <v>1</v>
      </c>
      <c r="E51" s="6">
        <v>2</v>
      </c>
      <c r="F51" s="6">
        <v>3</v>
      </c>
      <c r="G51" s="6">
        <v>4</v>
      </c>
      <c r="H51" s="6">
        <v>5</v>
      </c>
      <c r="I51" s="6">
        <v>6</v>
      </c>
      <c r="J51" s="6">
        <v>7</v>
      </c>
      <c r="K51" s="6">
        <v>8</v>
      </c>
      <c r="L51" s="6">
        <v>9</v>
      </c>
      <c r="M51" s="6">
        <v>10</v>
      </c>
      <c r="N51" s="6">
        <v>11</v>
      </c>
      <c r="O51" s="6">
        <v>12</v>
      </c>
      <c r="R51" s="67"/>
      <c r="S51" s="70"/>
      <c r="T51" s="71">
        <v>1</v>
      </c>
      <c r="U51" s="71">
        <v>2</v>
      </c>
      <c r="V51" s="71">
        <v>3</v>
      </c>
      <c r="W51" s="71">
        <v>4</v>
      </c>
      <c r="X51" s="71">
        <v>5</v>
      </c>
      <c r="Y51" s="71">
        <v>6</v>
      </c>
      <c r="Z51" s="71">
        <v>7</v>
      </c>
      <c r="AA51" s="71">
        <v>8</v>
      </c>
      <c r="AB51" s="71">
        <v>9</v>
      </c>
      <c r="AC51" s="71">
        <v>10</v>
      </c>
      <c r="AD51" s="71">
        <v>11</v>
      </c>
      <c r="AE51" s="71">
        <v>12</v>
      </c>
      <c r="AF51" s="67"/>
      <c r="AH51" s="84"/>
      <c r="AI51" s="70"/>
      <c r="AJ51" s="71">
        <v>1</v>
      </c>
      <c r="AK51" s="71">
        <v>2</v>
      </c>
      <c r="AL51" s="71">
        <v>3</v>
      </c>
      <c r="AM51" s="71">
        <v>4</v>
      </c>
      <c r="AN51" s="71">
        <v>5</v>
      </c>
      <c r="AO51" s="71">
        <v>6</v>
      </c>
      <c r="AP51" s="71">
        <v>7</v>
      </c>
      <c r="AQ51" s="71">
        <v>8</v>
      </c>
      <c r="AR51" s="71">
        <v>9</v>
      </c>
      <c r="AS51" s="71">
        <v>10</v>
      </c>
      <c r="AT51" s="71">
        <v>11</v>
      </c>
      <c r="AU51" s="71">
        <v>12</v>
      </c>
      <c r="AV51" s="84"/>
      <c r="AX51" s="84"/>
      <c r="AY51" s="70"/>
      <c r="AZ51" s="71">
        <v>1</v>
      </c>
      <c r="BA51" s="71">
        <v>2</v>
      </c>
      <c r="BB51" s="71">
        <v>3</v>
      </c>
      <c r="BC51" s="71">
        <v>4</v>
      </c>
      <c r="BD51" s="71">
        <v>5</v>
      </c>
      <c r="BE51" s="71">
        <v>6</v>
      </c>
      <c r="BF51" s="71">
        <v>7</v>
      </c>
      <c r="BG51" s="71">
        <v>8</v>
      </c>
      <c r="BH51" s="71">
        <v>9</v>
      </c>
      <c r="BI51" s="71">
        <v>10</v>
      </c>
      <c r="BJ51" s="71">
        <v>11</v>
      </c>
      <c r="BK51" s="71">
        <v>12</v>
      </c>
      <c r="BL51" s="84"/>
    </row>
    <row r="52" spans="2:64" ht="18" x14ac:dyDescent="0.2">
      <c r="C52" s="6" t="s">
        <v>29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8" t="s">
        <v>47</v>
      </c>
      <c r="Q52" s="8"/>
      <c r="R52" s="67"/>
      <c r="S52" s="71" t="s">
        <v>29</v>
      </c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3" t="s">
        <v>47</v>
      </c>
      <c r="AH52" s="84"/>
      <c r="AI52" s="71" t="s">
        <v>29</v>
      </c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3" t="s">
        <v>47</v>
      </c>
      <c r="AX52" s="84"/>
      <c r="AY52" s="71" t="s">
        <v>29</v>
      </c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3" t="s">
        <v>47</v>
      </c>
    </row>
    <row r="53" spans="2:64" ht="18" x14ac:dyDescent="0.2">
      <c r="C53" s="6" t="s">
        <v>33</v>
      </c>
      <c r="D53" s="15"/>
      <c r="E53" s="13">
        <v>18617</v>
      </c>
      <c r="F53" s="12">
        <v>766121</v>
      </c>
      <c r="G53" s="13">
        <v>36013</v>
      </c>
      <c r="H53" s="13">
        <v>35354</v>
      </c>
      <c r="I53" s="13">
        <v>34832</v>
      </c>
      <c r="J53" s="13">
        <v>35912</v>
      </c>
      <c r="K53" s="13">
        <v>35759</v>
      </c>
      <c r="L53" s="13">
        <v>35838</v>
      </c>
      <c r="M53" s="13">
        <v>34196</v>
      </c>
      <c r="N53" s="13">
        <v>35481</v>
      </c>
      <c r="O53" s="15"/>
      <c r="P53" s="8" t="s">
        <v>47</v>
      </c>
      <c r="Q53" s="8"/>
      <c r="R53" s="67"/>
      <c r="S53" s="71" t="s">
        <v>33</v>
      </c>
      <c r="T53" s="72"/>
      <c r="U53" s="85">
        <v>21943</v>
      </c>
      <c r="V53" s="86">
        <v>808360</v>
      </c>
      <c r="W53" s="87">
        <v>71541</v>
      </c>
      <c r="X53" s="87">
        <v>83608</v>
      </c>
      <c r="Y53" s="87">
        <v>76280</v>
      </c>
      <c r="Z53" s="87">
        <v>88086</v>
      </c>
      <c r="AA53" s="87">
        <v>81372</v>
      </c>
      <c r="AB53" s="87">
        <v>83524</v>
      </c>
      <c r="AC53" s="87">
        <v>77615</v>
      </c>
      <c r="AD53" s="87">
        <v>83738</v>
      </c>
      <c r="AE53" s="72"/>
      <c r="AF53" s="73" t="s">
        <v>47</v>
      </c>
      <c r="AH53" s="84"/>
      <c r="AI53" s="71" t="s">
        <v>33</v>
      </c>
      <c r="AJ53" s="72"/>
      <c r="AK53" s="85">
        <v>23218</v>
      </c>
      <c r="AL53" s="86">
        <v>817877</v>
      </c>
      <c r="AM53" s="91">
        <v>335399</v>
      </c>
      <c r="AN53" s="93">
        <v>525350</v>
      </c>
      <c r="AO53" s="92">
        <v>378110</v>
      </c>
      <c r="AP53" s="93">
        <v>471363</v>
      </c>
      <c r="AQ53" s="92">
        <v>396602</v>
      </c>
      <c r="AR53" s="92">
        <v>388906</v>
      </c>
      <c r="AS53" s="91">
        <v>341291</v>
      </c>
      <c r="AT53" s="92">
        <v>392667</v>
      </c>
      <c r="AU53" s="72"/>
      <c r="AV53" s="73" t="s">
        <v>47</v>
      </c>
      <c r="AX53" s="84"/>
      <c r="AY53" s="71" t="s">
        <v>33</v>
      </c>
      <c r="AZ53" s="72"/>
      <c r="BA53" s="85">
        <v>23977</v>
      </c>
      <c r="BB53" s="86">
        <v>795232</v>
      </c>
      <c r="BC53" s="97">
        <v>684040</v>
      </c>
      <c r="BD53" s="97">
        <v>631806</v>
      </c>
      <c r="BE53" s="96">
        <v>575440</v>
      </c>
      <c r="BF53" s="96">
        <v>579326</v>
      </c>
      <c r="BG53" s="96">
        <v>576189</v>
      </c>
      <c r="BH53" s="97">
        <v>666197</v>
      </c>
      <c r="BI53" s="96">
        <v>598846</v>
      </c>
      <c r="BJ53" s="96">
        <v>586917</v>
      </c>
      <c r="BK53" s="72"/>
      <c r="BL53" s="73" t="s">
        <v>47</v>
      </c>
    </row>
    <row r="54" spans="2:64" ht="18" x14ac:dyDescent="0.2">
      <c r="C54" s="6" t="s">
        <v>36</v>
      </c>
      <c r="D54" s="15"/>
      <c r="E54" s="13">
        <v>18568</v>
      </c>
      <c r="F54" s="12">
        <v>775861</v>
      </c>
      <c r="G54" s="13">
        <v>37387</v>
      </c>
      <c r="H54" s="13">
        <v>32959</v>
      </c>
      <c r="I54" s="13">
        <v>36844</v>
      </c>
      <c r="J54" s="13">
        <v>36518</v>
      </c>
      <c r="K54" s="13">
        <v>37808</v>
      </c>
      <c r="L54" s="13">
        <v>34740</v>
      </c>
      <c r="M54" s="13">
        <v>35409</v>
      </c>
      <c r="N54" s="13">
        <v>36282</v>
      </c>
      <c r="O54" s="15"/>
      <c r="P54" s="8" t="s">
        <v>47</v>
      </c>
      <c r="Q54" s="8"/>
      <c r="R54" s="67"/>
      <c r="S54" s="71" t="s">
        <v>36</v>
      </c>
      <c r="T54" s="72"/>
      <c r="U54" s="85">
        <v>21710</v>
      </c>
      <c r="V54" s="86">
        <v>800493</v>
      </c>
      <c r="W54" s="87">
        <v>82275</v>
      </c>
      <c r="X54" s="87">
        <v>81873</v>
      </c>
      <c r="Y54" s="87">
        <v>83508</v>
      </c>
      <c r="Z54" s="87">
        <v>80018</v>
      </c>
      <c r="AA54" s="87">
        <v>87889</v>
      </c>
      <c r="AB54" s="87">
        <v>73291</v>
      </c>
      <c r="AC54" s="87">
        <v>70308</v>
      </c>
      <c r="AD54" s="87">
        <v>88549</v>
      </c>
      <c r="AE54" s="72"/>
      <c r="AF54" s="73" t="s">
        <v>47</v>
      </c>
      <c r="AH54" s="84"/>
      <c r="AI54" s="71" t="s">
        <v>36</v>
      </c>
      <c r="AJ54" s="72"/>
      <c r="AK54" s="85">
        <v>23613</v>
      </c>
      <c r="AL54" s="86">
        <v>809803</v>
      </c>
      <c r="AM54" s="92">
        <v>392033</v>
      </c>
      <c r="AN54" s="92">
        <v>408652</v>
      </c>
      <c r="AO54" s="91">
        <v>341548</v>
      </c>
      <c r="AP54" s="92">
        <v>392032</v>
      </c>
      <c r="AQ54" s="93">
        <v>483042</v>
      </c>
      <c r="AR54" s="92">
        <v>363399</v>
      </c>
      <c r="AS54" s="91">
        <v>314755</v>
      </c>
      <c r="AT54" s="94">
        <v>422193</v>
      </c>
      <c r="AU54" s="72"/>
      <c r="AV54" s="73" t="s">
        <v>47</v>
      </c>
      <c r="AX54" s="84"/>
      <c r="AY54" s="71" t="s">
        <v>36</v>
      </c>
      <c r="AZ54" s="72"/>
      <c r="BA54" s="85">
        <v>23530</v>
      </c>
      <c r="BB54" s="86">
        <v>796782</v>
      </c>
      <c r="BC54" s="97">
        <v>654795</v>
      </c>
      <c r="BD54" s="97">
        <v>639502</v>
      </c>
      <c r="BE54" s="96">
        <v>592465</v>
      </c>
      <c r="BF54" s="96">
        <v>594012</v>
      </c>
      <c r="BG54" s="96">
        <v>588833</v>
      </c>
      <c r="BH54" s="95">
        <v>570814</v>
      </c>
      <c r="BI54" s="95">
        <v>563212</v>
      </c>
      <c r="BJ54" s="95">
        <v>567671</v>
      </c>
      <c r="BK54" s="72"/>
      <c r="BL54" s="73" t="s">
        <v>47</v>
      </c>
    </row>
    <row r="55" spans="2:64" ht="18" x14ac:dyDescent="0.2">
      <c r="C55" s="6" t="s">
        <v>39</v>
      </c>
      <c r="D55" s="15"/>
      <c r="E55" s="13">
        <v>18624</v>
      </c>
      <c r="F55" s="12">
        <v>773379</v>
      </c>
      <c r="G55" s="13">
        <v>34306</v>
      </c>
      <c r="H55" s="13">
        <v>32940</v>
      </c>
      <c r="I55" s="13">
        <v>31506</v>
      </c>
      <c r="J55" s="13">
        <v>32600</v>
      </c>
      <c r="K55" s="13">
        <v>33198</v>
      </c>
      <c r="L55" s="13">
        <v>31861</v>
      </c>
      <c r="M55" s="13">
        <v>33904</v>
      </c>
      <c r="N55" s="13">
        <v>31442</v>
      </c>
      <c r="O55" s="15"/>
      <c r="P55" s="8" t="s">
        <v>47</v>
      </c>
      <c r="Q55" s="8"/>
      <c r="R55" s="67"/>
      <c r="S55" s="71" t="s">
        <v>39</v>
      </c>
      <c r="T55" s="72"/>
      <c r="U55" s="85">
        <v>21269</v>
      </c>
      <c r="V55" s="86">
        <v>803160</v>
      </c>
      <c r="W55" s="87">
        <v>80146</v>
      </c>
      <c r="X55" s="87">
        <v>76004</v>
      </c>
      <c r="Y55" s="87">
        <v>80960</v>
      </c>
      <c r="Z55" s="87">
        <v>71379</v>
      </c>
      <c r="AA55" s="87">
        <v>71276</v>
      </c>
      <c r="AB55" s="87">
        <v>69022</v>
      </c>
      <c r="AC55" s="87">
        <v>84420</v>
      </c>
      <c r="AD55" s="87">
        <v>77948</v>
      </c>
      <c r="AE55" s="72"/>
      <c r="AF55" s="73" t="s">
        <v>47</v>
      </c>
      <c r="AH55" s="84"/>
      <c r="AI55" s="71" t="s">
        <v>39</v>
      </c>
      <c r="AJ55" s="72"/>
      <c r="AK55" s="85">
        <v>22791</v>
      </c>
      <c r="AL55" s="86">
        <v>813337</v>
      </c>
      <c r="AM55" s="92">
        <v>396633</v>
      </c>
      <c r="AN55" s="92">
        <v>367867</v>
      </c>
      <c r="AO55" s="92">
        <v>366331</v>
      </c>
      <c r="AP55" s="91">
        <v>334618</v>
      </c>
      <c r="AQ55" s="92">
        <v>386669</v>
      </c>
      <c r="AR55" s="91">
        <v>315628</v>
      </c>
      <c r="AS55" s="92">
        <v>357325</v>
      </c>
      <c r="AT55" s="92">
        <v>389126</v>
      </c>
      <c r="AU55" s="72"/>
      <c r="AV55" s="73" t="s">
        <v>47</v>
      </c>
      <c r="AX55" s="84"/>
      <c r="AY55" s="71" t="s">
        <v>39</v>
      </c>
      <c r="AZ55" s="72"/>
      <c r="BA55" s="85">
        <v>23234</v>
      </c>
      <c r="BB55" s="86">
        <v>802638</v>
      </c>
      <c r="BC55" s="96">
        <v>589020</v>
      </c>
      <c r="BD55" s="95">
        <v>571959</v>
      </c>
      <c r="BE55" s="96">
        <v>616405</v>
      </c>
      <c r="BF55" s="97">
        <v>676746</v>
      </c>
      <c r="BG55" s="96">
        <v>607533</v>
      </c>
      <c r="BH55" s="95">
        <v>524516</v>
      </c>
      <c r="BI55" s="96">
        <v>578760</v>
      </c>
      <c r="BJ55" s="95">
        <v>549336</v>
      </c>
      <c r="BK55" s="72"/>
      <c r="BL55" s="73" t="s">
        <v>47</v>
      </c>
    </row>
    <row r="56" spans="2:64" ht="18" x14ac:dyDescent="0.2">
      <c r="C56" s="6" t="s">
        <v>42</v>
      </c>
      <c r="D56" s="15"/>
      <c r="E56" s="13">
        <v>18701</v>
      </c>
      <c r="F56" s="12">
        <v>765024</v>
      </c>
      <c r="G56" s="13">
        <v>33801</v>
      </c>
      <c r="H56" s="13">
        <v>32055</v>
      </c>
      <c r="I56" s="13">
        <v>33533</v>
      </c>
      <c r="J56" s="13">
        <v>26498</v>
      </c>
      <c r="K56" s="13">
        <v>31865</v>
      </c>
      <c r="L56" s="13">
        <v>32483</v>
      </c>
      <c r="M56" s="13">
        <v>31396</v>
      </c>
      <c r="N56" s="13">
        <v>31576</v>
      </c>
      <c r="O56" s="15"/>
      <c r="P56" s="8" t="s">
        <v>47</v>
      </c>
      <c r="Q56" s="8"/>
      <c r="R56" s="67"/>
      <c r="S56" s="71" t="s">
        <v>42</v>
      </c>
      <c r="T56" s="72"/>
      <c r="U56" s="85">
        <v>22147</v>
      </c>
      <c r="V56" s="86">
        <v>800719</v>
      </c>
      <c r="W56" s="87">
        <v>74476</v>
      </c>
      <c r="X56" s="87">
        <v>73723</v>
      </c>
      <c r="Y56" s="87">
        <v>85195</v>
      </c>
      <c r="Z56" s="87">
        <v>82712</v>
      </c>
      <c r="AA56" s="87">
        <v>91451</v>
      </c>
      <c r="AB56" s="87">
        <v>92829</v>
      </c>
      <c r="AC56" s="87">
        <v>99795</v>
      </c>
      <c r="AD56" s="87">
        <v>97757</v>
      </c>
      <c r="AE56" s="72"/>
      <c r="AF56" s="73" t="s">
        <v>47</v>
      </c>
      <c r="AH56" s="84"/>
      <c r="AI56" s="71" t="s">
        <v>42</v>
      </c>
      <c r="AJ56" s="72"/>
      <c r="AK56" s="85">
        <v>23205</v>
      </c>
      <c r="AL56" s="86">
        <v>820017</v>
      </c>
      <c r="AM56" s="91">
        <v>345420</v>
      </c>
      <c r="AN56" s="91">
        <v>309073</v>
      </c>
      <c r="AO56" s="92">
        <v>383878</v>
      </c>
      <c r="AP56" s="91">
        <v>345605</v>
      </c>
      <c r="AQ56" s="92">
        <v>388459</v>
      </c>
      <c r="AR56" s="94">
        <v>421278</v>
      </c>
      <c r="AS56" s="92">
        <v>409079</v>
      </c>
      <c r="AT56" s="91">
        <v>318614</v>
      </c>
      <c r="AU56" s="72"/>
      <c r="AV56" s="73" t="s">
        <v>47</v>
      </c>
      <c r="AX56" s="84"/>
      <c r="AY56" s="71" t="s">
        <v>42</v>
      </c>
      <c r="AZ56" s="72"/>
      <c r="BA56" s="85">
        <v>23445</v>
      </c>
      <c r="BB56" s="86">
        <v>802560</v>
      </c>
      <c r="BC56" s="96">
        <v>603916</v>
      </c>
      <c r="BD56" s="93">
        <v>506890</v>
      </c>
      <c r="BE56" s="97">
        <v>633552</v>
      </c>
      <c r="BF56" s="95">
        <v>569669</v>
      </c>
      <c r="BG56" s="96">
        <v>600498</v>
      </c>
      <c r="BH56" s="96">
        <v>593446</v>
      </c>
      <c r="BI56" s="95">
        <v>549141</v>
      </c>
      <c r="BJ56" s="95">
        <v>551802</v>
      </c>
      <c r="BK56" s="72"/>
      <c r="BL56" s="73" t="s">
        <v>47</v>
      </c>
    </row>
    <row r="57" spans="2:64" ht="18" x14ac:dyDescent="0.2">
      <c r="C57" s="6" t="s">
        <v>43</v>
      </c>
      <c r="D57" s="15"/>
      <c r="E57" s="13">
        <v>18726</v>
      </c>
      <c r="F57" s="12">
        <v>759867</v>
      </c>
      <c r="G57" s="13">
        <v>39454</v>
      </c>
      <c r="H57" s="13">
        <v>35733</v>
      </c>
      <c r="I57" s="13">
        <v>38491</v>
      </c>
      <c r="J57" s="13">
        <v>36774</v>
      </c>
      <c r="K57" s="13">
        <v>37911</v>
      </c>
      <c r="L57" s="13">
        <v>39312</v>
      </c>
      <c r="M57" s="13">
        <v>40150</v>
      </c>
      <c r="N57" s="13">
        <v>35288</v>
      </c>
      <c r="O57" s="15"/>
      <c r="P57" s="8" t="s">
        <v>47</v>
      </c>
      <c r="Q57" s="8"/>
      <c r="R57" s="67"/>
      <c r="S57" s="71" t="s">
        <v>43</v>
      </c>
      <c r="T57" s="72"/>
      <c r="U57" s="85">
        <v>22022</v>
      </c>
      <c r="V57" s="86">
        <v>787178</v>
      </c>
      <c r="W57" s="87">
        <v>90846</v>
      </c>
      <c r="X57" s="87">
        <v>88201</v>
      </c>
      <c r="Y57" s="87">
        <v>85472</v>
      </c>
      <c r="Z57" s="87">
        <v>81802</v>
      </c>
      <c r="AA57" s="87">
        <v>96550</v>
      </c>
      <c r="AB57" s="87">
        <v>91379</v>
      </c>
      <c r="AC57" s="87">
        <v>101854</v>
      </c>
      <c r="AD57" s="87">
        <v>98715</v>
      </c>
      <c r="AE57" s="72"/>
      <c r="AF57" s="73" t="s">
        <v>47</v>
      </c>
      <c r="AH57" s="84"/>
      <c r="AI57" s="71" t="s">
        <v>43</v>
      </c>
      <c r="AJ57" s="72"/>
      <c r="AK57" s="85">
        <v>23433</v>
      </c>
      <c r="AL57" s="86">
        <v>798539</v>
      </c>
      <c r="AM57" s="94">
        <v>447300</v>
      </c>
      <c r="AN57" s="94">
        <v>440866</v>
      </c>
      <c r="AO57" s="94">
        <v>454948</v>
      </c>
      <c r="AP57" s="94">
        <v>447069</v>
      </c>
      <c r="AQ57" s="93">
        <v>505294</v>
      </c>
      <c r="AR57" s="94">
        <v>450996</v>
      </c>
      <c r="AS57" s="95">
        <v>554935</v>
      </c>
      <c r="AT57" s="92">
        <v>400016</v>
      </c>
      <c r="AU57" s="72"/>
      <c r="AV57" s="73" t="s">
        <v>47</v>
      </c>
      <c r="AX57" s="84"/>
      <c r="AY57" s="71" t="s">
        <v>43</v>
      </c>
      <c r="AZ57" s="72"/>
      <c r="BA57" s="85">
        <v>23505</v>
      </c>
      <c r="BB57" s="86">
        <v>799161</v>
      </c>
      <c r="BC57" s="97">
        <v>674200</v>
      </c>
      <c r="BD57" s="17">
        <v>713547</v>
      </c>
      <c r="BE57" s="97">
        <v>669100</v>
      </c>
      <c r="BF57" s="17">
        <v>742032</v>
      </c>
      <c r="BG57" s="86">
        <v>768391</v>
      </c>
      <c r="BH57" s="17">
        <v>711790</v>
      </c>
      <c r="BI57" s="17">
        <v>729363</v>
      </c>
      <c r="BJ57" s="97">
        <v>648350</v>
      </c>
      <c r="BK57" s="72"/>
      <c r="BL57" s="73" t="s">
        <v>47</v>
      </c>
    </row>
    <row r="58" spans="2:64" ht="18" x14ac:dyDescent="0.2">
      <c r="C58" s="6" t="s">
        <v>44</v>
      </c>
      <c r="D58" s="15"/>
      <c r="E58" s="13">
        <v>18573</v>
      </c>
      <c r="F58" s="12">
        <v>771499</v>
      </c>
      <c r="G58" s="13">
        <v>36325</v>
      </c>
      <c r="H58" s="13">
        <v>36969</v>
      </c>
      <c r="I58" s="13">
        <v>37293</v>
      </c>
      <c r="J58" s="13">
        <v>36153</v>
      </c>
      <c r="K58" s="13">
        <v>37120</v>
      </c>
      <c r="L58" s="13">
        <v>36040</v>
      </c>
      <c r="M58" s="13">
        <v>37541</v>
      </c>
      <c r="N58" s="13">
        <v>36876</v>
      </c>
      <c r="O58" s="15"/>
      <c r="P58" s="8" t="s">
        <v>47</v>
      </c>
      <c r="Q58" s="8"/>
      <c r="R58" s="67"/>
      <c r="S58" s="71" t="s">
        <v>44</v>
      </c>
      <c r="T58" s="72"/>
      <c r="U58" s="85">
        <v>21475</v>
      </c>
      <c r="V58" s="86">
        <v>800358</v>
      </c>
      <c r="W58" s="87">
        <v>100825</v>
      </c>
      <c r="X58" s="87">
        <v>95501</v>
      </c>
      <c r="Y58" s="88">
        <v>122631</v>
      </c>
      <c r="Z58" s="87">
        <v>101602</v>
      </c>
      <c r="AA58" s="87">
        <v>105358</v>
      </c>
      <c r="AB58" s="87">
        <v>100987</v>
      </c>
      <c r="AC58" s="87">
        <v>92715</v>
      </c>
      <c r="AD58" s="87">
        <v>89604</v>
      </c>
      <c r="AE58" s="72"/>
      <c r="AF58" s="73" t="s">
        <v>47</v>
      </c>
      <c r="AH58" s="84"/>
      <c r="AI58" s="71" t="s">
        <v>44</v>
      </c>
      <c r="AJ58" s="72"/>
      <c r="AK58" s="85">
        <v>22160</v>
      </c>
      <c r="AL58" s="86">
        <v>818173</v>
      </c>
      <c r="AM58" s="93">
        <v>472819</v>
      </c>
      <c r="AN58" s="94">
        <v>449991</v>
      </c>
      <c r="AO58" s="93">
        <v>507624</v>
      </c>
      <c r="AP58" s="95">
        <v>527750</v>
      </c>
      <c r="AQ58" s="93">
        <v>471092</v>
      </c>
      <c r="AR58" s="93">
        <v>495279</v>
      </c>
      <c r="AS58" s="94">
        <v>425022</v>
      </c>
      <c r="AT58" s="92">
        <v>368219</v>
      </c>
      <c r="AU58" s="72"/>
      <c r="AV58" s="73" t="s">
        <v>47</v>
      </c>
      <c r="AX58" s="84"/>
      <c r="AY58" s="71" t="s">
        <v>44</v>
      </c>
      <c r="AZ58" s="72"/>
      <c r="BA58" s="85">
        <v>24223</v>
      </c>
      <c r="BB58" s="86">
        <v>803367</v>
      </c>
      <c r="BC58" s="97">
        <v>673164</v>
      </c>
      <c r="BD58" s="96">
        <v>583889</v>
      </c>
      <c r="BE58" s="97">
        <v>648942</v>
      </c>
      <c r="BF58" s="17">
        <v>712659</v>
      </c>
      <c r="BG58" s="96">
        <v>611367</v>
      </c>
      <c r="BH58" s="17">
        <v>738387</v>
      </c>
      <c r="BI58" s="96">
        <v>605901</v>
      </c>
      <c r="BJ58" s="97">
        <v>662110</v>
      </c>
      <c r="BK58" s="72"/>
      <c r="BL58" s="73" t="s">
        <v>47</v>
      </c>
    </row>
    <row r="59" spans="2:64" ht="18" x14ac:dyDescent="0.2">
      <c r="C59" s="6" t="s">
        <v>45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8" t="s">
        <v>47</v>
      </c>
      <c r="Q59" s="8"/>
      <c r="R59" s="67"/>
      <c r="S59" s="71" t="s">
        <v>45</v>
      </c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3" t="s">
        <v>47</v>
      </c>
      <c r="AH59" s="84"/>
      <c r="AI59" s="71" t="s">
        <v>45</v>
      </c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3" t="s">
        <v>47</v>
      </c>
      <c r="AX59" s="84"/>
      <c r="AY59" s="71" t="s">
        <v>45</v>
      </c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3" t="s">
        <v>47</v>
      </c>
    </row>
    <row r="60" spans="2:64" x14ac:dyDescent="0.2"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</row>
    <row r="61" spans="2:64" ht="38.25" x14ac:dyDescent="0.2">
      <c r="B61" s="3" t="s">
        <v>49</v>
      </c>
      <c r="C61" s="4"/>
      <c r="R61" s="68" t="s">
        <v>49</v>
      </c>
      <c r="S61" s="69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H61" s="82" t="s">
        <v>49</v>
      </c>
      <c r="AI61" s="83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X61" s="82" t="s">
        <v>49</v>
      </c>
      <c r="AY61" s="83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</row>
    <row r="62" spans="2:64" x14ac:dyDescent="0.2"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</row>
    <row r="63" spans="2:64" x14ac:dyDescent="0.2">
      <c r="C63" s="5"/>
      <c r="D63" s="6">
        <v>1</v>
      </c>
      <c r="E63" s="6">
        <v>2</v>
      </c>
      <c r="F63" s="6">
        <v>3</v>
      </c>
      <c r="G63" s="6">
        <v>4</v>
      </c>
      <c r="H63" s="6">
        <v>5</v>
      </c>
      <c r="I63" s="6">
        <v>6</v>
      </c>
      <c r="J63" s="6">
        <v>7</v>
      </c>
      <c r="K63" s="6">
        <v>8</v>
      </c>
      <c r="L63" s="6">
        <v>9</v>
      </c>
      <c r="M63" s="6">
        <v>10</v>
      </c>
      <c r="N63" s="6">
        <v>11</v>
      </c>
      <c r="O63" s="6">
        <v>12</v>
      </c>
      <c r="R63" s="67"/>
      <c r="S63" s="70"/>
      <c r="T63" s="71">
        <v>1</v>
      </c>
      <c r="U63" s="71">
        <v>2</v>
      </c>
      <c r="V63" s="71">
        <v>3</v>
      </c>
      <c r="W63" s="71">
        <v>4</v>
      </c>
      <c r="X63" s="71">
        <v>5</v>
      </c>
      <c r="Y63" s="71">
        <v>6</v>
      </c>
      <c r="Z63" s="71">
        <v>7</v>
      </c>
      <c r="AA63" s="71">
        <v>8</v>
      </c>
      <c r="AB63" s="71">
        <v>9</v>
      </c>
      <c r="AC63" s="71">
        <v>10</v>
      </c>
      <c r="AD63" s="71">
        <v>11</v>
      </c>
      <c r="AE63" s="71">
        <v>12</v>
      </c>
      <c r="AF63" s="67"/>
      <c r="AH63" s="84"/>
      <c r="AI63" s="70"/>
      <c r="AJ63" s="71">
        <v>1</v>
      </c>
      <c r="AK63" s="71">
        <v>2</v>
      </c>
      <c r="AL63" s="71">
        <v>3</v>
      </c>
      <c r="AM63" s="71">
        <v>4</v>
      </c>
      <c r="AN63" s="71">
        <v>5</v>
      </c>
      <c r="AO63" s="71">
        <v>6</v>
      </c>
      <c r="AP63" s="71">
        <v>7</v>
      </c>
      <c r="AQ63" s="71">
        <v>8</v>
      </c>
      <c r="AR63" s="71">
        <v>9</v>
      </c>
      <c r="AS63" s="71">
        <v>10</v>
      </c>
      <c r="AT63" s="71">
        <v>11</v>
      </c>
      <c r="AU63" s="71">
        <v>12</v>
      </c>
      <c r="AV63" s="84"/>
      <c r="AX63" s="84"/>
      <c r="AY63" s="70"/>
      <c r="AZ63" s="71">
        <v>1</v>
      </c>
      <c r="BA63" s="71">
        <v>2</v>
      </c>
      <c r="BB63" s="71">
        <v>3</v>
      </c>
      <c r="BC63" s="71">
        <v>4</v>
      </c>
      <c r="BD63" s="71">
        <v>5</v>
      </c>
      <c r="BE63" s="71">
        <v>6</v>
      </c>
      <c r="BF63" s="71">
        <v>7</v>
      </c>
      <c r="BG63" s="71">
        <v>8</v>
      </c>
      <c r="BH63" s="71">
        <v>9</v>
      </c>
      <c r="BI63" s="71">
        <v>10</v>
      </c>
      <c r="BJ63" s="71">
        <v>11</v>
      </c>
      <c r="BK63" s="71">
        <v>12</v>
      </c>
      <c r="BL63" s="84"/>
    </row>
    <row r="64" spans="2:64" ht="27" x14ac:dyDescent="0.2">
      <c r="C64" s="6" t="s">
        <v>29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8" t="s">
        <v>49</v>
      </c>
      <c r="R64" s="67"/>
      <c r="S64" s="71" t="s">
        <v>29</v>
      </c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3" t="s">
        <v>49</v>
      </c>
      <c r="AH64" s="84"/>
      <c r="AI64" s="71" t="s">
        <v>29</v>
      </c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3" t="s">
        <v>49</v>
      </c>
      <c r="AX64" s="84"/>
      <c r="AY64" s="71" t="s">
        <v>29</v>
      </c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2"/>
      <c r="BL64" s="73" t="s">
        <v>49</v>
      </c>
    </row>
    <row r="65" spans="2:64" ht="27" x14ac:dyDescent="0.2">
      <c r="C65" s="6" t="s">
        <v>33</v>
      </c>
      <c r="D65" s="15"/>
      <c r="E65" s="13">
        <f>E53-ROUND(AVERAGE($E$53:$E$58),0)</f>
        <v>-18</v>
      </c>
      <c r="F65" s="13">
        <f t="shared" ref="F65:N65" si="0">F53-ROUND(AVERAGE($E$53:$E$58),0)</f>
        <v>747486</v>
      </c>
      <c r="G65" s="13">
        <f t="shared" si="0"/>
        <v>17378</v>
      </c>
      <c r="H65" s="13">
        <f t="shared" si="0"/>
        <v>16719</v>
      </c>
      <c r="I65" s="13">
        <f t="shared" si="0"/>
        <v>16197</v>
      </c>
      <c r="J65" s="13">
        <f t="shared" si="0"/>
        <v>17277</v>
      </c>
      <c r="K65" s="13">
        <f t="shared" si="0"/>
        <v>17124</v>
      </c>
      <c r="L65" s="13">
        <f t="shared" si="0"/>
        <v>17203</v>
      </c>
      <c r="M65" s="13">
        <f t="shared" si="0"/>
        <v>15561</v>
      </c>
      <c r="N65" s="13">
        <f t="shared" si="0"/>
        <v>16846</v>
      </c>
      <c r="O65" s="15"/>
      <c r="P65" s="8" t="s">
        <v>49</v>
      </c>
      <c r="R65" s="67"/>
      <c r="S65" s="71" t="s">
        <v>33</v>
      </c>
      <c r="T65" s="72"/>
      <c r="U65" s="75">
        <f>U53-ROUND(AVERAGE($U$53:$U$58),0)</f>
        <v>182</v>
      </c>
      <c r="V65" s="85">
        <f t="shared" ref="V65:AD65" si="1">V53-ROUND(AVERAGE($U$53:$U$58),0)</f>
        <v>786599</v>
      </c>
      <c r="W65" s="85">
        <f t="shared" si="1"/>
        <v>49780</v>
      </c>
      <c r="X65" s="85">
        <f t="shared" si="1"/>
        <v>61847</v>
      </c>
      <c r="Y65" s="85">
        <f t="shared" si="1"/>
        <v>54519</v>
      </c>
      <c r="Z65" s="85">
        <f t="shared" si="1"/>
        <v>66325</v>
      </c>
      <c r="AA65" s="85">
        <f t="shared" si="1"/>
        <v>59611</v>
      </c>
      <c r="AB65" s="85">
        <f t="shared" si="1"/>
        <v>61763</v>
      </c>
      <c r="AC65" s="85">
        <f t="shared" si="1"/>
        <v>55854</v>
      </c>
      <c r="AD65" s="85">
        <f t="shared" si="1"/>
        <v>61977</v>
      </c>
      <c r="AE65" s="72"/>
      <c r="AF65" s="73" t="s">
        <v>49</v>
      </c>
      <c r="AH65" s="84"/>
      <c r="AI65" s="71" t="s">
        <v>33</v>
      </c>
      <c r="AJ65" s="72"/>
      <c r="AK65" s="85">
        <f>AK53-ROUND(AVERAGE($AK$53:$AK$58),0)</f>
        <v>148</v>
      </c>
      <c r="AL65" s="85">
        <f t="shared" ref="AL65:AT65" si="2">AL53-ROUND(AVERAGE($AK$53:$AK$58),0)</f>
        <v>794807</v>
      </c>
      <c r="AM65" s="85">
        <f t="shared" si="2"/>
        <v>312329</v>
      </c>
      <c r="AN65" s="85">
        <f t="shared" si="2"/>
        <v>502280</v>
      </c>
      <c r="AO65" s="85">
        <f t="shared" si="2"/>
        <v>355040</v>
      </c>
      <c r="AP65" s="85">
        <f t="shared" si="2"/>
        <v>448293</v>
      </c>
      <c r="AQ65" s="85">
        <f t="shared" si="2"/>
        <v>373532</v>
      </c>
      <c r="AR65" s="85">
        <f t="shared" si="2"/>
        <v>365836</v>
      </c>
      <c r="AS65" s="85">
        <f t="shared" si="2"/>
        <v>318221</v>
      </c>
      <c r="AT65" s="85">
        <f t="shared" si="2"/>
        <v>369597</v>
      </c>
      <c r="AU65" s="72"/>
      <c r="AV65" s="73" t="s">
        <v>49</v>
      </c>
      <c r="AX65" s="84"/>
      <c r="AY65" s="71" t="s">
        <v>33</v>
      </c>
      <c r="AZ65" s="72"/>
      <c r="BA65" s="85">
        <f>BA53-ROUND(AVERAGE($BA$53:$BA$58),0)</f>
        <v>325</v>
      </c>
      <c r="BB65" s="85">
        <f t="shared" ref="BB65:BJ65" si="3">BB53-ROUND(AVERAGE($BA$53:$BA$58),0)</f>
        <v>771580</v>
      </c>
      <c r="BC65" s="85">
        <f t="shared" si="3"/>
        <v>660388</v>
      </c>
      <c r="BD65" s="85">
        <f t="shared" si="3"/>
        <v>608154</v>
      </c>
      <c r="BE65" s="85">
        <f t="shared" si="3"/>
        <v>551788</v>
      </c>
      <c r="BF65" s="85">
        <f t="shared" si="3"/>
        <v>555674</v>
      </c>
      <c r="BG65" s="85">
        <f t="shared" si="3"/>
        <v>552537</v>
      </c>
      <c r="BH65" s="85">
        <f t="shared" si="3"/>
        <v>642545</v>
      </c>
      <c r="BI65" s="85">
        <f t="shared" si="3"/>
        <v>575194</v>
      </c>
      <c r="BJ65" s="85">
        <f t="shared" si="3"/>
        <v>563265</v>
      </c>
      <c r="BK65" s="72"/>
      <c r="BL65" s="73" t="s">
        <v>49</v>
      </c>
    </row>
    <row r="66" spans="2:64" ht="27" x14ac:dyDescent="0.2">
      <c r="C66" s="6" t="s">
        <v>36</v>
      </c>
      <c r="D66" s="15"/>
      <c r="E66" s="13">
        <f t="shared" ref="E66:N66" si="4">E54-ROUND(AVERAGE($E$53:$E$58),0)</f>
        <v>-67</v>
      </c>
      <c r="F66" s="13">
        <f t="shared" si="4"/>
        <v>757226</v>
      </c>
      <c r="G66" s="13">
        <f t="shared" si="4"/>
        <v>18752</v>
      </c>
      <c r="H66" s="13">
        <f t="shared" si="4"/>
        <v>14324</v>
      </c>
      <c r="I66" s="13">
        <f t="shared" si="4"/>
        <v>18209</v>
      </c>
      <c r="J66" s="13">
        <f t="shared" si="4"/>
        <v>17883</v>
      </c>
      <c r="K66" s="13">
        <f t="shared" si="4"/>
        <v>19173</v>
      </c>
      <c r="L66" s="13">
        <f t="shared" si="4"/>
        <v>16105</v>
      </c>
      <c r="M66" s="13">
        <f t="shared" si="4"/>
        <v>16774</v>
      </c>
      <c r="N66" s="13">
        <f t="shared" si="4"/>
        <v>17647</v>
      </c>
      <c r="O66" s="15"/>
      <c r="P66" s="8" t="s">
        <v>49</v>
      </c>
      <c r="R66" s="67"/>
      <c r="S66" s="71" t="s">
        <v>36</v>
      </c>
      <c r="T66" s="72"/>
      <c r="U66" s="85">
        <f t="shared" ref="U66:AD70" si="5">U54-ROUND(AVERAGE($U$53:$U$58),0)</f>
        <v>-51</v>
      </c>
      <c r="V66" s="85">
        <f t="shared" si="5"/>
        <v>778732</v>
      </c>
      <c r="W66" s="85">
        <f t="shared" si="5"/>
        <v>60514</v>
      </c>
      <c r="X66" s="85">
        <f t="shared" si="5"/>
        <v>60112</v>
      </c>
      <c r="Y66" s="85">
        <f t="shared" si="5"/>
        <v>61747</v>
      </c>
      <c r="Z66" s="85">
        <f t="shared" si="5"/>
        <v>58257</v>
      </c>
      <c r="AA66" s="85">
        <f t="shared" si="5"/>
        <v>66128</v>
      </c>
      <c r="AB66" s="85">
        <f t="shared" si="5"/>
        <v>51530</v>
      </c>
      <c r="AC66" s="85">
        <f t="shared" si="5"/>
        <v>48547</v>
      </c>
      <c r="AD66" s="85">
        <f t="shared" si="5"/>
        <v>66788</v>
      </c>
      <c r="AE66" s="72"/>
      <c r="AF66" s="73" t="s">
        <v>49</v>
      </c>
      <c r="AH66" s="84"/>
      <c r="AI66" s="71" t="s">
        <v>36</v>
      </c>
      <c r="AJ66" s="72"/>
      <c r="AK66" s="85">
        <f t="shared" ref="AK66:AT70" si="6">AK54-ROUND(AVERAGE($AK$53:$AK$58),0)</f>
        <v>543</v>
      </c>
      <c r="AL66" s="85">
        <f t="shared" si="6"/>
        <v>786733</v>
      </c>
      <c r="AM66" s="85">
        <f t="shared" si="6"/>
        <v>368963</v>
      </c>
      <c r="AN66" s="85">
        <f t="shared" si="6"/>
        <v>385582</v>
      </c>
      <c r="AO66" s="85">
        <f t="shared" si="6"/>
        <v>318478</v>
      </c>
      <c r="AP66" s="85">
        <f t="shared" si="6"/>
        <v>368962</v>
      </c>
      <c r="AQ66" s="85">
        <f t="shared" si="6"/>
        <v>459972</v>
      </c>
      <c r="AR66" s="85">
        <f t="shared" si="6"/>
        <v>340329</v>
      </c>
      <c r="AS66" s="85">
        <f t="shared" si="6"/>
        <v>291685</v>
      </c>
      <c r="AT66" s="85">
        <f t="shared" si="6"/>
        <v>399123</v>
      </c>
      <c r="AU66" s="72"/>
      <c r="AV66" s="73" t="s">
        <v>49</v>
      </c>
      <c r="AX66" s="84"/>
      <c r="AY66" s="71" t="s">
        <v>36</v>
      </c>
      <c r="AZ66" s="72"/>
      <c r="BA66" s="85">
        <f t="shared" ref="BA66:BJ66" si="7">BA54-ROUND(AVERAGE($BA$53:$BA$58),0)</f>
        <v>-122</v>
      </c>
      <c r="BB66" s="85">
        <f t="shared" si="7"/>
        <v>773130</v>
      </c>
      <c r="BC66" s="85">
        <f t="shared" si="7"/>
        <v>631143</v>
      </c>
      <c r="BD66" s="85">
        <f t="shared" si="7"/>
        <v>615850</v>
      </c>
      <c r="BE66" s="85">
        <f t="shared" si="7"/>
        <v>568813</v>
      </c>
      <c r="BF66" s="85">
        <f t="shared" si="7"/>
        <v>570360</v>
      </c>
      <c r="BG66" s="85">
        <f t="shared" si="7"/>
        <v>565181</v>
      </c>
      <c r="BH66" s="85">
        <f t="shared" si="7"/>
        <v>547162</v>
      </c>
      <c r="BI66" s="85">
        <f t="shared" si="7"/>
        <v>539560</v>
      </c>
      <c r="BJ66" s="85">
        <f t="shared" si="7"/>
        <v>544019</v>
      </c>
      <c r="BK66" s="72"/>
      <c r="BL66" s="73" t="s">
        <v>49</v>
      </c>
    </row>
    <row r="67" spans="2:64" ht="27" x14ac:dyDescent="0.2">
      <c r="C67" s="6" t="s">
        <v>39</v>
      </c>
      <c r="D67" s="15"/>
      <c r="E67" s="13">
        <f t="shared" ref="E67:N67" si="8">E55-ROUND(AVERAGE($E$53:$E$58),0)</f>
        <v>-11</v>
      </c>
      <c r="F67" s="13">
        <f t="shared" si="8"/>
        <v>754744</v>
      </c>
      <c r="G67" s="13">
        <f t="shared" si="8"/>
        <v>15671</v>
      </c>
      <c r="H67" s="13">
        <f t="shared" si="8"/>
        <v>14305</v>
      </c>
      <c r="I67" s="13">
        <f t="shared" si="8"/>
        <v>12871</v>
      </c>
      <c r="J67" s="13">
        <f t="shared" si="8"/>
        <v>13965</v>
      </c>
      <c r="K67" s="13">
        <f t="shared" si="8"/>
        <v>14563</v>
      </c>
      <c r="L67" s="13">
        <f t="shared" si="8"/>
        <v>13226</v>
      </c>
      <c r="M67" s="13">
        <f t="shared" si="8"/>
        <v>15269</v>
      </c>
      <c r="N67" s="13">
        <f t="shared" si="8"/>
        <v>12807</v>
      </c>
      <c r="O67" s="15"/>
      <c r="P67" s="8" t="s">
        <v>49</v>
      </c>
      <c r="R67" s="67"/>
      <c r="S67" s="71" t="s">
        <v>39</v>
      </c>
      <c r="T67" s="72"/>
      <c r="U67" s="85">
        <f t="shared" si="5"/>
        <v>-492</v>
      </c>
      <c r="V67" s="85">
        <f t="shared" si="5"/>
        <v>781399</v>
      </c>
      <c r="W67" s="85">
        <f t="shared" si="5"/>
        <v>58385</v>
      </c>
      <c r="X67" s="85">
        <f t="shared" si="5"/>
        <v>54243</v>
      </c>
      <c r="Y67" s="85">
        <f t="shared" si="5"/>
        <v>59199</v>
      </c>
      <c r="Z67" s="85">
        <f t="shared" si="5"/>
        <v>49618</v>
      </c>
      <c r="AA67" s="85">
        <f t="shared" si="5"/>
        <v>49515</v>
      </c>
      <c r="AB67" s="85">
        <f t="shared" si="5"/>
        <v>47261</v>
      </c>
      <c r="AC67" s="85">
        <f t="shared" si="5"/>
        <v>62659</v>
      </c>
      <c r="AD67" s="85">
        <f t="shared" si="5"/>
        <v>56187</v>
      </c>
      <c r="AE67" s="72"/>
      <c r="AF67" s="73" t="s">
        <v>49</v>
      </c>
      <c r="AH67" s="84"/>
      <c r="AI67" s="71" t="s">
        <v>39</v>
      </c>
      <c r="AJ67" s="72"/>
      <c r="AK67" s="85">
        <f t="shared" si="6"/>
        <v>-279</v>
      </c>
      <c r="AL67" s="85">
        <f t="shared" si="6"/>
        <v>790267</v>
      </c>
      <c r="AM67" s="85">
        <f t="shared" si="6"/>
        <v>373563</v>
      </c>
      <c r="AN67" s="85">
        <f t="shared" si="6"/>
        <v>344797</v>
      </c>
      <c r="AO67" s="85">
        <f t="shared" si="6"/>
        <v>343261</v>
      </c>
      <c r="AP67" s="85">
        <f t="shared" si="6"/>
        <v>311548</v>
      </c>
      <c r="AQ67" s="85">
        <f t="shared" si="6"/>
        <v>363599</v>
      </c>
      <c r="AR67" s="85">
        <f t="shared" si="6"/>
        <v>292558</v>
      </c>
      <c r="AS67" s="85">
        <f t="shared" si="6"/>
        <v>334255</v>
      </c>
      <c r="AT67" s="85">
        <f t="shared" si="6"/>
        <v>366056</v>
      </c>
      <c r="AU67" s="72"/>
      <c r="AV67" s="73" t="s">
        <v>49</v>
      </c>
      <c r="AX67" s="84"/>
      <c r="AY67" s="71" t="s">
        <v>39</v>
      </c>
      <c r="AZ67" s="72"/>
      <c r="BA67" s="85">
        <f t="shared" ref="BA67:BJ67" si="9">BA55-ROUND(AVERAGE($BA$53:$BA$58),0)</f>
        <v>-418</v>
      </c>
      <c r="BB67" s="85">
        <f t="shared" si="9"/>
        <v>778986</v>
      </c>
      <c r="BC67" s="85">
        <f t="shared" si="9"/>
        <v>565368</v>
      </c>
      <c r="BD67" s="85">
        <f t="shared" si="9"/>
        <v>548307</v>
      </c>
      <c r="BE67" s="85">
        <f t="shared" si="9"/>
        <v>592753</v>
      </c>
      <c r="BF67" s="85">
        <f t="shared" si="9"/>
        <v>653094</v>
      </c>
      <c r="BG67" s="85">
        <f t="shared" si="9"/>
        <v>583881</v>
      </c>
      <c r="BH67" s="85">
        <f t="shared" si="9"/>
        <v>500864</v>
      </c>
      <c r="BI67" s="85">
        <f t="shared" si="9"/>
        <v>555108</v>
      </c>
      <c r="BJ67" s="85">
        <f t="shared" si="9"/>
        <v>525684</v>
      </c>
      <c r="BK67" s="72"/>
      <c r="BL67" s="73" t="s">
        <v>49</v>
      </c>
    </row>
    <row r="68" spans="2:64" ht="27" x14ac:dyDescent="0.2">
      <c r="C68" s="6" t="s">
        <v>42</v>
      </c>
      <c r="D68" s="15"/>
      <c r="E68" s="13">
        <f t="shared" ref="E68:N68" si="10">E56-ROUND(AVERAGE($E$53:$E$58),0)</f>
        <v>66</v>
      </c>
      <c r="F68" s="13">
        <f t="shared" si="10"/>
        <v>746389</v>
      </c>
      <c r="G68" s="13">
        <f t="shared" si="10"/>
        <v>15166</v>
      </c>
      <c r="H68" s="13">
        <f t="shared" si="10"/>
        <v>13420</v>
      </c>
      <c r="I68" s="13">
        <f t="shared" si="10"/>
        <v>14898</v>
      </c>
      <c r="J68" s="13">
        <f t="shared" si="10"/>
        <v>7863</v>
      </c>
      <c r="K68" s="13">
        <f t="shared" si="10"/>
        <v>13230</v>
      </c>
      <c r="L68" s="13">
        <f t="shared" si="10"/>
        <v>13848</v>
      </c>
      <c r="M68" s="13">
        <f t="shared" si="10"/>
        <v>12761</v>
      </c>
      <c r="N68" s="13">
        <f t="shared" si="10"/>
        <v>12941</v>
      </c>
      <c r="O68" s="15"/>
      <c r="P68" s="8" t="s">
        <v>49</v>
      </c>
      <c r="R68" s="67"/>
      <c r="S68" s="71" t="s">
        <v>42</v>
      </c>
      <c r="T68" s="72"/>
      <c r="U68" s="85">
        <f t="shared" si="5"/>
        <v>386</v>
      </c>
      <c r="V68" s="85">
        <f t="shared" si="5"/>
        <v>778958</v>
      </c>
      <c r="W68" s="85">
        <f t="shared" si="5"/>
        <v>52715</v>
      </c>
      <c r="X68" s="85">
        <f t="shared" si="5"/>
        <v>51962</v>
      </c>
      <c r="Y68" s="85">
        <f t="shared" si="5"/>
        <v>63434</v>
      </c>
      <c r="Z68" s="85">
        <f t="shared" si="5"/>
        <v>60951</v>
      </c>
      <c r="AA68" s="85">
        <f t="shared" si="5"/>
        <v>69690</v>
      </c>
      <c r="AB68" s="85">
        <f t="shared" si="5"/>
        <v>71068</v>
      </c>
      <c r="AC68" s="85">
        <f t="shared" si="5"/>
        <v>78034</v>
      </c>
      <c r="AD68" s="85">
        <f t="shared" si="5"/>
        <v>75996</v>
      </c>
      <c r="AE68" s="72"/>
      <c r="AF68" s="73" t="s">
        <v>49</v>
      </c>
      <c r="AH68" s="84"/>
      <c r="AI68" s="71" t="s">
        <v>42</v>
      </c>
      <c r="AJ68" s="72"/>
      <c r="AK68" s="85">
        <f t="shared" si="6"/>
        <v>135</v>
      </c>
      <c r="AL68" s="85">
        <f t="shared" si="6"/>
        <v>796947</v>
      </c>
      <c r="AM68" s="85">
        <f t="shared" si="6"/>
        <v>322350</v>
      </c>
      <c r="AN68" s="85">
        <f t="shared" si="6"/>
        <v>286003</v>
      </c>
      <c r="AO68" s="85">
        <f t="shared" si="6"/>
        <v>360808</v>
      </c>
      <c r="AP68" s="85">
        <f t="shared" si="6"/>
        <v>322535</v>
      </c>
      <c r="AQ68" s="85">
        <f t="shared" si="6"/>
        <v>365389</v>
      </c>
      <c r="AR68" s="85">
        <f t="shared" si="6"/>
        <v>398208</v>
      </c>
      <c r="AS68" s="85">
        <f t="shared" si="6"/>
        <v>386009</v>
      </c>
      <c r="AT68" s="85">
        <f t="shared" si="6"/>
        <v>295544</v>
      </c>
      <c r="AU68" s="72"/>
      <c r="AV68" s="73" t="s">
        <v>49</v>
      </c>
      <c r="AX68" s="84"/>
      <c r="AY68" s="71" t="s">
        <v>42</v>
      </c>
      <c r="AZ68" s="72"/>
      <c r="BA68" s="85">
        <f t="shared" ref="BA68:BJ68" si="11">BA56-ROUND(AVERAGE($BA$53:$BA$58),0)</f>
        <v>-207</v>
      </c>
      <c r="BB68" s="85">
        <f t="shared" si="11"/>
        <v>778908</v>
      </c>
      <c r="BC68" s="85">
        <f t="shared" si="11"/>
        <v>580264</v>
      </c>
      <c r="BD68" s="85">
        <f t="shared" si="11"/>
        <v>483238</v>
      </c>
      <c r="BE68" s="85">
        <f t="shared" si="11"/>
        <v>609900</v>
      </c>
      <c r="BF68" s="85">
        <f t="shared" si="11"/>
        <v>546017</v>
      </c>
      <c r="BG68" s="85">
        <f t="shared" si="11"/>
        <v>576846</v>
      </c>
      <c r="BH68" s="85">
        <f t="shared" si="11"/>
        <v>569794</v>
      </c>
      <c r="BI68" s="85">
        <f t="shared" si="11"/>
        <v>525489</v>
      </c>
      <c r="BJ68" s="85">
        <f t="shared" si="11"/>
        <v>528150</v>
      </c>
      <c r="BK68" s="72"/>
      <c r="BL68" s="73" t="s">
        <v>49</v>
      </c>
    </row>
    <row r="69" spans="2:64" ht="27" x14ac:dyDescent="0.2">
      <c r="C69" s="6" t="s">
        <v>43</v>
      </c>
      <c r="D69" s="15"/>
      <c r="E69" s="13">
        <f t="shared" ref="E69:N69" si="12">E57-ROUND(AVERAGE($E$53:$E$58),0)</f>
        <v>91</v>
      </c>
      <c r="F69" s="13">
        <f t="shared" si="12"/>
        <v>741232</v>
      </c>
      <c r="G69" s="13">
        <f t="shared" si="12"/>
        <v>20819</v>
      </c>
      <c r="H69" s="13">
        <f t="shared" si="12"/>
        <v>17098</v>
      </c>
      <c r="I69" s="13">
        <f t="shared" si="12"/>
        <v>19856</v>
      </c>
      <c r="J69" s="13">
        <f t="shared" si="12"/>
        <v>18139</v>
      </c>
      <c r="K69" s="13">
        <f t="shared" si="12"/>
        <v>19276</v>
      </c>
      <c r="L69" s="13">
        <f t="shared" si="12"/>
        <v>20677</v>
      </c>
      <c r="M69" s="13">
        <f t="shared" si="12"/>
        <v>21515</v>
      </c>
      <c r="N69" s="13">
        <f t="shared" si="12"/>
        <v>16653</v>
      </c>
      <c r="O69" s="15"/>
      <c r="P69" s="8" t="s">
        <v>49</v>
      </c>
      <c r="R69" s="67"/>
      <c r="S69" s="71" t="s">
        <v>43</v>
      </c>
      <c r="T69" s="72"/>
      <c r="U69" s="85">
        <f t="shared" si="5"/>
        <v>261</v>
      </c>
      <c r="V69" s="85">
        <f t="shared" si="5"/>
        <v>765417</v>
      </c>
      <c r="W69" s="85">
        <f t="shared" si="5"/>
        <v>69085</v>
      </c>
      <c r="X69" s="85">
        <f t="shared" si="5"/>
        <v>66440</v>
      </c>
      <c r="Y69" s="85">
        <f t="shared" si="5"/>
        <v>63711</v>
      </c>
      <c r="Z69" s="85">
        <f t="shared" si="5"/>
        <v>60041</v>
      </c>
      <c r="AA69" s="85">
        <f t="shared" si="5"/>
        <v>74789</v>
      </c>
      <c r="AB69" s="85">
        <f t="shared" si="5"/>
        <v>69618</v>
      </c>
      <c r="AC69" s="85">
        <f t="shared" si="5"/>
        <v>80093</v>
      </c>
      <c r="AD69" s="85">
        <f t="shared" si="5"/>
        <v>76954</v>
      </c>
      <c r="AE69" s="72"/>
      <c r="AF69" s="73" t="s">
        <v>49</v>
      </c>
      <c r="AH69" s="84"/>
      <c r="AI69" s="71" t="s">
        <v>43</v>
      </c>
      <c r="AJ69" s="72"/>
      <c r="AK69" s="85">
        <f t="shared" si="6"/>
        <v>363</v>
      </c>
      <c r="AL69" s="85">
        <f t="shared" si="6"/>
        <v>775469</v>
      </c>
      <c r="AM69" s="85">
        <f t="shared" si="6"/>
        <v>424230</v>
      </c>
      <c r="AN69" s="85">
        <f t="shared" si="6"/>
        <v>417796</v>
      </c>
      <c r="AO69" s="85">
        <f t="shared" si="6"/>
        <v>431878</v>
      </c>
      <c r="AP69" s="85">
        <f t="shared" si="6"/>
        <v>423999</v>
      </c>
      <c r="AQ69" s="85">
        <f t="shared" si="6"/>
        <v>482224</v>
      </c>
      <c r="AR69" s="85">
        <f t="shared" si="6"/>
        <v>427926</v>
      </c>
      <c r="AS69" s="85">
        <f t="shared" si="6"/>
        <v>531865</v>
      </c>
      <c r="AT69" s="85">
        <f t="shared" si="6"/>
        <v>376946</v>
      </c>
      <c r="AU69" s="72"/>
      <c r="AV69" s="73" t="s">
        <v>49</v>
      </c>
      <c r="AX69" s="84"/>
      <c r="AY69" s="71" t="s">
        <v>43</v>
      </c>
      <c r="AZ69" s="72"/>
      <c r="BA69" s="85">
        <f t="shared" ref="BA69:BJ69" si="13">BA57-ROUND(AVERAGE($BA$53:$BA$58),0)</f>
        <v>-147</v>
      </c>
      <c r="BB69" s="85">
        <f t="shared" si="13"/>
        <v>775509</v>
      </c>
      <c r="BC69" s="85">
        <f t="shared" si="13"/>
        <v>650548</v>
      </c>
      <c r="BD69" s="85">
        <f t="shared" si="13"/>
        <v>689895</v>
      </c>
      <c r="BE69" s="85">
        <f t="shared" si="13"/>
        <v>645448</v>
      </c>
      <c r="BF69" s="85">
        <f t="shared" si="13"/>
        <v>718380</v>
      </c>
      <c r="BG69" s="85">
        <f t="shared" si="13"/>
        <v>744739</v>
      </c>
      <c r="BH69" s="85">
        <f t="shared" si="13"/>
        <v>688138</v>
      </c>
      <c r="BI69" s="85">
        <f t="shared" si="13"/>
        <v>705711</v>
      </c>
      <c r="BJ69" s="85">
        <f t="shared" si="13"/>
        <v>624698</v>
      </c>
      <c r="BK69" s="72"/>
      <c r="BL69" s="73" t="s">
        <v>49</v>
      </c>
    </row>
    <row r="70" spans="2:64" ht="27" x14ac:dyDescent="0.2">
      <c r="C70" s="6" t="s">
        <v>44</v>
      </c>
      <c r="D70" s="15"/>
      <c r="E70" s="13">
        <f t="shared" ref="E70:N70" si="14">E58-ROUND(AVERAGE($E$53:$E$58),0)</f>
        <v>-62</v>
      </c>
      <c r="F70" s="13">
        <f t="shared" si="14"/>
        <v>752864</v>
      </c>
      <c r="G70" s="13">
        <f t="shared" si="14"/>
        <v>17690</v>
      </c>
      <c r="H70" s="13">
        <f t="shared" si="14"/>
        <v>18334</v>
      </c>
      <c r="I70" s="13">
        <f t="shared" si="14"/>
        <v>18658</v>
      </c>
      <c r="J70" s="13">
        <f t="shared" si="14"/>
        <v>17518</v>
      </c>
      <c r="K70" s="13">
        <f t="shared" si="14"/>
        <v>18485</v>
      </c>
      <c r="L70" s="13">
        <f t="shared" si="14"/>
        <v>17405</v>
      </c>
      <c r="M70" s="13">
        <f t="shared" si="14"/>
        <v>18906</v>
      </c>
      <c r="N70" s="13">
        <f t="shared" si="14"/>
        <v>18241</v>
      </c>
      <c r="O70" s="15"/>
      <c r="P70" s="8" t="s">
        <v>49</v>
      </c>
      <c r="R70" s="67"/>
      <c r="S70" s="71" t="s">
        <v>44</v>
      </c>
      <c r="T70" s="72"/>
      <c r="U70" s="85">
        <f t="shared" si="5"/>
        <v>-286</v>
      </c>
      <c r="V70" s="85">
        <f t="shared" si="5"/>
        <v>778597</v>
      </c>
      <c r="W70" s="85">
        <f t="shared" si="5"/>
        <v>79064</v>
      </c>
      <c r="X70" s="85">
        <f t="shared" si="5"/>
        <v>73740</v>
      </c>
      <c r="Y70" s="85">
        <f t="shared" si="5"/>
        <v>100870</v>
      </c>
      <c r="Z70" s="85">
        <f t="shared" si="5"/>
        <v>79841</v>
      </c>
      <c r="AA70" s="85">
        <f t="shared" si="5"/>
        <v>83597</v>
      </c>
      <c r="AB70" s="85">
        <f t="shared" si="5"/>
        <v>79226</v>
      </c>
      <c r="AC70" s="85">
        <f t="shared" si="5"/>
        <v>70954</v>
      </c>
      <c r="AD70" s="85">
        <f t="shared" si="5"/>
        <v>67843</v>
      </c>
      <c r="AE70" s="72"/>
      <c r="AF70" s="73" t="s">
        <v>49</v>
      </c>
      <c r="AH70" s="84"/>
      <c r="AI70" s="71" t="s">
        <v>44</v>
      </c>
      <c r="AJ70" s="72"/>
      <c r="AK70" s="85">
        <f t="shared" si="6"/>
        <v>-910</v>
      </c>
      <c r="AL70" s="85">
        <f t="shared" si="6"/>
        <v>795103</v>
      </c>
      <c r="AM70" s="85">
        <f t="shared" si="6"/>
        <v>449749</v>
      </c>
      <c r="AN70" s="85">
        <f t="shared" si="6"/>
        <v>426921</v>
      </c>
      <c r="AO70" s="85">
        <f t="shared" si="6"/>
        <v>484554</v>
      </c>
      <c r="AP70" s="85">
        <f t="shared" si="6"/>
        <v>504680</v>
      </c>
      <c r="AQ70" s="85">
        <f t="shared" si="6"/>
        <v>448022</v>
      </c>
      <c r="AR70" s="85">
        <f t="shared" si="6"/>
        <v>472209</v>
      </c>
      <c r="AS70" s="85">
        <f t="shared" si="6"/>
        <v>401952</v>
      </c>
      <c r="AT70" s="85">
        <f t="shared" si="6"/>
        <v>345149</v>
      </c>
      <c r="AU70" s="72"/>
      <c r="AV70" s="73" t="s">
        <v>49</v>
      </c>
      <c r="AX70" s="84"/>
      <c r="AY70" s="71" t="s">
        <v>44</v>
      </c>
      <c r="AZ70" s="72"/>
      <c r="BA70" s="85">
        <f t="shared" ref="BA70:BJ70" si="15">BA58-ROUND(AVERAGE($BA$53:$BA$58),0)</f>
        <v>571</v>
      </c>
      <c r="BB70" s="85">
        <f t="shared" si="15"/>
        <v>779715</v>
      </c>
      <c r="BC70" s="85">
        <f t="shared" si="15"/>
        <v>649512</v>
      </c>
      <c r="BD70" s="85">
        <f t="shared" si="15"/>
        <v>560237</v>
      </c>
      <c r="BE70" s="85">
        <f t="shared" si="15"/>
        <v>625290</v>
      </c>
      <c r="BF70" s="85">
        <f t="shared" si="15"/>
        <v>689007</v>
      </c>
      <c r="BG70" s="85">
        <f t="shared" si="15"/>
        <v>587715</v>
      </c>
      <c r="BH70" s="85">
        <f t="shared" si="15"/>
        <v>714735</v>
      </c>
      <c r="BI70" s="85">
        <f t="shared" si="15"/>
        <v>582249</v>
      </c>
      <c r="BJ70" s="85">
        <f t="shared" si="15"/>
        <v>638458</v>
      </c>
      <c r="BK70" s="72"/>
      <c r="BL70" s="73" t="s">
        <v>49</v>
      </c>
    </row>
    <row r="71" spans="2:64" ht="27" x14ac:dyDescent="0.2">
      <c r="C71" s="6" t="s">
        <v>45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8" t="s">
        <v>49</v>
      </c>
      <c r="R71" s="67"/>
      <c r="S71" s="71" t="s">
        <v>45</v>
      </c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3" t="s">
        <v>49</v>
      </c>
      <c r="AH71" s="84"/>
      <c r="AI71" s="71" t="s">
        <v>45</v>
      </c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3" t="s">
        <v>49</v>
      </c>
      <c r="AX71" s="84"/>
      <c r="AY71" s="71" t="s">
        <v>45</v>
      </c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3" t="s">
        <v>49</v>
      </c>
    </row>
    <row r="72" spans="2:64" x14ac:dyDescent="0.2"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</row>
    <row r="73" spans="2:64" x14ac:dyDescent="0.2"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</row>
    <row r="74" spans="2:64" x14ac:dyDescent="0.2">
      <c r="C74" t="s">
        <v>112</v>
      </c>
      <c r="D74" t="s">
        <v>113</v>
      </c>
      <c r="E74" t="s">
        <v>114</v>
      </c>
      <c r="F74" t="s">
        <v>64</v>
      </c>
      <c r="R74" s="67"/>
      <c r="S74" s="67" t="s">
        <v>112</v>
      </c>
      <c r="T74" s="67" t="s">
        <v>113</v>
      </c>
      <c r="U74" s="67" t="s">
        <v>114</v>
      </c>
      <c r="V74" s="67" t="s">
        <v>64</v>
      </c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H74" s="84"/>
      <c r="AI74" s="84" t="s">
        <v>112</v>
      </c>
      <c r="AJ74" s="84" t="s">
        <v>113</v>
      </c>
      <c r="AK74" s="84" t="s">
        <v>114</v>
      </c>
      <c r="AL74" s="84" t="s">
        <v>64</v>
      </c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X74" s="84"/>
      <c r="AY74" s="84" t="s">
        <v>112</v>
      </c>
      <c r="AZ74" s="84" t="s">
        <v>113</v>
      </c>
      <c r="BA74" s="84" t="s">
        <v>114</v>
      </c>
      <c r="BB74" s="84" t="s">
        <v>64</v>
      </c>
      <c r="BC74" s="84"/>
      <c r="BD74" s="84"/>
      <c r="BE74" s="84"/>
      <c r="BF74" s="84"/>
      <c r="BG74" s="84"/>
      <c r="BH74" s="84"/>
      <c r="BI74" s="84"/>
      <c r="BJ74" s="84"/>
      <c r="BK74" s="84"/>
      <c r="BL74" s="84"/>
    </row>
    <row r="75" spans="2:64" x14ac:dyDescent="0.2">
      <c r="B75" t="s">
        <v>57</v>
      </c>
      <c r="C75">
        <f xml:space="preserve"> ROUND(AVERAGE(G65:N66),0)</f>
        <v>17073</v>
      </c>
      <c r="D75">
        <f xml:space="preserve"> ROUND(AVERAGE(G67:N68),0)</f>
        <v>13550</v>
      </c>
      <c r="E75">
        <f xml:space="preserve"> ROUND(AVERAGE(G69:N70),0)</f>
        <v>18704</v>
      </c>
      <c r="F75">
        <f xml:space="preserve"> ROUND(AVERAGE(F65:F70),0)</f>
        <v>749990</v>
      </c>
      <c r="R75" s="67" t="s">
        <v>57</v>
      </c>
      <c r="S75" s="67">
        <f xml:space="preserve"> ROUND(AVERAGE(W65:AD66),0)</f>
        <v>59081</v>
      </c>
      <c r="T75" s="67">
        <f xml:space="preserve"> ROUND(AVERAGE(W67:AD68),0)</f>
        <v>60057</v>
      </c>
      <c r="U75" s="67">
        <f xml:space="preserve"> ROUND(AVERAGE(W69:AD70),0)</f>
        <v>74742</v>
      </c>
      <c r="V75" s="67">
        <f xml:space="preserve"> ROUND(AVERAGE(V65:V70),0)</f>
        <v>778284</v>
      </c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H75" s="84" t="s">
        <v>57</v>
      </c>
      <c r="AI75" s="84">
        <f xml:space="preserve"> ROUND(AVERAGE(AM65:AT66),0)</f>
        <v>373639</v>
      </c>
      <c r="AJ75" s="84">
        <f xml:space="preserve"> ROUND(AVERAGE(AM67:AT68),0)</f>
        <v>341655</v>
      </c>
      <c r="AK75" s="84">
        <f xml:space="preserve"> ROUND(AVERAGE(AM69:AT70),0)</f>
        <v>440631</v>
      </c>
      <c r="AL75" s="84">
        <f xml:space="preserve"> ROUND(AVERAGE(AL65:AL70),0)</f>
        <v>789888</v>
      </c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X75" s="84" t="s">
        <v>57</v>
      </c>
      <c r="AY75" s="84">
        <f xml:space="preserve"> ROUND(AVERAGE(BC65:BJ66),0)</f>
        <v>580727</v>
      </c>
      <c r="AZ75" s="84">
        <f xml:space="preserve"> ROUND(AVERAGE(BC67:BJ68),0)</f>
        <v>559047</v>
      </c>
      <c r="BA75" s="84">
        <f xml:space="preserve"> ROUND(AVERAGE(BC69:BJ70),0)</f>
        <v>657173</v>
      </c>
      <c r="BB75" s="84">
        <f xml:space="preserve"> ROUND(AVERAGE(BB65:BB70),0)</f>
        <v>776305</v>
      </c>
      <c r="BC75" s="84"/>
      <c r="BD75" s="84"/>
      <c r="BE75" s="84"/>
      <c r="BF75" s="84"/>
      <c r="BG75" s="84"/>
      <c r="BH75" s="84"/>
      <c r="BI75" s="84"/>
      <c r="BJ75" s="84"/>
      <c r="BK75" s="84"/>
      <c r="BL75" s="84"/>
    </row>
    <row r="76" spans="2:64" x14ac:dyDescent="0.2">
      <c r="B76" t="s">
        <v>56</v>
      </c>
      <c r="C76">
        <f>ROUND(_xlfn.STDEV.P(G65:N66),0)</f>
        <v>1158</v>
      </c>
      <c r="D76">
        <f>ROUND(_xlfn.STDEV.P(G67:N68),0)</f>
        <v>1738</v>
      </c>
      <c r="E76">
        <f>ROUND(_xlfn.STDEV.P(G69:N70),0)</f>
        <v>1360</v>
      </c>
      <c r="F76">
        <f>ROUND(_xlfn.STDEV.P(F65:F70),0)</f>
        <v>5464</v>
      </c>
      <c r="R76" s="67" t="s">
        <v>56</v>
      </c>
      <c r="S76" s="67">
        <f>ROUND(_xlfn.STDEV.P(W65:AD66),0)</f>
        <v>5487</v>
      </c>
      <c r="T76" s="67">
        <f>ROUND(_xlfn.STDEV.P(W67:AD68),0)</f>
        <v>9239</v>
      </c>
      <c r="U76" s="67">
        <f>ROUND(_xlfn.STDEV.P(W69:AD70),0)</f>
        <v>9312</v>
      </c>
      <c r="V76" s="67">
        <f>ROUND(_xlfn.STDEV.P(V65:V70),0)</f>
        <v>6392</v>
      </c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H76" s="84" t="s">
        <v>56</v>
      </c>
      <c r="AI76" s="84">
        <f>ROUND(_xlfn.STDEV.P(AM65:AT66),0)</f>
        <v>55075</v>
      </c>
      <c r="AJ76" s="84">
        <f>ROUND(_xlfn.STDEV.P(AM67:AT68),0)</f>
        <v>33106</v>
      </c>
      <c r="AK76" s="84">
        <f>ROUND(_xlfn.STDEV.P(AM69:AT70),0)</f>
        <v>45677</v>
      </c>
      <c r="AL76" s="84">
        <f>ROUND(_xlfn.STDEV.P(AL65:AL70),0)</f>
        <v>7294</v>
      </c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X76" s="84" t="s">
        <v>56</v>
      </c>
      <c r="AY76" s="84">
        <f>ROUND(_xlfn.STDEV.P(BC65:BJ66),0)</f>
        <v>37039</v>
      </c>
      <c r="AZ76" s="84">
        <f>ROUND(_xlfn.STDEV.P(BC67:BJ68),0)</f>
        <v>40875</v>
      </c>
      <c r="BA76" s="84">
        <f>ROUND(_xlfn.STDEV.P(BC69:BJ70),0)</f>
        <v>51613</v>
      </c>
      <c r="BB76" s="84">
        <f>ROUND(_xlfn.STDEV.P(BB65:BB70),0)</f>
        <v>3126</v>
      </c>
      <c r="BC76" s="84"/>
      <c r="BD76" s="84"/>
      <c r="BE76" s="84"/>
      <c r="BF76" s="84"/>
      <c r="BG76" s="84"/>
      <c r="BH76" s="84"/>
      <c r="BI76" s="84"/>
      <c r="BJ76" s="84"/>
      <c r="BK76" s="84"/>
      <c r="BL76" s="84"/>
    </row>
    <row r="77" spans="2:64" x14ac:dyDescent="0.2"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</row>
    <row r="78" spans="2:64" x14ac:dyDescent="0.2">
      <c r="B78" t="s">
        <v>73</v>
      </c>
      <c r="C78" t="s">
        <v>112</v>
      </c>
      <c r="D78" t="s">
        <v>113</v>
      </c>
      <c r="E78" t="s">
        <v>114</v>
      </c>
      <c r="R78" s="67" t="s">
        <v>73</v>
      </c>
      <c r="S78" s="67" t="s">
        <v>112</v>
      </c>
      <c r="T78" s="67" t="s">
        <v>113</v>
      </c>
      <c r="U78" s="67" t="s">
        <v>114</v>
      </c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H78" s="84" t="s">
        <v>73</v>
      </c>
      <c r="AI78" s="84" t="s">
        <v>112</v>
      </c>
      <c r="AJ78" s="84" t="s">
        <v>113</v>
      </c>
      <c r="AK78" s="84" t="s">
        <v>114</v>
      </c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X78" s="84" t="s">
        <v>73</v>
      </c>
      <c r="AY78" s="84" t="s">
        <v>112</v>
      </c>
      <c r="AZ78" s="84" t="s">
        <v>113</v>
      </c>
      <c r="BA78" s="84" t="s">
        <v>114</v>
      </c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</row>
    <row r="79" spans="2:64" x14ac:dyDescent="0.2">
      <c r="B79" t="s">
        <v>57</v>
      </c>
      <c r="C79">
        <f t="shared" ref="C79:E80" si="16">C75/$F$75</f>
        <v>2.2764303524046986E-2</v>
      </c>
      <c r="D79">
        <f t="shared" si="16"/>
        <v>1.8066907558767449E-2</v>
      </c>
      <c r="E79">
        <f t="shared" si="16"/>
        <v>2.4938999186655823E-2</v>
      </c>
      <c r="R79" s="67" t="s">
        <v>57</v>
      </c>
      <c r="S79" s="67">
        <f>S75/$V$75</f>
        <v>7.591187792630967E-2</v>
      </c>
      <c r="T79" s="84">
        <f t="shared" ref="T79:U79" si="17">T75/$V$75</f>
        <v>7.7165918867662706E-2</v>
      </c>
      <c r="U79" s="84">
        <f t="shared" si="17"/>
        <v>9.6034352498573783E-2</v>
      </c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H79" s="84" t="s">
        <v>57</v>
      </c>
      <c r="AI79" s="84">
        <f>AI75/$AL$75</f>
        <v>0.47302782166585644</v>
      </c>
      <c r="AJ79" s="84">
        <f t="shared" ref="AJ79:AK79" si="18">AJ75/$AL$75</f>
        <v>0.43253600510452117</v>
      </c>
      <c r="AK79" s="84">
        <f t="shared" si="18"/>
        <v>0.55783984564900335</v>
      </c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X79" s="84" t="s">
        <v>57</v>
      </c>
      <c r="AY79" s="84">
        <f>AY75/$BB$75</f>
        <v>0.74806551548682543</v>
      </c>
      <c r="AZ79" s="84">
        <f t="shared" ref="AZ79:BA79" si="19">AZ75/$BB$75</f>
        <v>0.72013834768551022</v>
      </c>
      <c r="BA79" s="84">
        <f t="shared" si="19"/>
        <v>0.8465396976703744</v>
      </c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</row>
    <row r="80" spans="2:64" x14ac:dyDescent="0.2">
      <c r="B80" t="s">
        <v>56</v>
      </c>
      <c r="C80">
        <f t="shared" si="16"/>
        <v>1.5440205869411592E-3</v>
      </c>
      <c r="D80">
        <f t="shared" si="16"/>
        <v>2.3173642315230869E-3</v>
      </c>
      <c r="E80">
        <f t="shared" si="16"/>
        <v>1.8133575114334859E-3</v>
      </c>
      <c r="R80" s="67" t="s">
        <v>56</v>
      </c>
      <c r="S80" s="84">
        <f>S76/$V$75</f>
        <v>7.050125661069738E-3</v>
      </c>
      <c r="T80" s="84">
        <f t="shared" ref="T80:U80" si="20">T76/$V$75</f>
        <v>1.187098796840228E-2</v>
      </c>
      <c r="U80" s="84">
        <f t="shared" si="20"/>
        <v>1.1964784063401021E-2</v>
      </c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H80" s="84" t="s">
        <v>56</v>
      </c>
      <c r="AI80" s="84">
        <f>AI76/$AL$75</f>
        <v>6.9725074947334306E-2</v>
      </c>
      <c r="AJ80" s="84">
        <f t="shared" ref="AJ80:AK80" si="21">AJ76/$AL$75</f>
        <v>4.1912271106789821E-2</v>
      </c>
      <c r="AK80" s="84">
        <f t="shared" si="21"/>
        <v>5.7827185626316641E-2</v>
      </c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X80" s="84" t="s">
        <v>56</v>
      </c>
      <c r="AY80" s="84">
        <f>AY76/$BB$75</f>
        <v>4.771191735207167E-2</v>
      </c>
      <c r="AZ80" s="84">
        <f t="shared" ref="AZ80:BA80" si="22">AZ76/$BB$75</f>
        <v>5.2653274164149402E-2</v>
      </c>
      <c r="BA80" s="84">
        <f t="shared" si="22"/>
        <v>6.6485466408177193E-2</v>
      </c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</row>
    <row r="81" spans="1:64" x14ac:dyDescent="0.2"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</row>
    <row r="82" spans="1:64" x14ac:dyDescent="0.2">
      <c r="B82" t="s">
        <v>100</v>
      </c>
      <c r="C82" t="s">
        <v>112</v>
      </c>
      <c r="D82" t="s">
        <v>113</v>
      </c>
      <c r="E82" t="s">
        <v>114</v>
      </c>
      <c r="R82" s="67" t="s">
        <v>100</v>
      </c>
      <c r="S82" s="67" t="s">
        <v>112</v>
      </c>
      <c r="T82" s="67" t="s">
        <v>113</v>
      </c>
      <c r="U82" s="67" t="s">
        <v>114</v>
      </c>
      <c r="V82" s="67"/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H82" s="84" t="s">
        <v>100</v>
      </c>
      <c r="AI82" s="84" t="s">
        <v>112</v>
      </c>
      <c r="AJ82" s="84" t="s">
        <v>113</v>
      </c>
      <c r="AK82" s="84" t="s">
        <v>114</v>
      </c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X82" s="84" t="s">
        <v>100</v>
      </c>
      <c r="AY82" s="84" t="s">
        <v>112</v>
      </c>
      <c r="AZ82" s="84" t="s">
        <v>113</v>
      </c>
      <c r="BA82" s="84" t="s">
        <v>114</v>
      </c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</row>
    <row r="83" spans="1:64" x14ac:dyDescent="0.2">
      <c r="B83" t="s">
        <v>57</v>
      </c>
      <c r="C83">
        <f xml:space="preserve"> C79 *'Calibration Plates'!$K$105</f>
        <v>1627.183954542315</v>
      </c>
      <c r="D83">
        <f xml:space="preserve"> D79 *'Calibration Plates'!$AA$105</f>
        <v>1620.3504537011165</v>
      </c>
      <c r="E83">
        <f xml:space="preserve"> E79 *'Calibration Plates'!$AQ$103</f>
        <v>1424.2717982099271</v>
      </c>
      <c r="R83" s="67" t="s">
        <v>57</v>
      </c>
      <c r="S83" s="67">
        <f xml:space="preserve"> S79 *'Calibration Plates'!$K$105</f>
        <v>5426.1528181779613</v>
      </c>
      <c r="T83" s="67">
        <f xml:space="preserve"> T79 *'Calibration Plates'!$AA$105</f>
        <v>6920.710212346431</v>
      </c>
      <c r="U83" s="67">
        <f xml:space="preserve"> U79 *'Calibration Plates'!$AQ$103</f>
        <v>5484.5432609122663</v>
      </c>
      <c r="V83" s="67"/>
      <c r="W83" s="67"/>
      <c r="X83" s="67"/>
      <c r="Y83" s="67"/>
      <c r="Z83" s="67"/>
      <c r="AA83" s="67"/>
      <c r="AB83" s="67"/>
      <c r="AC83" s="67"/>
      <c r="AD83" s="67"/>
      <c r="AE83" s="67"/>
      <c r="AF83" s="67"/>
      <c r="AH83" s="84" t="s">
        <v>57</v>
      </c>
      <c r="AI83" s="84">
        <f xml:space="preserve"> AI79 *'Calibration Plates'!$K$105</f>
        <v>33811.852871040493</v>
      </c>
      <c r="AJ83" s="84">
        <f xml:space="preserve"> AJ79 *'Calibration Plates'!$AA$105</f>
        <v>38792.466825517593</v>
      </c>
      <c r="AK83" s="84">
        <f xml:space="preserve"> AK79 *'Calibration Plates'!$AQ$103</f>
        <v>31858.357832610131</v>
      </c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X83" s="84" t="s">
        <v>57</v>
      </c>
      <c r="AY83" s="84">
        <f xml:space="preserve"> AY79 *'Calibration Plates'!$K$105</f>
        <v>53471.444995484308</v>
      </c>
      <c r="AZ83" s="84">
        <f xml:space="preserve"> AZ79 *'Calibration Plates'!$AA$105</f>
        <v>64586.398895561455</v>
      </c>
      <c r="BA83" s="84">
        <f xml:space="preserve"> BA79 *'Calibration Plates'!$AQ$103</f>
        <v>48346.070683630751</v>
      </c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</row>
    <row r="84" spans="1:64" x14ac:dyDescent="0.2">
      <c r="B84" t="s">
        <v>56</v>
      </c>
      <c r="C84">
        <f xml:space="preserve"> C80 *'Calibration Plates'!$K$105</f>
        <v>110.36601765126228</v>
      </c>
      <c r="D84">
        <f xml:space="preserve"> D80 *'Calibration Plates'!$AA$105</f>
        <v>207.83535708727237</v>
      </c>
      <c r="E84">
        <f xml:space="preserve"> E80 *'Calibration Plates'!$AQ$103</f>
        <v>103.56125136684672</v>
      </c>
      <c r="R84" s="67" t="s">
        <v>56</v>
      </c>
      <c r="S84" s="67">
        <f xml:space="preserve"> S80 *'Calibration Plates'!$K$105</f>
        <v>503.94036176338375</v>
      </c>
      <c r="T84" s="67">
        <f xml:space="preserve"> T80 *'Calibration Plates'!$AA$105</f>
        <v>1064.6625980629847</v>
      </c>
      <c r="U84" s="67">
        <f xml:space="preserve"> U80 *'Calibration Plates'!$AQ$103</f>
        <v>683.31148277561522</v>
      </c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H84" s="84" t="s">
        <v>56</v>
      </c>
      <c r="AI84" s="84">
        <f xml:space="preserve"> AI80 *'Calibration Plates'!$K$105</f>
        <v>4983.9224408387645</v>
      </c>
      <c r="AJ84" s="84">
        <f xml:space="preserve"> AJ80 *'Calibration Plates'!$AA$105</f>
        <v>3758.9480813264413</v>
      </c>
      <c r="AK84" s="84">
        <f xml:space="preserve"> AK80 *'Calibration Plates'!$AQ$103</f>
        <v>3302.523450960402</v>
      </c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X84" s="84" t="s">
        <v>56</v>
      </c>
      <c r="AY84" s="84">
        <f xml:space="preserve"> AY80 *'Calibration Plates'!$K$105</f>
        <v>3410.430118089469</v>
      </c>
      <c r="AZ84" s="84">
        <f xml:space="preserve"> AZ80 *'Calibration Plates'!$AA$105</f>
        <v>4722.2667411793182</v>
      </c>
      <c r="BA84" s="84">
        <f xml:space="preserve"> BA80 *'Calibration Plates'!$AQ$103</f>
        <v>3796.9997948701998</v>
      </c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</row>
    <row r="85" spans="1:64" x14ac:dyDescent="0.2"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</row>
    <row r="86" spans="1:64" x14ac:dyDescent="0.2"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</row>
    <row r="87" spans="1:64" x14ac:dyDescent="0.2"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</row>
    <row r="88" spans="1:64" x14ac:dyDescent="0.2"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</row>
    <row r="89" spans="1:64" x14ac:dyDescent="0.2"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</row>
    <row r="90" spans="1:64" x14ac:dyDescent="0.2"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</row>
    <row r="91" spans="1:64" x14ac:dyDescent="0.2"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</row>
    <row r="92" spans="1:64" x14ac:dyDescent="0.2">
      <c r="A92" s="84"/>
      <c r="B92" s="84"/>
      <c r="C92" s="84" t="s">
        <v>124</v>
      </c>
      <c r="D92" s="84" t="s">
        <v>185</v>
      </c>
      <c r="E92" s="84" t="s">
        <v>186</v>
      </c>
      <c r="F92" s="84" t="s">
        <v>187</v>
      </c>
      <c r="G92" s="84"/>
      <c r="S92" s="84" t="s">
        <v>124</v>
      </c>
      <c r="T92" s="84" t="s">
        <v>185</v>
      </c>
      <c r="U92" s="84" t="s">
        <v>186</v>
      </c>
      <c r="V92" s="84" t="s">
        <v>187</v>
      </c>
      <c r="AI92" s="84" t="s">
        <v>124</v>
      </c>
      <c r="AJ92" s="84" t="s">
        <v>185</v>
      </c>
      <c r="AK92" s="84" t="s">
        <v>186</v>
      </c>
      <c r="AL92" s="84" t="s">
        <v>187</v>
      </c>
      <c r="AX92" s="84"/>
      <c r="AY92" s="84" t="s">
        <v>124</v>
      </c>
      <c r="AZ92" s="84" t="s">
        <v>185</v>
      </c>
      <c r="BA92" s="84" t="s">
        <v>186</v>
      </c>
      <c r="BB92" s="84" t="s">
        <v>187</v>
      </c>
      <c r="BC92" s="84"/>
      <c r="BD92" s="84"/>
      <c r="BE92" s="84"/>
      <c r="BF92" s="84"/>
      <c r="BG92" s="84"/>
      <c r="BH92" s="84"/>
      <c r="BI92" s="84"/>
      <c r="BJ92" s="84"/>
      <c r="BK92" s="84"/>
      <c r="BL92" s="84"/>
    </row>
    <row r="93" spans="1:64" x14ac:dyDescent="0.2">
      <c r="A93" s="84"/>
      <c r="B93" s="84"/>
      <c r="C93" s="84" t="s">
        <v>125</v>
      </c>
      <c r="D93" s="84">
        <f>E53</f>
        <v>18617</v>
      </c>
      <c r="E93" s="84">
        <f>D93-AVERAGE($D$93,$D$103,$D$113,$D$123,$D$133,$D$143)</f>
        <v>-17.833333333332121</v>
      </c>
      <c r="F93" s="84">
        <f>E93/AVERAGE($D$94,$D$104,$D$114,$D$124,$D$134,$D$144)</f>
        <v>-2.3201599565976725E-5</v>
      </c>
      <c r="G93" s="84"/>
      <c r="S93" s="84" t="s">
        <v>125</v>
      </c>
      <c r="T93" s="84">
        <f>U53</f>
        <v>21943</v>
      </c>
      <c r="U93" s="84">
        <f>ROUND(T93-AVERAGE($T$93,$T$103,$T$113,$T$123,$T$133,$T$143),0)</f>
        <v>182</v>
      </c>
      <c r="V93" s="84">
        <f>U93/AVERAGE($T$94,$T$104,$T$114,$T$124,$T$134,$T$144)</f>
        <v>2.2748729862582674E-4</v>
      </c>
      <c r="AI93" s="84" t="s">
        <v>125</v>
      </c>
      <c r="AJ93" s="84">
        <f>AK53</f>
        <v>23218</v>
      </c>
      <c r="AK93" s="84">
        <f>ROUND(AJ93-AVERAGE($AJ$93,$AJ$103,$AJ$113,$AJ$123,$AJ$133,$AJ$143),0)</f>
        <v>148</v>
      </c>
      <c r="AL93" s="84">
        <f>AK93/AVERAGE($AJ$94,$AJ$104,$AJ$114,$AJ$124,$AJ$134,$AJ$144)</f>
        <v>1.8205129992418631E-4</v>
      </c>
      <c r="AX93" s="84"/>
      <c r="AY93" s="84" t="s">
        <v>125</v>
      </c>
      <c r="AZ93" s="84">
        <f>BA53</f>
        <v>23977</v>
      </c>
      <c r="BA93" s="84">
        <f>ROUND(AZ93-AVERAGE($AZ$93,$AZ$103,$AZ$113,$AZ$123,$AZ$133,$AZ$143),0)</f>
        <v>325</v>
      </c>
      <c r="BB93" s="84">
        <f>BA93/AVERAGE($AZ$94,$AZ$104,$AZ$114,$AZ$124,$AZ$134,$AZ$144)</f>
        <v>4.0627200640034673E-4</v>
      </c>
      <c r="BC93" s="84"/>
      <c r="BD93" s="84"/>
      <c r="BE93" s="84"/>
      <c r="BF93" s="84"/>
      <c r="BG93" s="84"/>
      <c r="BH93" s="84"/>
      <c r="BI93" s="84"/>
      <c r="BJ93" s="84"/>
      <c r="BK93" s="84"/>
      <c r="BL93" s="84"/>
    </row>
    <row r="94" spans="1:64" x14ac:dyDescent="0.2">
      <c r="A94" s="84"/>
      <c r="B94" s="84"/>
      <c r="C94" s="84" t="s">
        <v>126</v>
      </c>
      <c r="D94" s="84">
        <f>F53</f>
        <v>766121</v>
      </c>
      <c r="E94" s="84">
        <f t="shared" ref="E94:E152" si="23">D94-AVERAGE($D$93,$D$103,$D$113,$D$123,$D$133,$D$143)</f>
        <v>747486.16666666663</v>
      </c>
      <c r="F94" s="84">
        <f t="shared" ref="F94:F152" si="24">E94/AVERAGE($D$94,$D$104,$D$114,$D$124,$D$134,$D$144)</f>
        <v>0.97249764785653003</v>
      </c>
      <c r="G94" s="84"/>
      <c r="S94" s="84" t="s">
        <v>126</v>
      </c>
      <c r="T94" s="84">
        <f>V53</f>
        <v>808360</v>
      </c>
      <c r="U94" s="84">
        <f t="shared" ref="U94:U152" si="25">ROUND(T94-AVERAGE($T$93,$T$103,$T$113,$T$123,$T$133,$T$143),0)</f>
        <v>786599</v>
      </c>
      <c r="V94" s="84">
        <f t="shared" ref="V94:V152" si="26">U94/AVERAGE($T$94,$T$104,$T$114,$T$124,$T$134,$T$144)</f>
        <v>0.98319385500976197</v>
      </c>
      <c r="AI94" s="84" t="s">
        <v>126</v>
      </c>
      <c r="AJ94" s="84">
        <f>AL53</f>
        <v>817877</v>
      </c>
      <c r="AK94" s="84">
        <f t="shared" ref="AK94:AK152" si="27">ROUND(AJ94-AVERAGE($AJ$93,$AJ$103,$AJ$113,$AJ$123,$AJ$133,$AJ$143),0)</f>
        <v>794807</v>
      </c>
      <c r="AL94" s="84">
        <f t="shared" ref="AL94:AL152" si="28">AK94/AVERAGE($AJ$94,$AJ$104,$AJ$114,$AJ$124,$AJ$134,$AJ$144)</f>
        <v>0.97767329418136983</v>
      </c>
      <c r="AX94" s="84"/>
      <c r="AY94" s="84" t="s">
        <v>126</v>
      </c>
      <c r="AZ94" s="84">
        <f>BB53</f>
        <v>795232</v>
      </c>
      <c r="BA94" s="84">
        <f t="shared" ref="BA94:BA152" si="29">ROUND(AZ94-AVERAGE($AZ$93,$AZ$103,$AZ$113,$AZ$123,$AZ$133,$AZ$143),0)</f>
        <v>771580</v>
      </c>
      <c r="BB94" s="84">
        <f t="shared" ref="BB94:BB152" si="30">BA94/AVERAGE($AZ$94,$AZ$104,$AZ$114,$AZ$124,$AZ$134,$AZ$144)</f>
        <v>0.96452724522578315</v>
      </c>
      <c r="BC94" s="84"/>
      <c r="BD94" s="84"/>
      <c r="BE94" s="84"/>
      <c r="BF94" s="84"/>
      <c r="BG94" s="84"/>
      <c r="BH94" s="84"/>
      <c r="BI94" s="84"/>
      <c r="BJ94" s="84"/>
      <c r="BK94" s="84"/>
      <c r="BL94" s="84"/>
    </row>
    <row r="95" spans="1:64" x14ac:dyDescent="0.2">
      <c r="A95" s="84"/>
      <c r="B95" s="84"/>
      <c r="C95" s="84" t="s">
        <v>127</v>
      </c>
      <c r="D95" s="84">
        <f>G53</f>
        <v>36013</v>
      </c>
      <c r="E95" s="84">
        <f t="shared" si="23"/>
        <v>17378.166666666668</v>
      </c>
      <c r="F95" s="84">
        <f t="shared" si="24"/>
        <v>2.2609416683598053E-2</v>
      </c>
      <c r="G95" s="84"/>
      <c r="S95" s="84" t="s">
        <v>127</v>
      </c>
      <c r="T95" s="84">
        <f>W53</f>
        <v>71541</v>
      </c>
      <c r="U95" s="84">
        <f t="shared" si="25"/>
        <v>49780</v>
      </c>
      <c r="V95" s="84">
        <f>U95/AVERAGE($T$94,$T$104,$T$114,$T$124,$T$134,$T$144)</f>
        <v>6.2221525964800302E-2</v>
      </c>
      <c r="AI95" s="84" t="s">
        <v>127</v>
      </c>
      <c r="AJ95" s="84">
        <f>AM53</f>
        <v>335399</v>
      </c>
      <c r="AK95" s="84">
        <f t="shared" si="27"/>
        <v>312329</v>
      </c>
      <c r="AL95" s="84">
        <f t="shared" si="28"/>
        <v>0.38418851658122422</v>
      </c>
      <c r="AX95" s="84"/>
      <c r="AY95" s="84" t="s">
        <v>127</v>
      </c>
      <c r="AZ95" s="84">
        <f>BC53</f>
        <v>684040</v>
      </c>
      <c r="BA95" s="84">
        <f t="shared" si="29"/>
        <v>660388</v>
      </c>
      <c r="BB95" s="84">
        <f t="shared" si="30"/>
        <v>0.82552971619296045</v>
      </c>
      <c r="BC95" s="84"/>
      <c r="BD95" s="84"/>
      <c r="BE95" s="84"/>
      <c r="BF95" s="84"/>
      <c r="BG95" s="84"/>
      <c r="BH95" s="84"/>
      <c r="BI95" s="84"/>
      <c r="BJ95" s="84"/>
      <c r="BK95" s="84"/>
      <c r="BL95" s="84"/>
    </row>
    <row r="96" spans="1:64" x14ac:dyDescent="0.2">
      <c r="A96" s="84"/>
      <c r="B96" s="84"/>
      <c r="C96" s="84" t="s">
        <v>128</v>
      </c>
      <c r="D96" s="84">
        <f>H53</f>
        <v>35354</v>
      </c>
      <c r="E96" s="84">
        <f t="shared" si="23"/>
        <v>16719.166666666668</v>
      </c>
      <c r="F96" s="84">
        <f t="shared" si="24"/>
        <v>2.1752041686552464E-2</v>
      </c>
      <c r="G96" s="84"/>
      <c r="S96" s="84" t="s">
        <v>128</v>
      </c>
      <c r="T96" s="84">
        <f>X53</f>
        <v>83608</v>
      </c>
      <c r="U96" s="84">
        <f t="shared" si="25"/>
        <v>61847</v>
      </c>
      <c r="V96" s="84">
        <f t="shared" si="26"/>
        <v>7.7304433835777508E-2</v>
      </c>
      <c r="AI96" s="84" t="s">
        <v>128</v>
      </c>
      <c r="AJ96" s="84">
        <f>AN53</f>
        <v>525350</v>
      </c>
      <c r="AK96" s="84">
        <f t="shared" si="27"/>
        <v>502280</v>
      </c>
      <c r="AL96" s="84">
        <f t="shared" si="28"/>
        <v>0.6178427494994615</v>
      </c>
      <c r="AX96" s="84"/>
      <c r="AY96" s="84" t="s">
        <v>128</v>
      </c>
      <c r="AZ96" s="84">
        <f>BD53</f>
        <v>631806</v>
      </c>
      <c r="BA96" s="84">
        <f t="shared" si="29"/>
        <v>608154</v>
      </c>
      <c r="BB96" s="84">
        <f t="shared" si="30"/>
        <v>0.76023367932429675</v>
      </c>
      <c r="BC96" s="84"/>
      <c r="BD96" s="84"/>
      <c r="BE96" s="84"/>
      <c r="BF96" s="84"/>
      <c r="BG96" s="84"/>
      <c r="BH96" s="84"/>
      <c r="BI96" s="84"/>
      <c r="BJ96" s="84"/>
      <c r="BK96" s="84"/>
      <c r="BL96" s="84"/>
    </row>
    <row r="97" spans="1:64" x14ac:dyDescent="0.2">
      <c r="A97" s="84"/>
      <c r="B97" s="84"/>
      <c r="C97" s="84" t="s">
        <v>129</v>
      </c>
      <c r="D97" s="84">
        <f>I53</f>
        <v>34832</v>
      </c>
      <c r="E97" s="84">
        <f t="shared" si="23"/>
        <v>16197.166666666668</v>
      </c>
      <c r="F97" s="84">
        <f t="shared" si="24"/>
        <v>2.1072907015144575E-2</v>
      </c>
      <c r="G97" s="84"/>
      <c r="S97" s="84" t="s">
        <v>129</v>
      </c>
      <c r="T97" s="84">
        <f>Y53</f>
        <v>76280</v>
      </c>
      <c r="U97" s="84">
        <f t="shared" si="25"/>
        <v>54519</v>
      </c>
      <c r="V97" s="84">
        <f t="shared" si="26"/>
        <v>6.8144945240557406E-2</v>
      </c>
      <c r="AI97" s="84" t="s">
        <v>129</v>
      </c>
      <c r="AJ97" s="84">
        <f>AO53</f>
        <v>378110</v>
      </c>
      <c r="AK97" s="84">
        <f t="shared" si="27"/>
        <v>355040</v>
      </c>
      <c r="AL97" s="84">
        <f t="shared" si="28"/>
        <v>0.43672630760191289</v>
      </c>
      <c r="AX97" s="84"/>
      <c r="AY97" s="84" t="s">
        <v>129</v>
      </c>
      <c r="AZ97" s="84">
        <f>BE53</f>
        <v>575440</v>
      </c>
      <c r="BA97" s="84">
        <f t="shared" si="29"/>
        <v>551788</v>
      </c>
      <c r="BB97" s="84">
        <f t="shared" si="30"/>
        <v>0.68977236266964459</v>
      </c>
      <c r="BC97" s="84"/>
      <c r="BD97" s="84"/>
      <c r="BE97" s="84"/>
      <c r="BF97" s="84"/>
      <c r="BG97" s="84"/>
      <c r="BH97" s="84"/>
      <c r="BI97" s="84"/>
      <c r="BJ97" s="84"/>
      <c r="BK97" s="84"/>
      <c r="BL97" s="84"/>
    </row>
    <row r="98" spans="1:64" x14ac:dyDescent="0.2">
      <c r="A98" s="84"/>
      <c r="B98" s="84"/>
      <c r="C98" s="84" t="s">
        <v>130</v>
      </c>
      <c r="D98" s="84">
        <f>J53</f>
        <v>35912</v>
      </c>
      <c r="E98" s="84">
        <f t="shared" si="23"/>
        <v>17277.166666666668</v>
      </c>
      <c r="F98" s="84">
        <f t="shared" si="24"/>
        <v>2.2478013231850551E-2</v>
      </c>
      <c r="G98" s="84"/>
      <c r="S98" s="84" t="s">
        <v>130</v>
      </c>
      <c r="T98" s="84">
        <f>Z53</f>
        <v>88086</v>
      </c>
      <c r="U98" s="84">
        <f t="shared" si="25"/>
        <v>66325</v>
      </c>
      <c r="V98" s="84">
        <f t="shared" si="26"/>
        <v>8.2901621326142622E-2</v>
      </c>
      <c r="AI98" s="84" t="s">
        <v>130</v>
      </c>
      <c r="AJ98" s="84">
        <f>AP53</f>
        <v>471363</v>
      </c>
      <c r="AK98" s="84">
        <f t="shared" si="27"/>
        <v>448293</v>
      </c>
      <c r="AL98" s="84">
        <f t="shared" si="28"/>
        <v>0.55143461754671119</v>
      </c>
      <c r="AX98" s="84"/>
      <c r="AY98" s="84" t="s">
        <v>130</v>
      </c>
      <c r="AZ98" s="84">
        <f>BF53</f>
        <v>579326</v>
      </c>
      <c r="BA98" s="84">
        <f t="shared" si="29"/>
        <v>555674</v>
      </c>
      <c r="BB98" s="84">
        <f t="shared" si="30"/>
        <v>0.69463012579848082</v>
      </c>
      <c r="BC98" s="84"/>
      <c r="BD98" s="84"/>
      <c r="BE98" s="84"/>
      <c r="BF98" s="84"/>
      <c r="BG98" s="84"/>
      <c r="BH98" s="84"/>
      <c r="BI98" s="84"/>
      <c r="BJ98" s="84"/>
      <c r="BK98" s="84"/>
      <c r="BL98" s="84"/>
    </row>
    <row r="99" spans="1:64" x14ac:dyDescent="0.2">
      <c r="A99" s="84"/>
      <c r="B99" s="84"/>
      <c r="C99" s="84" t="s">
        <v>131</v>
      </c>
      <c r="D99" s="84">
        <f>K53</f>
        <v>35759</v>
      </c>
      <c r="E99" s="84">
        <f t="shared" si="23"/>
        <v>17124.166666666668</v>
      </c>
      <c r="F99" s="84">
        <f t="shared" si="24"/>
        <v>2.2278956517817205E-2</v>
      </c>
      <c r="G99" s="84"/>
      <c r="S99" s="84" t="s">
        <v>131</v>
      </c>
      <c r="T99" s="84">
        <f>AA53</f>
        <v>81372</v>
      </c>
      <c r="U99" s="84">
        <f t="shared" si="25"/>
        <v>59611</v>
      </c>
      <c r="V99" s="84">
        <f t="shared" si="26"/>
        <v>7.450958988123163E-2</v>
      </c>
      <c r="AI99" s="84" t="s">
        <v>131</v>
      </c>
      <c r="AJ99" s="84">
        <f>AQ53</f>
        <v>396602</v>
      </c>
      <c r="AK99" s="84">
        <f t="shared" si="27"/>
        <v>373532</v>
      </c>
      <c r="AL99" s="84">
        <f t="shared" si="28"/>
        <v>0.45947287948162946</v>
      </c>
      <c r="AX99" s="84"/>
      <c r="AY99" s="84" t="s">
        <v>131</v>
      </c>
      <c r="AZ99" s="84">
        <f>BG53</f>
        <v>576189</v>
      </c>
      <c r="BA99" s="84">
        <f t="shared" si="29"/>
        <v>552537</v>
      </c>
      <c r="BB99" s="84">
        <f t="shared" si="30"/>
        <v>0.6907086633859334</v>
      </c>
      <c r="BC99" s="84"/>
      <c r="BD99" s="84"/>
      <c r="BE99" s="84"/>
      <c r="BF99" s="84"/>
      <c r="BG99" s="84"/>
      <c r="BH99" s="84"/>
      <c r="BI99" s="84"/>
      <c r="BJ99" s="84"/>
      <c r="BK99" s="84"/>
      <c r="BL99" s="84"/>
    </row>
    <row r="100" spans="1:64" x14ac:dyDescent="0.2">
      <c r="A100" s="84"/>
      <c r="B100" s="84"/>
      <c r="C100" s="84" t="s">
        <v>132</v>
      </c>
      <c r="D100" s="84">
        <f>L53</f>
        <v>35838</v>
      </c>
      <c r="E100" s="84">
        <f t="shared" si="23"/>
        <v>17203.166666666668</v>
      </c>
      <c r="F100" s="84">
        <f t="shared" si="24"/>
        <v>2.2381737435520698E-2</v>
      </c>
      <c r="G100" s="84"/>
      <c r="S100" s="84" t="s">
        <v>132</v>
      </c>
      <c r="T100" s="84">
        <f>AB53</f>
        <v>83524</v>
      </c>
      <c r="U100" s="84">
        <f t="shared" si="25"/>
        <v>61763</v>
      </c>
      <c r="V100" s="84">
        <f t="shared" si="26"/>
        <v>7.7199439697950206E-2</v>
      </c>
      <c r="AI100" s="84" t="s">
        <v>132</v>
      </c>
      <c r="AJ100" s="84">
        <f>AR53</f>
        <v>388906</v>
      </c>
      <c r="AK100" s="84">
        <f t="shared" si="27"/>
        <v>365836</v>
      </c>
      <c r="AL100" s="84">
        <f t="shared" si="28"/>
        <v>0.45000621188557177</v>
      </c>
      <c r="AX100" s="84"/>
      <c r="AY100" s="84" t="s">
        <v>132</v>
      </c>
      <c r="AZ100" s="84">
        <f>BH53</f>
        <v>666197</v>
      </c>
      <c r="BA100" s="84">
        <f t="shared" si="29"/>
        <v>642545</v>
      </c>
      <c r="BB100" s="84">
        <f t="shared" si="30"/>
        <v>0.80322475800772541</v>
      </c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</row>
    <row r="101" spans="1:64" x14ac:dyDescent="0.2">
      <c r="A101" s="84"/>
      <c r="B101" s="84"/>
      <c r="C101" s="84" t="s">
        <v>133</v>
      </c>
      <c r="D101" s="84">
        <f>M53</f>
        <v>34196</v>
      </c>
      <c r="E101" s="84">
        <f t="shared" si="23"/>
        <v>15561.166666666668</v>
      </c>
      <c r="F101" s="84">
        <f t="shared" si="24"/>
        <v>2.0245455576417725E-2</v>
      </c>
      <c r="G101" s="84"/>
      <c r="S101" s="84" t="s">
        <v>133</v>
      </c>
      <c r="T101" s="84">
        <f>AC53</f>
        <v>77615</v>
      </c>
      <c r="U101" s="84">
        <f t="shared" si="25"/>
        <v>55854</v>
      </c>
      <c r="V101" s="84">
        <f t="shared" si="26"/>
        <v>6.9813602073884207E-2</v>
      </c>
      <c r="AI101" s="84" t="s">
        <v>133</v>
      </c>
      <c r="AJ101" s="84">
        <f>AS53</f>
        <v>341291</v>
      </c>
      <c r="AK101" s="84">
        <f t="shared" si="27"/>
        <v>318221</v>
      </c>
      <c r="AL101" s="84">
        <f t="shared" si="28"/>
        <v>0.39143612644036818</v>
      </c>
      <c r="AX101" s="84"/>
      <c r="AY101" s="84" t="s">
        <v>133</v>
      </c>
      <c r="AZ101" s="84">
        <f>BI53</f>
        <v>598846</v>
      </c>
      <c r="BA101" s="84">
        <f t="shared" si="29"/>
        <v>575194</v>
      </c>
      <c r="BB101" s="84">
        <f t="shared" si="30"/>
        <v>0.71903144753674164</v>
      </c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</row>
    <row r="102" spans="1:64" x14ac:dyDescent="0.2">
      <c r="A102" s="84"/>
      <c r="B102" s="84"/>
      <c r="C102" s="84" t="s">
        <v>134</v>
      </c>
      <c r="D102" s="84">
        <f>N53</f>
        <v>35481</v>
      </c>
      <c r="E102" s="84">
        <f t="shared" si="23"/>
        <v>16846.166666666668</v>
      </c>
      <c r="F102" s="84">
        <f t="shared" si="24"/>
        <v>2.191727176944289E-2</v>
      </c>
      <c r="G102" s="84"/>
      <c r="S102" s="84" t="s">
        <v>134</v>
      </c>
      <c r="T102" s="84">
        <f>AD53</f>
        <v>83738</v>
      </c>
      <c r="U102" s="84">
        <f t="shared" si="25"/>
        <v>61977</v>
      </c>
      <c r="V102" s="84">
        <f t="shared" si="26"/>
        <v>7.7466924763367376E-2</v>
      </c>
      <c r="AI102" s="84" t="s">
        <v>134</v>
      </c>
      <c r="AJ102" s="84">
        <f>AT53</f>
        <v>392667</v>
      </c>
      <c r="AK102" s="84">
        <f t="shared" si="27"/>
        <v>369597</v>
      </c>
      <c r="AL102" s="84">
        <f t="shared" si="28"/>
        <v>0.45463252904107759</v>
      </c>
      <c r="AX102" s="84"/>
      <c r="AY102" s="84" t="s">
        <v>134</v>
      </c>
      <c r="AZ102" s="84">
        <f>BJ53</f>
        <v>586917</v>
      </c>
      <c r="BA102" s="84">
        <f t="shared" si="29"/>
        <v>563265</v>
      </c>
      <c r="BB102" s="84">
        <f t="shared" si="30"/>
        <v>0.70411938980028088</v>
      </c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</row>
    <row r="103" spans="1:64" x14ac:dyDescent="0.2">
      <c r="A103" s="84"/>
      <c r="B103" s="84"/>
      <c r="C103" s="84" t="s">
        <v>135</v>
      </c>
      <c r="D103" s="84">
        <f>E54</f>
        <v>18568</v>
      </c>
      <c r="E103" s="84">
        <f t="shared" si="23"/>
        <v>-66.833333333332121</v>
      </c>
      <c r="F103" s="84">
        <f t="shared" si="24"/>
        <v>-8.695178902763674E-5</v>
      </c>
      <c r="G103" s="84"/>
      <c r="S103" s="84" t="s">
        <v>135</v>
      </c>
      <c r="T103" s="84">
        <f>U54</f>
        <v>21710</v>
      </c>
      <c r="U103" s="84">
        <f t="shared" si="25"/>
        <v>-51</v>
      </c>
      <c r="V103" s="84">
        <f t="shared" si="26"/>
        <v>-6.3746440823720676E-5</v>
      </c>
      <c r="AI103" s="84" t="s">
        <v>135</v>
      </c>
      <c r="AJ103" s="84">
        <f>AK54</f>
        <v>23613</v>
      </c>
      <c r="AK103" s="84">
        <f t="shared" si="27"/>
        <v>543</v>
      </c>
      <c r="AL103" s="84">
        <f t="shared" si="28"/>
        <v>6.6793145850562949E-4</v>
      </c>
      <c r="AX103" s="84"/>
      <c r="AY103" s="84" t="s">
        <v>135</v>
      </c>
      <c r="AZ103" s="84">
        <f>BA54</f>
        <v>23530</v>
      </c>
      <c r="BA103" s="84">
        <f t="shared" si="29"/>
        <v>-122</v>
      </c>
      <c r="BB103" s="84">
        <f t="shared" si="30"/>
        <v>-1.5250826086413014E-4</v>
      </c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</row>
    <row r="104" spans="1:64" x14ac:dyDescent="0.2">
      <c r="A104" s="84"/>
      <c r="B104" s="84"/>
      <c r="C104" s="84" t="s">
        <v>136</v>
      </c>
      <c r="D104" s="84">
        <f>F54</f>
        <v>775861</v>
      </c>
      <c r="E104" s="84">
        <f t="shared" si="23"/>
        <v>757226.16666666663</v>
      </c>
      <c r="F104" s="84">
        <f t="shared" si="24"/>
        <v>0.98516962429237831</v>
      </c>
      <c r="G104" s="84"/>
      <c r="S104" s="84" t="s">
        <v>136</v>
      </c>
      <c r="T104" s="84">
        <f>V54</f>
        <v>800493</v>
      </c>
      <c r="U104" s="84">
        <f t="shared" si="25"/>
        <v>778732</v>
      </c>
      <c r="V104" s="84">
        <f t="shared" si="26"/>
        <v>0.97336065403015004</v>
      </c>
      <c r="AI104" s="84" t="s">
        <v>136</v>
      </c>
      <c r="AJ104" s="84">
        <f>AL54</f>
        <v>809803</v>
      </c>
      <c r="AK104" s="84">
        <f t="shared" si="27"/>
        <v>786733</v>
      </c>
      <c r="AL104" s="84">
        <f t="shared" si="28"/>
        <v>0.967741657724695</v>
      </c>
      <c r="AX104" s="84"/>
      <c r="AY104" s="84" t="s">
        <v>136</v>
      </c>
      <c r="AZ104" s="84">
        <f>BB54</f>
        <v>796782</v>
      </c>
      <c r="BA104" s="84">
        <f t="shared" si="29"/>
        <v>773130</v>
      </c>
      <c r="BB104" s="84">
        <f t="shared" si="30"/>
        <v>0.96646485017938477</v>
      </c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</row>
    <row r="105" spans="1:64" x14ac:dyDescent="0.2">
      <c r="A105" s="84"/>
      <c r="B105" s="84"/>
      <c r="C105" s="84" t="s">
        <v>137</v>
      </c>
      <c r="D105" s="84">
        <f>G54</f>
        <v>37387</v>
      </c>
      <c r="E105" s="84">
        <f t="shared" si="23"/>
        <v>18752.166666666668</v>
      </c>
      <c r="F105" s="84">
        <f t="shared" si="24"/>
        <v>2.439702403707399E-2</v>
      </c>
      <c r="G105" s="84"/>
      <c r="S105" s="84" t="s">
        <v>137</v>
      </c>
      <c r="T105" s="84">
        <f>W54</f>
        <v>82275</v>
      </c>
      <c r="U105" s="84">
        <f t="shared" si="25"/>
        <v>60514</v>
      </c>
      <c r="V105" s="84">
        <f t="shared" si="26"/>
        <v>7.5638276862875164E-2</v>
      </c>
      <c r="AI105" s="84" t="s">
        <v>137</v>
      </c>
      <c r="AJ105" s="84">
        <f>AM54</f>
        <v>392033</v>
      </c>
      <c r="AK105" s="84">
        <f t="shared" si="27"/>
        <v>368963</v>
      </c>
      <c r="AL105" s="84">
        <f t="shared" si="28"/>
        <v>0.45385266063464563</v>
      </c>
      <c r="AX105" s="84"/>
      <c r="AY105" s="84" t="s">
        <v>137</v>
      </c>
      <c r="AZ105" s="84">
        <f>BC54</f>
        <v>654795</v>
      </c>
      <c r="BA105" s="84">
        <f t="shared" si="29"/>
        <v>631143</v>
      </c>
      <c r="BB105" s="84">
        <f t="shared" si="30"/>
        <v>0.78897148595548927</v>
      </c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</row>
    <row r="106" spans="1:64" x14ac:dyDescent="0.2">
      <c r="A106" s="84"/>
      <c r="B106" s="84"/>
      <c r="C106" s="84" t="s">
        <v>138</v>
      </c>
      <c r="D106" s="84">
        <f>H54</f>
        <v>32959</v>
      </c>
      <c r="E106" s="84">
        <f t="shared" si="23"/>
        <v>14324.166666666668</v>
      </c>
      <c r="F106" s="84">
        <f t="shared" si="24"/>
        <v>1.8636088548579489E-2</v>
      </c>
      <c r="G106" s="84"/>
      <c r="S106" s="84" t="s">
        <v>138</v>
      </c>
      <c r="T106" s="84">
        <f>X54</f>
        <v>81873</v>
      </c>
      <c r="U106" s="84">
        <f t="shared" si="25"/>
        <v>60112</v>
      </c>
      <c r="V106" s="84">
        <f t="shared" si="26"/>
        <v>7.5135804917558779E-2</v>
      </c>
      <c r="AI106" s="84" t="s">
        <v>138</v>
      </c>
      <c r="AJ106" s="84">
        <f>AN54</f>
        <v>408652</v>
      </c>
      <c r="AK106" s="84">
        <f t="shared" si="27"/>
        <v>385582</v>
      </c>
      <c r="AL106" s="84">
        <f t="shared" si="28"/>
        <v>0.47429529950924054</v>
      </c>
      <c r="AX106" s="84"/>
      <c r="AY106" s="84" t="s">
        <v>138</v>
      </c>
      <c r="AZ106" s="84">
        <f>BD54</f>
        <v>639502</v>
      </c>
      <c r="BA106" s="84">
        <f t="shared" si="29"/>
        <v>615850</v>
      </c>
      <c r="BB106" s="84">
        <f t="shared" si="30"/>
        <v>0.76985420043585695</v>
      </c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</row>
    <row r="107" spans="1:64" x14ac:dyDescent="0.2">
      <c r="A107" s="84"/>
      <c r="B107" s="84"/>
      <c r="C107" s="84" t="s">
        <v>139</v>
      </c>
      <c r="D107" s="84">
        <f>I54</f>
        <v>36844</v>
      </c>
      <c r="E107" s="84">
        <f t="shared" si="23"/>
        <v>18209.166666666668</v>
      </c>
      <c r="F107" s="84">
        <f t="shared" si="24"/>
        <v>2.3690567855896818E-2</v>
      </c>
      <c r="G107" s="84"/>
      <c r="S107" s="84" t="s">
        <v>139</v>
      </c>
      <c r="T107" s="84">
        <f>Y54</f>
        <v>83508</v>
      </c>
      <c r="U107" s="84">
        <f t="shared" si="25"/>
        <v>61747</v>
      </c>
      <c r="V107" s="84">
        <f t="shared" si="26"/>
        <v>7.7179440814554523E-2</v>
      </c>
      <c r="AI107" s="84" t="s">
        <v>139</v>
      </c>
      <c r="AJ107" s="84">
        <f>AO54</f>
        <v>341548</v>
      </c>
      <c r="AK107" s="84">
        <f t="shared" si="27"/>
        <v>318478</v>
      </c>
      <c r="AL107" s="84">
        <f t="shared" si="28"/>
        <v>0.39175225606253383</v>
      </c>
      <c r="AX107" s="84"/>
      <c r="AY107" s="84" t="s">
        <v>139</v>
      </c>
      <c r="AZ107" s="84">
        <f>BE54</f>
        <v>592465</v>
      </c>
      <c r="BA107" s="84">
        <f t="shared" si="29"/>
        <v>568813</v>
      </c>
      <c r="BB107" s="84">
        <f t="shared" si="30"/>
        <v>0.71105476546646285</v>
      </c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</row>
    <row r="108" spans="1:64" x14ac:dyDescent="0.2">
      <c r="A108" s="84"/>
      <c r="B108" s="84"/>
      <c r="C108" s="84" t="s">
        <v>140</v>
      </c>
      <c r="D108" s="84">
        <f>J54</f>
        <v>36518</v>
      </c>
      <c r="E108" s="84">
        <f t="shared" si="23"/>
        <v>17883.166666666668</v>
      </c>
      <c r="F108" s="84">
        <f t="shared" si="24"/>
        <v>2.326643394233557E-2</v>
      </c>
      <c r="G108" s="84"/>
      <c r="S108" s="84" t="s">
        <v>140</v>
      </c>
      <c r="T108" s="84">
        <f>Z54</f>
        <v>80018</v>
      </c>
      <c r="U108" s="84">
        <f t="shared" si="25"/>
        <v>58257</v>
      </c>
      <c r="V108" s="84">
        <f t="shared" si="26"/>
        <v>7.2817184373872468E-2</v>
      </c>
      <c r="AI108" s="84" t="s">
        <v>140</v>
      </c>
      <c r="AJ108" s="84">
        <f>AP54</f>
        <v>392032</v>
      </c>
      <c r="AK108" s="84">
        <f t="shared" si="27"/>
        <v>368962</v>
      </c>
      <c r="AL108" s="84">
        <f t="shared" si="28"/>
        <v>0.4538514305582948</v>
      </c>
      <c r="AX108" s="84"/>
      <c r="AY108" s="84" t="s">
        <v>140</v>
      </c>
      <c r="AZ108" s="84">
        <f>BF54</f>
        <v>594012</v>
      </c>
      <c r="BA108" s="84">
        <f t="shared" si="29"/>
        <v>570360</v>
      </c>
      <c r="BB108" s="84">
        <f t="shared" si="30"/>
        <v>0.71298862021692844</v>
      </c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</row>
    <row r="109" spans="1:64" x14ac:dyDescent="0.2">
      <c r="A109" s="84"/>
      <c r="B109" s="84"/>
      <c r="C109" s="84" t="s">
        <v>141</v>
      </c>
      <c r="D109" s="84">
        <f>K54</f>
        <v>37808</v>
      </c>
      <c r="E109" s="84">
        <f t="shared" si="23"/>
        <v>19173.166666666668</v>
      </c>
      <c r="F109" s="84">
        <f t="shared" si="24"/>
        <v>2.4944755256734376E-2</v>
      </c>
      <c r="G109" s="84"/>
      <c r="S109" s="84" t="s">
        <v>141</v>
      </c>
      <c r="T109" s="84">
        <f>AA54</f>
        <v>87889</v>
      </c>
      <c r="U109" s="84">
        <f t="shared" si="25"/>
        <v>66128</v>
      </c>
      <c r="V109" s="84">
        <f t="shared" si="26"/>
        <v>8.2655385074333357E-2</v>
      </c>
      <c r="AI109" s="84" t="s">
        <v>141</v>
      </c>
      <c r="AJ109" s="84">
        <f>AQ54</f>
        <v>483042</v>
      </c>
      <c r="AK109" s="84">
        <f t="shared" si="27"/>
        <v>459972</v>
      </c>
      <c r="AL109" s="84">
        <f t="shared" si="28"/>
        <v>0.56580067924816091</v>
      </c>
      <c r="AX109" s="84"/>
      <c r="AY109" s="84" t="s">
        <v>141</v>
      </c>
      <c r="AZ109" s="84">
        <f>BG54</f>
        <v>588833</v>
      </c>
      <c r="BA109" s="84">
        <f t="shared" si="29"/>
        <v>565181</v>
      </c>
      <c r="BB109" s="84">
        <f t="shared" si="30"/>
        <v>0.70651451953647493</v>
      </c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</row>
    <row r="110" spans="1:64" x14ac:dyDescent="0.2">
      <c r="A110" s="84"/>
      <c r="B110" s="84"/>
      <c r="C110" s="84" t="s">
        <v>142</v>
      </c>
      <c r="D110" s="84">
        <f>L54</f>
        <v>34740</v>
      </c>
      <c r="E110" s="84">
        <f t="shared" si="23"/>
        <v>16105.166666666668</v>
      </c>
      <c r="F110" s="84">
        <f t="shared" si="24"/>
        <v>2.0953212781869623E-2</v>
      </c>
      <c r="G110" s="84"/>
      <c r="S110" s="84" t="s">
        <v>142</v>
      </c>
      <c r="T110" s="84">
        <f>AB54</f>
        <v>73291</v>
      </c>
      <c r="U110" s="84">
        <f t="shared" si="25"/>
        <v>51530</v>
      </c>
      <c r="V110" s="84">
        <f t="shared" si="26"/>
        <v>6.4408903836202486E-2</v>
      </c>
      <c r="AI110" s="84" t="s">
        <v>142</v>
      </c>
      <c r="AJ110" s="84">
        <f>AR54</f>
        <v>363399</v>
      </c>
      <c r="AK110" s="84">
        <f t="shared" si="27"/>
        <v>340329</v>
      </c>
      <c r="AL110" s="84">
        <f t="shared" si="28"/>
        <v>0.41863065440471892</v>
      </c>
      <c r="AX110" s="84"/>
      <c r="AY110" s="84" t="s">
        <v>142</v>
      </c>
      <c r="AZ110" s="84">
        <f>BH54</f>
        <v>570814</v>
      </c>
      <c r="BA110" s="84">
        <f t="shared" si="29"/>
        <v>547162</v>
      </c>
      <c r="BB110" s="84">
        <f t="shared" si="30"/>
        <v>0.68398954943392776</v>
      </c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</row>
    <row r="111" spans="1:64" x14ac:dyDescent="0.2">
      <c r="A111" s="84"/>
      <c r="B111" s="84"/>
      <c r="C111" s="84" t="s">
        <v>143</v>
      </c>
      <c r="D111" s="84">
        <f>M54</f>
        <v>35409</v>
      </c>
      <c r="E111" s="84">
        <f t="shared" si="23"/>
        <v>16774.166666666668</v>
      </c>
      <c r="F111" s="84">
        <f t="shared" si="24"/>
        <v>2.1823598021662491E-2</v>
      </c>
      <c r="G111" s="84"/>
      <c r="S111" s="84" t="s">
        <v>143</v>
      </c>
      <c r="T111" s="84">
        <f>AC54</f>
        <v>70308</v>
      </c>
      <c r="U111" s="84">
        <f t="shared" si="25"/>
        <v>48547</v>
      </c>
      <c r="V111" s="84">
        <f t="shared" si="26"/>
        <v>6.0680362013120936E-2</v>
      </c>
      <c r="AI111" s="84" t="s">
        <v>143</v>
      </c>
      <c r="AJ111" s="84">
        <f>AS54</f>
        <v>314755</v>
      </c>
      <c r="AK111" s="84">
        <f t="shared" si="27"/>
        <v>291685</v>
      </c>
      <c r="AL111" s="84">
        <f t="shared" si="28"/>
        <v>0.35879482039450189</v>
      </c>
      <c r="AX111" s="84"/>
      <c r="AY111" s="84" t="s">
        <v>143</v>
      </c>
      <c r="AZ111" s="84">
        <f>BI54</f>
        <v>563212</v>
      </c>
      <c r="BA111" s="84">
        <f t="shared" si="29"/>
        <v>539560</v>
      </c>
      <c r="BB111" s="84">
        <f t="shared" si="30"/>
        <v>0.67448653468729558</v>
      </c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</row>
    <row r="112" spans="1:64" x14ac:dyDescent="0.2">
      <c r="A112" s="84"/>
      <c r="B112" s="84"/>
      <c r="C112" s="84" t="s">
        <v>144</v>
      </c>
      <c r="D112" s="84">
        <f>N54</f>
        <v>36282</v>
      </c>
      <c r="E112" s="84">
        <f t="shared" si="23"/>
        <v>17647.166666666668</v>
      </c>
      <c r="F112" s="84">
        <f t="shared" si="24"/>
        <v>2.2959392213499821E-2</v>
      </c>
      <c r="G112" s="84"/>
      <c r="S112" s="84" t="s">
        <v>144</v>
      </c>
      <c r="T112" s="84">
        <f>AD54</f>
        <v>88549</v>
      </c>
      <c r="U112" s="84">
        <f t="shared" si="25"/>
        <v>66788</v>
      </c>
      <c r="V112" s="84">
        <f t="shared" si="26"/>
        <v>8.3480339014405033E-2</v>
      </c>
      <c r="AI112" s="84" t="s">
        <v>144</v>
      </c>
      <c r="AJ112" s="84">
        <f>AT54</f>
        <v>422193</v>
      </c>
      <c r="AK112" s="84">
        <f t="shared" si="27"/>
        <v>399123</v>
      </c>
      <c r="AL112" s="84">
        <f t="shared" si="28"/>
        <v>0.49095176337595275</v>
      </c>
      <c r="AX112" s="84"/>
      <c r="AY112" s="84" t="s">
        <v>144</v>
      </c>
      <c r="AZ112" s="84">
        <f>BJ54</f>
        <v>567671</v>
      </c>
      <c r="BA112" s="84">
        <f t="shared" si="29"/>
        <v>544019</v>
      </c>
      <c r="BB112" s="84">
        <f t="shared" si="30"/>
        <v>0.68006058661510838</v>
      </c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</row>
    <row r="113" spans="1:64" x14ac:dyDescent="0.2">
      <c r="A113" s="84"/>
      <c r="B113" s="84"/>
      <c r="C113" s="84" t="s">
        <v>145</v>
      </c>
      <c r="D113" s="84">
        <f>E55</f>
        <v>18624</v>
      </c>
      <c r="E113" s="84">
        <f t="shared" si="23"/>
        <v>-10.833333333332121</v>
      </c>
      <c r="F113" s="84">
        <f t="shared" si="24"/>
        <v>-1.4094429642882438E-5</v>
      </c>
      <c r="G113" s="84"/>
      <c r="S113" s="84" t="s">
        <v>145</v>
      </c>
      <c r="T113" s="84">
        <f>U55</f>
        <v>21269</v>
      </c>
      <c r="U113" s="84">
        <f t="shared" si="25"/>
        <v>-492</v>
      </c>
      <c r="V113" s="84">
        <f t="shared" si="26"/>
        <v>-6.1496566441707006E-4</v>
      </c>
      <c r="AI113" s="84" t="s">
        <v>145</v>
      </c>
      <c r="AJ113" s="84">
        <f>AK55</f>
        <v>22791</v>
      </c>
      <c r="AK113" s="84">
        <f t="shared" si="27"/>
        <v>-279</v>
      </c>
      <c r="AL113" s="84">
        <f t="shared" si="28"/>
        <v>-3.4319130188410795E-4</v>
      </c>
      <c r="AX113" s="84"/>
      <c r="AY113" s="84" t="s">
        <v>145</v>
      </c>
      <c r="AZ113" s="84">
        <f>BA55</f>
        <v>23234</v>
      </c>
      <c r="BA113" s="84">
        <f t="shared" si="29"/>
        <v>-418</v>
      </c>
      <c r="BB113" s="84">
        <f t="shared" si="30"/>
        <v>-5.2252830361644586E-4</v>
      </c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</row>
    <row r="114" spans="1:64" x14ac:dyDescent="0.2">
      <c r="A114" s="84"/>
      <c r="B114" s="84"/>
      <c r="C114" s="84" t="s">
        <v>146</v>
      </c>
      <c r="D114" s="84">
        <f>F55</f>
        <v>773379</v>
      </c>
      <c r="E114" s="84">
        <f t="shared" si="23"/>
        <v>754744.16666666663</v>
      </c>
      <c r="F114" s="84">
        <f t="shared" si="24"/>
        <v>0.98194048204250406</v>
      </c>
      <c r="G114" s="84"/>
      <c r="S114" s="84" t="s">
        <v>146</v>
      </c>
      <c r="T114" s="84">
        <f>V55</f>
        <v>803160</v>
      </c>
      <c r="U114" s="84">
        <f t="shared" si="25"/>
        <v>781399</v>
      </c>
      <c r="V114" s="84">
        <f t="shared" si="26"/>
        <v>0.97669421790616695</v>
      </c>
      <c r="AI114" s="84" t="s">
        <v>146</v>
      </c>
      <c r="AJ114" s="84">
        <f>AL55</f>
        <v>813337</v>
      </c>
      <c r="AK114" s="84">
        <f t="shared" si="27"/>
        <v>790267</v>
      </c>
      <c r="AL114" s="84">
        <f t="shared" si="28"/>
        <v>0.97208874754856034</v>
      </c>
      <c r="AX114" s="84"/>
      <c r="AY114" s="84" t="s">
        <v>146</v>
      </c>
      <c r="AZ114" s="84">
        <f>BB55</f>
        <v>802638</v>
      </c>
      <c r="BA114" s="84">
        <f t="shared" si="29"/>
        <v>778986</v>
      </c>
      <c r="BB114" s="84">
        <f t="shared" si="30"/>
        <v>0.97378524670086297</v>
      </c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</row>
    <row r="115" spans="1:64" x14ac:dyDescent="0.2">
      <c r="A115" s="84"/>
      <c r="B115" s="84"/>
      <c r="C115" s="84" t="s">
        <v>147</v>
      </c>
      <c r="D115" s="84">
        <f>G55</f>
        <v>34306</v>
      </c>
      <c r="E115" s="84">
        <f t="shared" si="23"/>
        <v>15671.166666666668</v>
      </c>
      <c r="F115" s="84">
        <f t="shared" si="24"/>
        <v>2.0388568246637775E-2</v>
      </c>
      <c r="G115" s="84"/>
      <c r="S115" s="84" t="s">
        <v>147</v>
      </c>
      <c r="T115" s="84">
        <f>W55</f>
        <v>80146</v>
      </c>
      <c r="U115" s="84">
        <f t="shared" si="25"/>
        <v>58385</v>
      </c>
      <c r="V115" s="84">
        <f t="shared" si="26"/>
        <v>7.2977175441037878E-2</v>
      </c>
      <c r="AI115" s="84" t="s">
        <v>147</v>
      </c>
      <c r="AJ115" s="84">
        <f>AM55</f>
        <v>396633</v>
      </c>
      <c r="AK115" s="84">
        <f t="shared" si="27"/>
        <v>373563</v>
      </c>
      <c r="AL115" s="84">
        <f t="shared" si="28"/>
        <v>0.45951101184850546</v>
      </c>
      <c r="AX115" s="84"/>
      <c r="AY115" s="84" t="s">
        <v>147</v>
      </c>
      <c r="AZ115" s="84">
        <f>BC55</f>
        <v>589020</v>
      </c>
      <c r="BA115" s="84">
        <f t="shared" si="29"/>
        <v>565368</v>
      </c>
      <c r="BB115" s="84">
        <f t="shared" si="30"/>
        <v>0.70674828219861907</v>
      </c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</row>
    <row r="116" spans="1:64" x14ac:dyDescent="0.2">
      <c r="A116" s="84"/>
      <c r="B116" s="84"/>
      <c r="C116" s="84" t="s">
        <v>148</v>
      </c>
      <c r="D116" s="84">
        <f>H55</f>
        <v>32940</v>
      </c>
      <c r="E116" s="84">
        <f t="shared" si="23"/>
        <v>14305.166666666668</v>
      </c>
      <c r="F116" s="84">
        <f t="shared" si="24"/>
        <v>1.8611369087359664E-2</v>
      </c>
      <c r="G116" s="84"/>
      <c r="S116" s="84" t="s">
        <v>148</v>
      </c>
      <c r="T116" s="84">
        <f>X55</f>
        <v>76004</v>
      </c>
      <c r="U116" s="84">
        <f t="shared" si="25"/>
        <v>54243</v>
      </c>
      <c r="V116" s="84">
        <f t="shared" si="26"/>
        <v>6.7799964501981974E-2</v>
      </c>
      <c r="AI116" s="84" t="s">
        <v>148</v>
      </c>
      <c r="AJ116" s="84">
        <f>AN55</f>
        <v>367867</v>
      </c>
      <c r="AK116" s="84">
        <f t="shared" si="27"/>
        <v>344797</v>
      </c>
      <c r="AL116" s="84">
        <f t="shared" si="28"/>
        <v>0.42412663554026803</v>
      </c>
      <c r="AX116" s="84"/>
      <c r="AY116" s="84" t="s">
        <v>148</v>
      </c>
      <c r="AZ116" s="84">
        <f>BD55</f>
        <v>571959</v>
      </c>
      <c r="BA116" s="84">
        <f t="shared" si="29"/>
        <v>548307</v>
      </c>
      <c r="BB116" s="84">
        <f t="shared" si="30"/>
        <v>0.68542087696416898</v>
      </c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</row>
    <row r="117" spans="1:64" x14ac:dyDescent="0.2">
      <c r="A117" s="84"/>
      <c r="B117" s="84"/>
      <c r="C117" s="84" t="s">
        <v>149</v>
      </c>
      <c r="D117" s="84">
        <f>I55</f>
        <v>31506</v>
      </c>
      <c r="E117" s="84">
        <f t="shared" si="23"/>
        <v>12871.166666666668</v>
      </c>
      <c r="F117" s="84">
        <f t="shared" si="24"/>
        <v>1.674570027740006E-2</v>
      </c>
      <c r="G117" s="84"/>
      <c r="S117" s="84" t="s">
        <v>149</v>
      </c>
      <c r="T117" s="84">
        <f>Y55</f>
        <v>80960</v>
      </c>
      <c r="U117" s="84">
        <f t="shared" si="25"/>
        <v>59199</v>
      </c>
      <c r="V117" s="84">
        <f t="shared" si="26"/>
        <v>7.3994618633792947E-2</v>
      </c>
      <c r="AI117" s="84" t="s">
        <v>149</v>
      </c>
      <c r="AJ117" s="84">
        <f>AO55</f>
        <v>366331</v>
      </c>
      <c r="AK117" s="84">
        <f t="shared" si="27"/>
        <v>343261</v>
      </c>
      <c r="AL117" s="84">
        <f t="shared" si="28"/>
        <v>0.42223723826537918</v>
      </c>
      <c r="AX117" s="84"/>
      <c r="AY117" s="84" t="s">
        <v>149</v>
      </c>
      <c r="AZ117" s="84">
        <f>BE55</f>
        <v>616405</v>
      </c>
      <c r="BA117" s="84">
        <f t="shared" si="29"/>
        <v>592753</v>
      </c>
      <c r="BB117" s="84">
        <f t="shared" si="30"/>
        <v>0.74098138649176837</v>
      </c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</row>
    <row r="118" spans="1:64" x14ac:dyDescent="0.2">
      <c r="A118" s="84"/>
      <c r="B118" s="84"/>
      <c r="C118" s="84" t="s">
        <v>150</v>
      </c>
      <c r="D118" s="84">
        <f>J55</f>
        <v>32600</v>
      </c>
      <c r="E118" s="84">
        <f t="shared" si="23"/>
        <v>13965.166666666668</v>
      </c>
      <c r="F118" s="84">
        <f t="shared" si="24"/>
        <v>1.8169020833952224E-2</v>
      </c>
      <c r="G118" s="84"/>
      <c r="S118" s="84" t="s">
        <v>150</v>
      </c>
      <c r="T118" s="84">
        <f>Z55</f>
        <v>71379</v>
      </c>
      <c r="U118" s="84">
        <f t="shared" si="25"/>
        <v>49618</v>
      </c>
      <c r="V118" s="84">
        <f t="shared" si="26"/>
        <v>6.2019037270419068E-2</v>
      </c>
      <c r="AI118" s="84" t="s">
        <v>150</v>
      </c>
      <c r="AJ118" s="84">
        <f>AP55</f>
        <v>334618</v>
      </c>
      <c r="AK118" s="84">
        <f t="shared" si="27"/>
        <v>311548</v>
      </c>
      <c r="AL118" s="84">
        <f t="shared" si="28"/>
        <v>0.38322782695121888</v>
      </c>
      <c r="AX118" s="84"/>
      <c r="AY118" s="84" t="s">
        <v>150</v>
      </c>
      <c r="AZ118" s="84">
        <f>BF55</f>
        <v>676746</v>
      </c>
      <c r="BA118" s="84">
        <f t="shared" si="29"/>
        <v>653094</v>
      </c>
      <c r="BB118" s="84">
        <f t="shared" si="30"/>
        <v>0.81641172230162473</v>
      </c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</row>
    <row r="119" spans="1:64" x14ac:dyDescent="0.2">
      <c r="A119" s="84"/>
      <c r="B119" s="84"/>
      <c r="C119" s="84" t="s">
        <v>151</v>
      </c>
      <c r="D119" s="84">
        <f>K55</f>
        <v>33198</v>
      </c>
      <c r="E119" s="84">
        <f t="shared" si="23"/>
        <v>14563.166666666668</v>
      </c>
      <c r="F119" s="84">
        <f t="shared" si="24"/>
        <v>1.8947033350239423E-2</v>
      </c>
      <c r="G119" s="84"/>
      <c r="S119" s="84" t="s">
        <v>151</v>
      </c>
      <c r="T119" s="84">
        <f>AA55</f>
        <v>71276</v>
      </c>
      <c r="U119" s="84">
        <f t="shared" si="25"/>
        <v>49515</v>
      </c>
      <c r="V119" s="84">
        <f t="shared" si="26"/>
        <v>6.1890294458559397E-2</v>
      </c>
      <c r="AI119" s="84" t="s">
        <v>151</v>
      </c>
      <c r="AJ119" s="84">
        <f>AQ55</f>
        <v>386669</v>
      </c>
      <c r="AK119" s="84">
        <f t="shared" si="27"/>
        <v>363599</v>
      </c>
      <c r="AL119" s="84">
        <f t="shared" si="28"/>
        <v>0.44725453108874469</v>
      </c>
      <c r="AX119" s="84"/>
      <c r="AY119" s="84" t="s">
        <v>151</v>
      </c>
      <c r="AZ119" s="84">
        <f>BG55</f>
        <v>607533</v>
      </c>
      <c r="BA119" s="84">
        <f t="shared" si="29"/>
        <v>583881</v>
      </c>
      <c r="BB119" s="84">
        <f t="shared" si="30"/>
        <v>0.72989078575089483</v>
      </c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</row>
    <row r="120" spans="1:64" x14ac:dyDescent="0.2">
      <c r="A120" s="84"/>
      <c r="B120" s="84"/>
      <c r="C120" s="84" t="s">
        <v>152</v>
      </c>
      <c r="D120" s="84">
        <f>L55</f>
        <v>31861</v>
      </c>
      <c r="E120" s="84">
        <f t="shared" si="23"/>
        <v>13226.166666666668</v>
      </c>
      <c r="F120" s="84">
        <f t="shared" si="24"/>
        <v>1.7207563894928415E-2</v>
      </c>
      <c r="G120" s="84"/>
      <c r="S120" s="84" t="s">
        <v>152</v>
      </c>
      <c r="T120" s="84">
        <f>AB55</f>
        <v>69022</v>
      </c>
      <c r="U120" s="84">
        <f t="shared" si="25"/>
        <v>47261</v>
      </c>
      <c r="V120" s="84">
        <f t="shared" si="26"/>
        <v>5.9072951760193393E-2</v>
      </c>
      <c r="AI120" s="84" t="s">
        <v>152</v>
      </c>
      <c r="AJ120" s="84">
        <f>AR55</f>
        <v>315628</v>
      </c>
      <c r="AK120" s="84">
        <f t="shared" si="27"/>
        <v>292558</v>
      </c>
      <c r="AL120" s="84">
        <f t="shared" si="28"/>
        <v>0.35986867704878445</v>
      </c>
      <c r="AX120" s="84"/>
      <c r="AY120" s="84" t="s">
        <v>152</v>
      </c>
      <c r="AZ120" s="84">
        <f>BH55</f>
        <v>524516</v>
      </c>
      <c r="BA120" s="84">
        <f t="shared" si="29"/>
        <v>500864</v>
      </c>
      <c r="BB120" s="84">
        <f t="shared" si="30"/>
        <v>0.62611391450370235</v>
      </c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</row>
    <row r="121" spans="1:64" x14ac:dyDescent="0.2">
      <c r="A121" s="84"/>
      <c r="B121" s="84"/>
      <c r="C121" s="84" t="s">
        <v>153</v>
      </c>
      <c r="D121" s="84">
        <f>M55</f>
        <v>33904</v>
      </c>
      <c r="E121" s="84">
        <f t="shared" si="23"/>
        <v>15269.166666666668</v>
      </c>
      <c r="F121" s="84">
        <f t="shared" si="24"/>
        <v>1.9865556488197218E-2</v>
      </c>
      <c r="G121" s="84"/>
      <c r="S121" s="84" t="s">
        <v>153</v>
      </c>
      <c r="T121" s="84">
        <f>AC55</f>
        <v>84420</v>
      </c>
      <c r="U121" s="84">
        <f t="shared" si="25"/>
        <v>62659</v>
      </c>
      <c r="V121" s="84">
        <f t="shared" si="26"/>
        <v>7.831937716810812E-2</v>
      </c>
      <c r="AI121" s="84" t="s">
        <v>153</v>
      </c>
      <c r="AJ121" s="84">
        <f>AS55</f>
        <v>357325</v>
      </c>
      <c r="AK121" s="84">
        <f t="shared" si="27"/>
        <v>334255</v>
      </c>
      <c r="AL121" s="84">
        <f t="shared" si="28"/>
        <v>0.41115917064972224</v>
      </c>
      <c r="AX121" s="84"/>
      <c r="AY121" s="84" t="s">
        <v>153</v>
      </c>
      <c r="AZ121" s="84">
        <f>BI55</f>
        <v>578760</v>
      </c>
      <c r="BA121" s="84">
        <f t="shared" si="29"/>
        <v>555108</v>
      </c>
      <c r="BB121" s="84">
        <f t="shared" si="30"/>
        <v>0.69392258747348823</v>
      </c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</row>
    <row r="122" spans="1:64" x14ac:dyDescent="0.2">
      <c r="A122" s="84"/>
      <c r="B122" s="84"/>
      <c r="C122" s="84" t="s">
        <v>154</v>
      </c>
      <c r="D122" s="84">
        <f>N55</f>
        <v>31442</v>
      </c>
      <c r="E122" s="84">
        <f t="shared" si="23"/>
        <v>12807.166666666668</v>
      </c>
      <c r="F122" s="84">
        <f t="shared" si="24"/>
        <v>1.6662434723817485E-2</v>
      </c>
      <c r="G122" s="84"/>
      <c r="S122" s="84" t="s">
        <v>154</v>
      </c>
      <c r="T122" s="84">
        <f>AD55</f>
        <v>77948</v>
      </c>
      <c r="U122" s="84">
        <f t="shared" si="25"/>
        <v>56187</v>
      </c>
      <c r="V122" s="84">
        <f t="shared" si="26"/>
        <v>7.0229828834556737E-2</v>
      </c>
      <c r="AI122" s="84" t="s">
        <v>154</v>
      </c>
      <c r="AJ122" s="84">
        <f>AT55</f>
        <v>389126</v>
      </c>
      <c r="AK122" s="84">
        <f t="shared" si="27"/>
        <v>366056</v>
      </c>
      <c r="AL122" s="84">
        <f t="shared" si="28"/>
        <v>0.45027682868275637</v>
      </c>
      <c r="AX122" s="84"/>
      <c r="AY122" s="84" t="s">
        <v>154</v>
      </c>
      <c r="AZ122" s="84">
        <f>BJ55</f>
        <v>549336</v>
      </c>
      <c r="BA122" s="84">
        <f t="shared" si="29"/>
        <v>525684</v>
      </c>
      <c r="BB122" s="84">
        <f t="shared" si="30"/>
        <v>0.65714059511556877</v>
      </c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</row>
    <row r="123" spans="1:64" x14ac:dyDescent="0.2">
      <c r="A123" s="84"/>
      <c r="B123" s="84"/>
      <c r="C123" s="84" t="s">
        <v>155</v>
      </c>
      <c r="D123" s="84">
        <f>E56</f>
        <v>18701</v>
      </c>
      <c r="E123" s="84">
        <f t="shared" si="23"/>
        <v>66.166666666667879</v>
      </c>
      <c r="F123" s="84">
        <f t="shared" si="24"/>
        <v>8.6084439511154723E-5</v>
      </c>
      <c r="G123" s="84"/>
      <c r="S123" s="84" t="s">
        <v>155</v>
      </c>
      <c r="T123" s="84">
        <f>U56</f>
        <v>22147</v>
      </c>
      <c r="U123" s="84">
        <f t="shared" si="25"/>
        <v>386</v>
      </c>
      <c r="V123" s="84">
        <f t="shared" si="26"/>
        <v>4.8247306192070947E-4</v>
      </c>
      <c r="AI123" s="84" t="s">
        <v>155</v>
      </c>
      <c r="AJ123" s="84">
        <f>AK56</f>
        <v>23205</v>
      </c>
      <c r="AK123" s="84">
        <f t="shared" si="27"/>
        <v>135</v>
      </c>
      <c r="AL123" s="84">
        <f t="shared" si="28"/>
        <v>1.6606030736327805E-4</v>
      </c>
      <c r="AX123" s="84"/>
      <c r="AY123" s="84" t="s">
        <v>155</v>
      </c>
      <c r="AZ123" s="84">
        <f>BA56</f>
        <v>23445</v>
      </c>
      <c r="BA123" s="84">
        <f t="shared" si="29"/>
        <v>-207</v>
      </c>
      <c r="BB123" s="84">
        <f t="shared" si="30"/>
        <v>-2.5876401638422083E-4</v>
      </c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</row>
    <row r="124" spans="1:64" x14ac:dyDescent="0.2">
      <c r="A124" s="84"/>
      <c r="B124" s="84"/>
      <c r="C124" s="84" t="s">
        <v>156</v>
      </c>
      <c r="D124" s="84">
        <f>F56</f>
        <v>765024</v>
      </c>
      <c r="E124" s="84">
        <f t="shared" si="23"/>
        <v>746389.16666666663</v>
      </c>
      <c r="F124" s="84">
        <f t="shared" si="24"/>
        <v>0.97107042422715362</v>
      </c>
      <c r="G124" s="84"/>
      <c r="S124" s="84" t="s">
        <v>156</v>
      </c>
      <c r="T124" s="84">
        <f>V56</f>
        <v>800719</v>
      </c>
      <c r="U124" s="84">
        <f t="shared" si="25"/>
        <v>778958</v>
      </c>
      <c r="V124" s="84">
        <f t="shared" si="26"/>
        <v>0.97364313825811399</v>
      </c>
      <c r="AI124" s="84" t="s">
        <v>156</v>
      </c>
      <c r="AJ124" s="84">
        <f>AL56</f>
        <v>820017</v>
      </c>
      <c r="AK124" s="84">
        <f t="shared" si="27"/>
        <v>796947</v>
      </c>
      <c r="AL124" s="84">
        <f t="shared" si="28"/>
        <v>0.98030565757216559</v>
      </c>
      <c r="AX124" s="84"/>
      <c r="AY124" s="84" t="s">
        <v>156</v>
      </c>
      <c r="AZ124" s="84">
        <f>BB56</f>
        <v>802560</v>
      </c>
      <c r="BA124" s="84">
        <f t="shared" si="29"/>
        <v>778908</v>
      </c>
      <c r="BB124" s="84">
        <f t="shared" si="30"/>
        <v>0.9736877414193269</v>
      </c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</row>
    <row r="125" spans="1:64" x14ac:dyDescent="0.2">
      <c r="A125" s="84"/>
      <c r="B125" s="84"/>
      <c r="C125" s="84" t="s">
        <v>157</v>
      </c>
      <c r="D125" s="84">
        <f>G56</f>
        <v>33801</v>
      </c>
      <c r="E125" s="84">
        <f t="shared" si="23"/>
        <v>15166.166666666668</v>
      </c>
      <c r="F125" s="84">
        <f t="shared" si="24"/>
        <v>1.9731550987900259E-2</v>
      </c>
      <c r="G125" s="84"/>
      <c r="S125" s="84" t="s">
        <v>157</v>
      </c>
      <c r="T125" s="84">
        <f>W56</f>
        <v>74476</v>
      </c>
      <c r="U125" s="84">
        <f t="shared" si="25"/>
        <v>52715</v>
      </c>
      <c r="V125" s="84">
        <f t="shared" si="26"/>
        <v>6.5890071137694808E-2</v>
      </c>
      <c r="AI125" s="84" t="s">
        <v>157</v>
      </c>
      <c r="AJ125" s="84">
        <f>AM56</f>
        <v>345420</v>
      </c>
      <c r="AK125" s="84">
        <f t="shared" si="27"/>
        <v>322350</v>
      </c>
      <c r="AL125" s="84">
        <f t="shared" si="28"/>
        <v>0.39651511169298281</v>
      </c>
      <c r="AX125" s="84"/>
      <c r="AY125" s="84" t="s">
        <v>157</v>
      </c>
      <c r="AZ125" s="84">
        <f>BC56</f>
        <v>603916</v>
      </c>
      <c r="BA125" s="84">
        <f t="shared" si="29"/>
        <v>580264</v>
      </c>
      <c r="BB125" s="84">
        <f t="shared" si="30"/>
        <v>0.72536929083658697</v>
      </c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</row>
    <row r="126" spans="1:64" x14ac:dyDescent="0.2">
      <c r="A126" s="84"/>
      <c r="B126" s="84"/>
      <c r="C126" s="84" t="s">
        <v>158</v>
      </c>
      <c r="D126" s="84">
        <f>H56</f>
        <v>32055</v>
      </c>
      <c r="E126" s="84">
        <f t="shared" si="23"/>
        <v>13420.166666666668</v>
      </c>
      <c r="F126" s="84">
        <f t="shared" si="24"/>
        <v>1.7459962604225599E-2</v>
      </c>
      <c r="G126" s="84"/>
      <c r="S126" s="84" t="s">
        <v>158</v>
      </c>
      <c r="T126" s="84">
        <f>X56</f>
        <v>73723</v>
      </c>
      <c r="U126" s="84">
        <f t="shared" si="25"/>
        <v>51962</v>
      </c>
      <c r="V126" s="84">
        <f t="shared" si="26"/>
        <v>6.4948873687885766E-2</v>
      </c>
      <c r="AI126" s="84" t="s">
        <v>158</v>
      </c>
      <c r="AJ126" s="84">
        <f>AN56</f>
        <v>309073</v>
      </c>
      <c r="AK126" s="84">
        <f t="shared" si="27"/>
        <v>286003</v>
      </c>
      <c r="AL126" s="84">
        <f t="shared" si="28"/>
        <v>0.35180552656903413</v>
      </c>
      <c r="AX126" s="84"/>
      <c r="AY126" s="84" t="s">
        <v>158</v>
      </c>
      <c r="AZ126" s="84">
        <f>BD56</f>
        <v>506890</v>
      </c>
      <c r="BA126" s="84">
        <f t="shared" si="29"/>
        <v>483238</v>
      </c>
      <c r="BB126" s="84">
        <f t="shared" si="30"/>
        <v>0.60408022101197156</v>
      </c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</row>
    <row r="127" spans="1:64" x14ac:dyDescent="0.2">
      <c r="A127" s="84"/>
      <c r="B127" s="84"/>
      <c r="C127" s="84" t="s">
        <v>159</v>
      </c>
      <c r="D127" s="84">
        <f>I56</f>
        <v>33533</v>
      </c>
      <c r="E127" s="84">
        <f t="shared" si="23"/>
        <v>14898.166666666668</v>
      </c>
      <c r="F127" s="84">
        <f t="shared" si="24"/>
        <v>1.9382876482273222E-2</v>
      </c>
      <c r="G127" s="84"/>
      <c r="S127" s="84" t="s">
        <v>159</v>
      </c>
      <c r="T127" s="84">
        <f>Y56</f>
        <v>85195</v>
      </c>
      <c r="U127" s="84">
        <f t="shared" si="25"/>
        <v>63434</v>
      </c>
      <c r="V127" s="84">
        <f t="shared" si="26"/>
        <v>7.928807308258623E-2</v>
      </c>
      <c r="AI127" s="84" t="s">
        <v>159</v>
      </c>
      <c r="AJ127" s="84">
        <f>AO56</f>
        <v>383878</v>
      </c>
      <c r="AK127" s="84">
        <f t="shared" si="27"/>
        <v>360808</v>
      </c>
      <c r="AL127" s="84">
        <f t="shared" si="28"/>
        <v>0.44382138799355281</v>
      </c>
      <c r="AX127" s="84"/>
      <c r="AY127" s="84" t="s">
        <v>159</v>
      </c>
      <c r="AZ127" s="84">
        <f>BE56</f>
        <v>633552</v>
      </c>
      <c r="BA127" s="84">
        <f t="shared" si="29"/>
        <v>609900</v>
      </c>
      <c r="BB127" s="84">
        <f t="shared" si="30"/>
        <v>0.76241629754945062</v>
      </c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</row>
    <row r="128" spans="1:64" x14ac:dyDescent="0.2">
      <c r="A128" s="84"/>
      <c r="B128" s="84"/>
      <c r="C128" s="84" t="s">
        <v>160</v>
      </c>
      <c r="D128" s="84">
        <f>J56</f>
        <v>26498</v>
      </c>
      <c r="E128" s="84">
        <f t="shared" si="23"/>
        <v>7863.1666666666679</v>
      </c>
      <c r="F128" s="84">
        <f t="shared" si="24"/>
        <v>1.0230170709563464E-2</v>
      </c>
      <c r="G128" s="84"/>
      <c r="S128" s="84" t="s">
        <v>160</v>
      </c>
      <c r="T128" s="84">
        <f>Z56</f>
        <v>82712</v>
      </c>
      <c r="U128" s="84">
        <f t="shared" si="25"/>
        <v>60951</v>
      </c>
      <c r="V128" s="84">
        <f t="shared" si="26"/>
        <v>7.6184496365619594E-2</v>
      </c>
      <c r="AI128" s="84" t="s">
        <v>160</v>
      </c>
      <c r="AJ128" s="84">
        <f>AP56</f>
        <v>345605</v>
      </c>
      <c r="AK128" s="84">
        <f t="shared" si="27"/>
        <v>322535</v>
      </c>
      <c r="AL128" s="84">
        <f t="shared" si="28"/>
        <v>0.39674267581788802</v>
      </c>
      <c r="AX128" s="84"/>
      <c r="AY128" s="84" t="s">
        <v>160</v>
      </c>
      <c r="AZ128" s="84">
        <f>BF56</f>
        <v>569669</v>
      </c>
      <c r="BA128" s="84">
        <f t="shared" si="29"/>
        <v>546017</v>
      </c>
      <c r="BB128" s="84">
        <f t="shared" si="30"/>
        <v>0.68255822190368654</v>
      </c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</row>
    <row r="129" spans="1:64" x14ac:dyDescent="0.2">
      <c r="A129" s="84"/>
      <c r="B129" s="84"/>
      <c r="C129" s="84" t="s">
        <v>161</v>
      </c>
      <c r="D129" s="84">
        <f>K56</f>
        <v>31865</v>
      </c>
      <c r="E129" s="84">
        <f t="shared" si="23"/>
        <v>13230.166666666668</v>
      </c>
      <c r="F129" s="84">
        <f t="shared" si="24"/>
        <v>1.7212767992027325E-2</v>
      </c>
      <c r="G129" s="84"/>
      <c r="S129" s="84" t="s">
        <v>161</v>
      </c>
      <c r="T129" s="84">
        <f>AA56</f>
        <v>91451</v>
      </c>
      <c r="U129" s="84">
        <f t="shared" si="25"/>
        <v>69690</v>
      </c>
      <c r="V129" s="84">
        <f t="shared" si="26"/>
        <v>8.7107636490295959E-2</v>
      </c>
      <c r="AI129" s="84" t="s">
        <v>161</v>
      </c>
      <c r="AJ129" s="84">
        <f>AQ56</f>
        <v>388459</v>
      </c>
      <c r="AK129" s="84">
        <f t="shared" si="27"/>
        <v>365389</v>
      </c>
      <c r="AL129" s="84">
        <f t="shared" si="28"/>
        <v>0.44945636775674669</v>
      </c>
      <c r="AX129" s="84"/>
      <c r="AY129" s="84" t="s">
        <v>161</v>
      </c>
      <c r="AZ129" s="84">
        <f>BG56</f>
        <v>600498</v>
      </c>
      <c r="BA129" s="84">
        <f t="shared" si="29"/>
        <v>576846</v>
      </c>
      <c r="BB129" s="84">
        <f t="shared" si="30"/>
        <v>0.72109655939696737</v>
      </c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</row>
    <row r="130" spans="1:64" x14ac:dyDescent="0.2">
      <c r="A130" s="84"/>
      <c r="B130" s="84"/>
      <c r="C130" s="84" t="s">
        <v>162</v>
      </c>
      <c r="D130" s="84">
        <f>L56</f>
        <v>32483</v>
      </c>
      <c r="E130" s="84">
        <f t="shared" si="23"/>
        <v>13848.166666666668</v>
      </c>
      <c r="F130" s="84">
        <f t="shared" si="24"/>
        <v>1.801680099380908E-2</v>
      </c>
      <c r="G130" s="84"/>
      <c r="S130" s="84" t="s">
        <v>162</v>
      </c>
      <c r="T130" s="84">
        <f>AB56</f>
        <v>92829</v>
      </c>
      <c r="U130" s="84">
        <f t="shared" si="25"/>
        <v>71068</v>
      </c>
      <c r="V130" s="84">
        <f t="shared" si="26"/>
        <v>8.8830040322748646E-2</v>
      </c>
      <c r="AI130" s="84" t="s">
        <v>162</v>
      </c>
      <c r="AJ130" s="84">
        <f>AR56</f>
        <v>421278</v>
      </c>
      <c r="AK130" s="84">
        <f t="shared" si="27"/>
        <v>398208</v>
      </c>
      <c r="AL130" s="84">
        <f t="shared" si="28"/>
        <v>0.48982624351493498</v>
      </c>
      <c r="AX130" s="84"/>
      <c r="AY130" s="84" t="s">
        <v>162</v>
      </c>
      <c r="AZ130" s="84">
        <f>BH56</f>
        <v>593446</v>
      </c>
      <c r="BA130" s="84">
        <f t="shared" si="29"/>
        <v>569794</v>
      </c>
      <c r="BB130" s="84">
        <f t="shared" si="30"/>
        <v>0.71228108189193584</v>
      </c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</row>
    <row r="131" spans="1:64" x14ac:dyDescent="0.2">
      <c r="A131" s="84"/>
      <c r="B131" s="84"/>
      <c r="C131" s="84" t="s">
        <v>163</v>
      </c>
      <c r="D131" s="84">
        <f>M56</f>
        <v>31396</v>
      </c>
      <c r="E131" s="84">
        <f t="shared" si="23"/>
        <v>12761.166666666668</v>
      </c>
      <c r="F131" s="84">
        <f t="shared" si="24"/>
        <v>1.660258760718001E-2</v>
      </c>
      <c r="G131" s="84"/>
      <c r="S131" s="84" t="s">
        <v>163</v>
      </c>
      <c r="T131" s="84">
        <f>AC56</f>
        <v>99795</v>
      </c>
      <c r="U131" s="84">
        <f t="shared" si="25"/>
        <v>78034</v>
      </c>
      <c r="V131" s="84">
        <f t="shared" si="26"/>
        <v>9.7537054181141558E-2</v>
      </c>
      <c r="AI131" s="84" t="s">
        <v>163</v>
      </c>
      <c r="AJ131" s="84">
        <f>AS56</f>
        <v>409079</v>
      </c>
      <c r="AK131" s="84">
        <f t="shared" si="27"/>
        <v>386009</v>
      </c>
      <c r="AL131" s="84">
        <f t="shared" si="28"/>
        <v>0.47482054211104885</v>
      </c>
      <c r="AX131" s="84"/>
      <c r="AY131" s="84" t="s">
        <v>163</v>
      </c>
      <c r="AZ131" s="84">
        <f>BI56</f>
        <v>549141</v>
      </c>
      <c r="BA131" s="84">
        <f t="shared" si="29"/>
        <v>525489</v>
      </c>
      <c r="BB131" s="84">
        <f t="shared" si="30"/>
        <v>0.65689683191172854</v>
      </c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</row>
    <row r="132" spans="1:64" x14ac:dyDescent="0.2">
      <c r="A132" s="84"/>
      <c r="B132" s="84"/>
      <c r="C132" s="84" t="s">
        <v>164</v>
      </c>
      <c r="D132" s="84">
        <f>N56</f>
        <v>31576</v>
      </c>
      <c r="E132" s="84">
        <f t="shared" si="23"/>
        <v>12941.166666666668</v>
      </c>
      <c r="F132" s="84">
        <f t="shared" si="24"/>
        <v>1.6836771976631006E-2</v>
      </c>
      <c r="G132" s="84"/>
      <c r="S132" s="84" t="s">
        <v>164</v>
      </c>
      <c r="T132" s="84">
        <f>AD56</f>
        <v>97757</v>
      </c>
      <c r="U132" s="84">
        <f t="shared" si="25"/>
        <v>75996</v>
      </c>
      <c r="V132" s="84">
        <f t="shared" si="26"/>
        <v>9.4989696408617194E-2</v>
      </c>
      <c r="AI132" s="84" t="s">
        <v>164</v>
      </c>
      <c r="AJ132" s="84">
        <f>AT56</f>
        <v>318614</v>
      </c>
      <c r="AK132" s="84">
        <f t="shared" si="27"/>
        <v>295544</v>
      </c>
      <c r="AL132" s="84">
        <f t="shared" si="28"/>
        <v>0.36354168503238998</v>
      </c>
      <c r="AX132" s="84"/>
      <c r="AY132" s="84" t="s">
        <v>164</v>
      </c>
      <c r="AZ132" s="84">
        <f>BJ56</f>
        <v>551802</v>
      </c>
      <c r="BA132" s="84">
        <f t="shared" si="29"/>
        <v>528150</v>
      </c>
      <c r="BB132" s="84">
        <f t="shared" si="30"/>
        <v>0.66022326209336346</v>
      </c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</row>
    <row r="133" spans="1:64" x14ac:dyDescent="0.2">
      <c r="A133" s="84"/>
      <c r="B133" s="84"/>
      <c r="C133" s="84" t="s">
        <v>165</v>
      </c>
      <c r="D133" s="84">
        <f>E57</f>
        <v>18726</v>
      </c>
      <c r="E133" s="84">
        <f t="shared" si="23"/>
        <v>91.166666666667879</v>
      </c>
      <c r="F133" s="84">
        <f t="shared" si="24"/>
        <v>1.1861004637934861E-4</v>
      </c>
      <c r="G133" s="84"/>
      <c r="S133" s="84" t="s">
        <v>165</v>
      </c>
      <c r="T133" s="84">
        <f>U57</f>
        <v>22022</v>
      </c>
      <c r="U133" s="84">
        <f t="shared" si="25"/>
        <v>261</v>
      </c>
      <c r="V133" s="84">
        <f t="shared" si="26"/>
        <v>3.2623178539198231E-4</v>
      </c>
      <c r="AI133" s="84" t="s">
        <v>165</v>
      </c>
      <c r="AJ133" s="84">
        <f>AK57</f>
        <v>23433</v>
      </c>
      <c r="AK133" s="84">
        <f t="shared" si="27"/>
        <v>363</v>
      </c>
      <c r="AL133" s="84">
        <f t="shared" si="28"/>
        <v>4.4651771535459208E-4</v>
      </c>
      <c r="AX133" s="84"/>
      <c r="AY133" s="84" t="s">
        <v>165</v>
      </c>
      <c r="AZ133" s="84">
        <f>BA57</f>
        <v>23505</v>
      </c>
      <c r="BA133" s="84">
        <f t="shared" si="29"/>
        <v>-147</v>
      </c>
      <c r="BB133" s="84">
        <f t="shared" si="30"/>
        <v>-1.8375995366415681E-4</v>
      </c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</row>
    <row r="134" spans="1:64" x14ac:dyDescent="0.2">
      <c r="A134" s="84"/>
      <c r="B134" s="84"/>
      <c r="C134" s="84" t="s">
        <v>166</v>
      </c>
      <c r="D134" s="84">
        <f>F57</f>
        <v>759867</v>
      </c>
      <c r="E134" s="84">
        <f t="shared" si="23"/>
        <v>741232.16666666663</v>
      </c>
      <c r="F134" s="84">
        <f t="shared" si="24"/>
        <v>0.9643610420423826</v>
      </c>
      <c r="G134" s="84"/>
      <c r="S134" s="84" t="s">
        <v>166</v>
      </c>
      <c r="T134" s="84">
        <f>V57</f>
        <v>787178</v>
      </c>
      <c r="U134" s="84">
        <f t="shared" si="25"/>
        <v>765417</v>
      </c>
      <c r="V134" s="84">
        <f t="shared" si="26"/>
        <v>0.95671783325431003</v>
      </c>
      <c r="AI134" s="84" t="s">
        <v>166</v>
      </c>
      <c r="AJ134" s="84">
        <f>AL57</f>
        <v>798539</v>
      </c>
      <c r="AK134" s="84">
        <f t="shared" si="27"/>
        <v>775469</v>
      </c>
      <c r="AL134" s="84">
        <f t="shared" si="28"/>
        <v>0.95388607770884348</v>
      </c>
      <c r="AX134" s="84"/>
      <c r="AY134" s="84" t="s">
        <v>166</v>
      </c>
      <c r="AZ134" s="84">
        <f>BB57</f>
        <v>799161</v>
      </c>
      <c r="BA134" s="84">
        <f t="shared" si="29"/>
        <v>775509</v>
      </c>
      <c r="BB134" s="84">
        <f t="shared" si="30"/>
        <v>0.96943876126623529</v>
      </c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</row>
    <row r="135" spans="1:64" x14ac:dyDescent="0.2">
      <c r="A135" s="84"/>
      <c r="B135" s="84"/>
      <c r="C135" s="84" t="s">
        <v>167</v>
      </c>
      <c r="D135" s="84">
        <f>G57</f>
        <v>39454</v>
      </c>
      <c r="E135" s="84">
        <f t="shared" si="23"/>
        <v>20819.166666666668</v>
      </c>
      <c r="F135" s="84">
        <f t="shared" si="24"/>
        <v>2.7086241212936259E-2</v>
      </c>
      <c r="G135" s="84"/>
      <c r="S135" s="84" t="s">
        <v>167</v>
      </c>
      <c r="T135" s="84">
        <f>W57</f>
        <v>90846</v>
      </c>
      <c r="U135" s="84">
        <f t="shared" si="25"/>
        <v>69085</v>
      </c>
      <c r="V135" s="84">
        <f t="shared" si="26"/>
        <v>8.6351428711896924E-2</v>
      </c>
      <c r="AI135" s="84" t="s">
        <v>167</v>
      </c>
      <c r="AJ135" s="84">
        <f>AM57</f>
        <v>447300</v>
      </c>
      <c r="AK135" s="84">
        <f t="shared" si="27"/>
        <v>424230</v>
      </c>
      <c r="AL135" s="84">
        <f t="shared" si="28"/>
        <v>0.52183529031646991</v>
      </c>
      <c r="AX135" s="84"/>
      <c r="AY135" s="84" t="s">
        <v>167</v>
      </c>
      <c r="AZ135" s="84">
        <f>BC57</f>
        <v>674200</v>
      </c>
      <c r="BA135" s="84">
        <f t="shared" si="29"/>
        <v>650548</v>
      </c>
      <c r="BB135" s="84">
        <f t="shared" si="30"/>
        <v>0.81322904990686995</v>
      </c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</row>
    <row r="136" spans="1:64" x14ac:dyDescent="0.2">
      <c r="A136" s="84"/>
      <c r="B136" s="84"/>
      <c r="C136" s="84" t="s">
        <v>168</v>
      </c>
      <c r="D136" s="84">
        <f>H57</f>
        <v>35733</v>
      </c>
      <c r="E136" s="84">
        <f t="shared" si="23"/>
        <v>17098.166666666668</v>
      </c>
      <c r="F136" s="84">
        <f t="shared" si="24"/>
        <v>2.2245129886674285E-2</v>
      </c>
      <c r="G136" s="84"/>
      <c r="S136" s="84" t="s">
        <v>168</v>
      </c>
      <c r="T136" s="84">
        <f>X57</f>
        <v>88201</v>
      </c>
      <c r="U136" s="84">
        <f t="shared" si="25"/>
        <v>66440</v>
      </c>
      <c r="V136" s="84">
        <f t="shared" si="26"/>
        <v>8.3045363300549055E-2</v>
      </c>
      <c r="AI136" s="84" t="s">
        <v>168</v>
      </c>
      <c r="AJ136" s="84">
        <f>AN57</f>
        <v>440866</v>
      </c>
      <c r="AK136" s="84">
        <f t="shared" si="27"/>
        <v>417796</v>
      </c>
      <c r="AL136" s="84">
        <f t="shared" si="28"/>
        <v>0.5139209790751712</v>
      </c>
      <c r="AX136" s="84"/>
      <c r="AY136" s="84" t="s">
        <v>168</v>
      </c>
      <c r="AZ136" s="84">
        <f>BD57</f>
        <v>713547</v>
      </c>
      <c r="BA136" s="84">
        <f t="shared" si="29"/>
        <v>689895</v>
      </c>
      <c r="BB136" s="84">
        <f t="shared" si="30"/>
        <v>0.86241546417097592</v>
      </c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</row>
    <row r="137" spans="1:64" x14ac:dyDescent="0.2">
      <c r="A137" s="84"/>
      <c r="B137" s="84"/>
      <c r="C137" s="84" t="s">
        <v>169</v>
      </c>
      <c r="D137" s="84">
        <f>I57</f>
        <v>38491</v>
      </c>
      <c r="E137" s="84">
        <f t="shared" si="23"/>
        <v>19856.166666666668</v>
      </c>
      <c r="F137" s="84">
        <f t="shared" si="24"/>
        <v>2.5833354836373432E-2</v>
      </c>
      <c r="G137" s="84"/>
      <c r="S137" s="84" t="s">
        <v>169</v>
      </c>
      <c r="T137" s="84">
        <f>Y57</f>
        <v>85472</v>
      </c>
      <c r="U137" s="84">
        <f t="shared" si="25"/>
        <v>63711</v>
      </c>
      <c r="V137" s="84">
        <f t="shared" si="26"/>
        <v>7.9634303751373883E-2</v>
      </c>
      <c r="AI137" s="84" t="s">
        <v>169</v>
      </c>
      <c r="AJ137" s="84">
        <f>AO57</f>
        <v>454948</v>
      </c>
      <c r="AK137" s="84">
        <f t="shared" si="27"/>
        <v>431878</v>
      </c>
      <c r="AL137" s="84">
        <f t="shared" si="28"/>
        <v>0.53124291424768733</v>
      </c>
      <c r="AX137" s="84"/>
      <c r="AY137" s="84" t="s">
        <v>169</v>
      </c>
      <c r="AZ137" s="84">
        <f>BE57</f>
        <v>669100</v>
      </c>
      <c r="BA137" s="84">
        <f t="shared" si="29"/>
        <v>645448</v>
      </c>
      <c r="BB137" s="84">
        <f t="shared" si="30"/>
        <v>0.80685370457566452</v>
      </c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</row>
    <row r="138" spans="1:64" x14ac:dyDescent="0.2">
      <c r="A138" s="84"/>
      <c r="B138" s="84"/>
      <c r="C138" s="84" t="s">
        <v>170</v>
      </c>
      <c r="D138" s="84">
        <f>J57</f>
        <v>36774</v>
      </c>
      <c r="E138" s="84">
        <f t="shared" si="23"/>
        <v>18139.166666666668</v>
      </c>
      <c r="F138" s="84">
        <f t="shared" si="24"/>
        <v>2.3599496156665876E-2</v>
      </c>
      <c r="G138" s="84"/>
      <c r="S138" s="84" t="s">
        <v>170</v>
      </c>
      <c r="T138" s="84">
        <f>Z57</f>
        <v>81802</v>
      </c>
      <c r="U138" s="84">
        <f t="shared" si="25"/>
        <v>60041</v>
      </c>
      <c r="V138" s="84">
        <f t="shared" si="26"/>
        <v>7.5047059872490454E-2</v>
      </c>
      <c r="AI138" s="84" t="s">
        <v>170</v>
      </c>
      <c r="AJ138" s="84">
        <f>AP57</f>
        <v>447069</v>
      </c>
      <c r="AK138" s="84">
        <f t="shared" si="27"/>
        <v>423999</v>
      </c>
      <c r="AL138" s="84">
        <f t="shared" si="28"/>
        <v>0.52155114267942615</v>
      </c>
      <c r="AX138" s="84"/>
      <c r="AY138" s="84" t="s">
        <v>170</v>
      </c>
      <c r="AZ138" s="84">
        <f>BF57</f>
        <v>742032</v>
      </c>
      <c r="BA138" s="84">
        <f t="shared" si="29"/>
        <v>718380</v>
      </c>
      <c r="BB138" s="84">
        <f t="shared" si="30"/>
        <v>0.89802364294732639</v>
      </c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</row>
    <row r="139" spans="1:64" x14ac:dyDescent="0.2">
      <c r="A139" s="84"/>
      <c r="B139" s="84"/>
      <c r="C139" s="84" t="s">
        <v>171</v>
      </c>
      <c r="D139" s="84">
        <f>K57</f>
        <v>37911</v>
      </c>
      <c r="E139" s="84">
        <f t="shared" si="23"/>
        <v>19276.166666666668</v>
      </c>
      <c r="F139" s="84">
        <f t="shared" si="24"/>
        <v>2.5078760757031335E-2</v>
      </c>
      <c r="G139" s="84"/>
      <c r="S139" s="84" t="s">
        <v>171</v>
      </c>
      <c r="T139" s="84">
        <f>AA57</f>
        <v>96550</v>
      </c>
      <c r="U139" s="84">
        <f t="shared" si="25"/>
        <v>74789</v>
      </c>
      <c r="V139" s="84">
        <f t="shared" si="26"/>
        <v>9.3481030642455804E-2</v>
      </c>
      <c r="AI139" s="84" t="s">
        <v>171</v>
      </c>
      <c r="AJ139" s="84">
        <f>AQ57</f>
        <v>505294</v>
      </c>
      <c r="AK139" s="84">
        <f t="shared" si="27"/>
        <v>482224</v>
      </c>
      <c r="AL139" s="84">
        <f t="shared" si="28"/>
        <v>0.59317233820703252</v>
      </c>
      <c r="AX139" s="84"/>
      <c r="AY139" s="84" t="s">
        <v>171</v>
      </c>
      <c r="AZ139" s="84">
        <f>BG57</f>
        <v>768391</v>
      </c>
      <c r="BA139" s="84">
        <f t="shared" si="29"/>
        <v>744739</v>
      </c>
      <c r="BB139" s="84">
        <f t="shared" si="30"/>
        <v>0.93097417776796243</v>
      </c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</row>
    <row r="140" spans="1:64" x14ac:dyDescent="0.2">
      <c r="A140" s="84"/>
      <c r="B140" s="84"/>
      <c r="C140" s="84" t="s">
        <v>172</v>
      </c>
      <c r="D140" s="84">
        <f>L57</f>
        <v>39312</v>
      </c>
      <c r="E140" s="84">
        <f t="shared" si="23"/>
        <v>20677.166666666668</v>
      </c>
      <c r="F140" s="84">
        <f t="shared" si="24"/>
        <v>2.6901495765924918E-2</v>
      </c>
      <c r="G140" s="84"/>
      <c r="S140" s="84" t="s">
        <v>172</v>
      </c>
      <c r="T140" s="84">
        <f>AB57</f>
        <v>91379</v>
      </c>
      <c r="U140" s="84">
        <f t="shared" si="25"/>
        <v>69618</v>
      </c>
      <c r="V140" s="84">
        <f t="shared" si="26"/>
        <v>8.7017641515015412E-2</v>
      </c>
      <c r="AI140" s="84" t="s">
        <v>172</v>
      </c>
      <c r="AJ140" s="84">
        <f>AR57</f>
        <v>450996</v>
      </c>
      <c r="AK140" s="84">
        <f t="shared" si="27"/>
        <v>427926</v>
      </c>
      <c r="AL140" s="84">
        <f t="shared" si="28"/>
        <v>0.52638165250917124</v>
      </c>
      <c r="AX140" s="84"/>
      <c r="AY140" s="84" t="s">
        <v>172</v>
      </c>
      <c r="AZ140" s="84">
        <f>BH57</f>
        <v>711790</v>
      </c>
      <c r="BA140" s="84">
        <f t="shared" si="29"/>
        <v>688138</v>
      </c>
      <c r="BB140" s="84">
        <f t="shared" si="30"/>
        <v>0.86021909520099005</v>
      </c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</row>
    <row r="141" spans="1:64" x14ac:dyDescent="0.2">
      <c r="A141" s="84"/>
      <c r="B141" s="84"/>
      <c r="C141" s="84" t="s">
        <v>173</v>
      </c>
      <c r="D141" s="84">
        <f>M57</f>
        <v>40150</v>
      </c>
      <c r="E141" s="84">
        <f t="shared" si="23"/>
        <v>21515.166666666668</v>
      </c>
      <c r="F141" s="84">
        <f t="shared" si="24"/>
        <v>2.7991754108146777E-2</v>
      </c>
      <c r="G141" s="84"/>
      <c r="S141" s="84" t="s">
        <v>173</v>
      </c>
      <c r="T141" s="84">
        <f>AC57</f>
        <v>101854</v>
      </c>
      <c r="U141" s="84">
        <f t="shared" si="25"/>
        <v>80093</v>
      </c>
      <c r="V141" s="84">
        <f t="shared" si="26"/>
        <v>0.10011066048812275</v>
      </c>
      <c r="AI141" s="84" t="s">
        <v>173</v>
      </c>
      <c r="AJ141" s="84">
        <f>AS57</f>
        <v>554935</v>
      </c>
      <c r="AK141" s="84">
        <f t="shared" si="27"/>
        <v>531865</v>
      </c>
      <c r="AL141" s="84">
        <f t="shared" si="28"/>
        <v>0.6542345583390361</v>
      </c>
      <c r="AX141" s="84"/>
      <c r="AY141" s="84" t="s">
        <v>173</v>
      </c>
      <c r="AZ141" s="84">
        <f>BI57</f>
        <v>729363</v>
      </c>
      <c r="BA141" s="84">
        <f t="shared" si="29"/>
        <v>705711</v>
      </c>
      <c r="BB141" s="84">
        <f t="shared" si="30"/>
        <v>0.88218653510398481</v>
      </c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</row>
    <row r="142" spans="1:64" x14ac:dyDescent="0.2">
      <c r="A142" s="84"/>
      <c r="B142" s="84"/>
      <c r="C142" s="84" t="s">
        <v>174</v>
      </c>
      <c r="D142" s="84">
        <f>N57</f>
        <v>35288</v>
      </c>
      <c r="E142" s="84">
        <f t="shared" si="23"/>
        <v>16653.166666666668</v>
      </c>
      <c r="F142" s="84">
        <f t="shared" si="24"/>
        <v>2.1666174084420432E-2</v>
      </c>
      <c r="G142" s="84"/>
      <c r="S142" s="84" t="s">
        <v>174</v>
      </c>
      <c r="T142" s="84">
        <f>AD57</f>
        <v>98715</v>
      </c>
      <c r="U142" s="84">
        <f t="shared" si="25"/>
        <v>76954</v>
      </c>
      <c r="V142" s="84">
        <f t="shared" si="26"/>
        <v>9.6187129551933356E-2</v>
      </c>
      <c r="AI142" s="84" t="s">
        <v>174</v>
      </c>
      <c r="AJ142" s="84">
        <f>AT57</f>
        <v>400016</v>
      </c>
      <c r="AK142" s="84">
        <f t="shared" si="27"/>
        <v>376946</v>
      </c>
      <c r="AL142" s="84">
        <f t="shared" si="28"/>
        <v>0.46367236014339414</v>
      </c>
      <c r="AX142" s="84"/>
      <c r="AY142" s="84" t="s">
        <v>174</v>
      </c>
      <c r="AZ142" s="84">
        <f>BJ57</f>
        <v>648350</v>
      </c>
      <c r="BA142" s="84">
        <f t="shared" si="29"/>
        <v>624698</v>
      </c>
      <c r="BB142" s="84">
        <f t="shared" si="30"/>
        <v>0.78091479955164245</v>
      </c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</row>
    <row r="143" spans="1:64" x14ac:dyDescent="0.2">
      <c r="A143" s="84"/>
      <c r="B143" s="84"/>
      <c r="C143" s="84" t="s">
        <v>175</v>
      </c>
      <c r="D143" s="84">
        <f>E58</f>
        <v>18573</v>
      </c>
      <c r="E143" s="84">
        <f t="shared" si="23"/>
        <v>-61.833333333332121</v>
      </c>
      <c r="F143" s="84">
        <f t="shared" si="24"/>
        <v>-8.044666765399796E-5</v>
      </c>
      <c r="G143" s="84"/>
      <c r="S143" s="84" t="s">
        <v>175</v>
      </c>
      <c r="T143" s="84">
        <f>U58</f>
        <v>21475</v>
      </c>
      <c r="U143" s="84">
        <f t="shared" si="25"/>
        <v>-286</v>
      </c>
      <c r="V143" s="84">
        <f t="shared" si="26"/>
        <v>-3.5748004069772771E-4</v>
      </c>
      <c r="AI143" s="84" t="s">
        <v>175</v>
      </c>
      <c r="AJ143" s="84">
        <f>AK58</f>
        <v>22160</v>
      </c>
      <c r="AK143" s="84">
        <f t="shared" si="27"/>
        <v>-910</v>
      </c>
      <c r="AL143" s="84">
        <f t="shared" si="28"/>
        <v>-1.1193694792635779E-3</v>
      </c>
      <c r="AX143" s="84"/>
      <c r="AY143" s="84" t="s">
        <v>175</v>
      </c>
      <c r="AZ143" s="84">
        <f>BA58</f>
        <v>24223</v>
      </c>
      <c r="BA143" s="84">
        <f t="shared" si="29"/>
        <v>571</v>
      </c>
      <c r="BB143" s="84">
        <f t="shared" si="30"/>
        <v>7.1378866355260916E-4</v>
      </c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</row>
    <row r="144" spans="1:64" x14ac:dyDescent="0.2">
      <c r="A144" s="84"/>
      <c r="B144" s="84"/>
      <c r="C144" s="84" t="s">
        <v>176</v>
      </c>
      <c r="D144" s="84">
        <f>F58</f>
        <v>771499</v>
      </c>
      <c r="E144" s="84">
        <f t="shared" si="23"/>
        <v>752864.16666666663</v>
      </c>
      <c r="F144" s="84">
        <f t="shared" si="24"/>
        <v>0.9794945564060159</v>
      </c>
      <c r="G144" s="84"/>
      <c r="S144" s="84" t="s">
        <v>176</v>
      </c>
      <c r="T144" s="84">
        <f>V58</f>
        <v>800358</v>
      </c>
      <c r="U144" s="84">
        <f t="shared" si="25"/>
        <v>778597</v>
      </c>
      <c r="V144" s="84">
        <f t="shared" si="26"/>
        <v>0.97319191345149902</v>
      </c>
      <c r="AI144" s="84" t="s">
        <v>176</v>
      </c>
      <c r="AJ144" s="84">
        <f>AL58</f>
        <v>818173</v>
      </c>
      <c r="AK144" s="84">
        <f t="shared" si="27"/>
        <v>795103</v>
      </c>
      <c r="AL144" s="84">
        <f t="shared" si="28"/>
        <v>0.97803739678121826</v>
      </c>
      <c r="AX144" s="84"/>
      <c r="AY144" s="84" t="s">
        <v>176</v>
      </c>
      <c r="AZ144" s="84">
        <f>BB58</f>
        <v>803367</v>
      </c>
      <c r="BA144" s="84">
        <f t="shared" si="29"/>
        <v>779715</v>
      </c>
      <c r="BB144" s="84">
        <f t="shared" si="30"/>
        <v>0.97469654606291178</v>
      </c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</row>
    <row r="145" spans="1:64" x14ac:dyDescent="0.2">
      <c r="A145" s="84"/>
      <c r="B145" s="84"/>
      <c r="C145" s="84" t="s">
        <v>177</v>
      </c>
      <c r="D145" s="84">
        <f>G58</f>
        <v>36325</v>
      </c>
      <c r="E145" s="84">
        <f t="shared" si="23"/>
        <v>17690.166666666668</v>
      </c>
      <c r="F145" s="84">
        <f t="shared" si="24"/>
        <v>2.3015336257313116E-2</v>
      </c>
      <c r="G145" s="84"/>
      <c r="S145" s="84" t="s">
        <v>177</v>
      </c>
      <c r="T145" s="84">
        <f>W58</f>
        <v>100825</v>
      </c>
      <c r="U145" s="84">
        <f t="shared" si="25"/>
        <v>79064</v>
      </c>
      <c r="V145" s="84">
        <f t="shared" si="26"/>
        <v>9.8824482299738267E-2</v>
      </c>
      <c r="AI145" s="84" t="s">
        <v>177</v>
      </c>
      <c r="AJ145" s="84">
        <f>AM58</f>
        <v>472819</v>
      </c>
      <c r="AK145" s="84">
        <f t="shared" si="27"/>
        <v>449749</v>
      </c>
      <c r="AL145" s="84">
        <f t="shared" si="28"/>
        <v>0.55322560871353288</v>
      </c>
      <c r="AX145" s="84"/>
      <c r="AY145" s="84" t="s">
        <v>177</v>
      </c>
      <c r="AZ145" s="84">
        <f>BC58</f>
        <v>673164</v>
      </c>
      <c r="BA145" s="84">
        <f t="shared" si="29"/>
        <v>649512</v>
      </c>
      <c r="BB145" s="84">
        <f t="shared" si="30"/>
        <v>0.81193397975723691</v>
      </c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</row>
    <row r="146" spans="1:64" x14ac:dyDescent="0.2">
      <c r="A146" s="84"/>
      <c r="B146" s="84"/>
      <c r="C146" s="84" t="s">
        <v>178</v>
      </c>
      <c r="D146" s="84">
        <f>H58</f>
        <v>36969</v>
      </c>
      <c r="E146" s="84">
        <f t="shared" si="23"/>
        <v>18334.166666666668</v>
      </c>
      <c r="F146" s="84">
        <f t="shared" si="24"/>
        <v>2.385319589023779E-2</v>
      </c>
      <c r="G146" s="84"/>
      <c r="S146" s="84" t="s">
        <v>178</v>
      </c>
      <c r="T146" s="84">
        <f>X58</f>
        <v>95501</v>
      </c>
      <c r="U146" s="84">
        <f t="shared" si="25"/>
        <v>73740</v>
      </c>
      <c r="V146" s="84">
        <f t="shared" si="26"/>
        <v>9.2169853849826719E-2</v>
      </c>
      <c r="AI146" s="84" t="s">
        <v>178</v>
      </c>
      <c r="AJ146" s="84">
        <f>AN58</f>
        <v>449991</v>
      </c>
      <c r="AK146" s="84">
        <f t="shared" si="27"/>
        <v>426921</v>
      </c>
      <c r="AL146" s="84">
        <f t="shared" si="28"/>
        <v>0.52514542577657797</v>
      </c>
      <c r="AX146" s="84"/>
      <c r="AY146" s="84" t="s">
        <v>178</v>
      </c>
      <c r="AZ146" s="84">
        <f>BD58</f>
        <v>583889</v>
      </c>
      <c r="BA146" s="84">
        <f t="shared" si="29"/>
        <v>560237</v>
      </c>
      <c r="BB146" s="84">
        <f t="shared" si="30"/>
        <v>0.70033418476834164</v>
      </c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</row>
    <row r="147" spans="1:64" x14ac:dyDescent="0.2">
      <c r="A147" s="84"/>
      <c r="B147" s="84"/>
      <c r="C147" s="84" t="s">
        <v>179</v>
      </c>
      <c r="D147" s="84">
        <f>I58</f>
        <v>37293</v>
      </c>
      <c r="E147" s="84">
        <f t="shared" si="23"/>
        <v>18658.166666666668</v>
      </c>
      <c r="F147" s="84">
        <f t="shared" si="24"/>
        <v>2.4274727755249581E-2</v>
      </c>
      <c r="G147" s="84"/>
      <c r="S147" s="84" t="s">
        <v>179</v>
      </c>
      <c r="T147" s="84">
        <f>Y58</f>
        <v>122631</v>
      </c>
      <c r="U147" s="84">
        <f t="shared" si="25"/>
        <v>100870</v>
      </c>
      <c r="V147" s="84">
        <f t="shared" si="26"/>
        <v>0.12608046050762167</v>
      </c>
      <c r="AI147" s="84" t="s">
        <v>179</v>
      </c>
      <c r="AJ147" s="84">
        <f>AO58</f>
        <v>507624</v>
      </c>
      <c r="AK147" s="84">
        <f t="shared" si="27"/>
        <v>484554</v>
      </c>
      <c r="AL147" s="84">
        <f t="shared" si="28"/>
        <v>0.5960384161044876</v>
      </c>
      <c r="AX147" s="84"/>
      <c r="AY147" s="84" t="s">
        <v>179</v>
      </c>
      <c r="AZ147" s="84">
        <f>BE58</f>
        <v>648942</v>
      </c>
      <c r="BA147" s="84">
        <f t="shared" si="29"/>
        <v>625290</v>
      </c>
      <c r="BB147" s="84">
        <f t="shared" si="30"/>
        <v>0.7816548396371471</v>
      </c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</row>
    <row r="148" spans="1:64" x14ac:dyDescent="0.2">
      <c r="A148" s="84"/>
      <c r="B148" s="84"/>
      <c r="C148" s="84" t="s">
        <v>180</v>
      </c>
      <c r="D148" s="84">
        <f>J58</f>
        <v>36153</v>
      </c>
      <c r="E148" s="84">
        <f t="shared" si="23"/>
        <v>17518.166666666668</v>
      </c>
      <c r="F148" s="84">
        <f t="shared" si="24"/>
        <v>2.2791560082059941E-2</v>
      </c>
      <c r="G148" s="84"/>
      <c r="S148" s="84" t="s">
        <v>180</v>
      </c>
      <c r="T148" s="84">
        <f>Z58</f>
        <v>101602</v>
      </c>
      <c r="U148" s="84">
        <f t="shared" si="25"/>
        <v>79841</v>
      </c>
      <c r="V148" s="84">
        <f t="shared" si="26"/>
        <v>9.9795678074640834E-2</v>
      </c>
      <c r="AI148" s="84" t="s">
        <v>180</v>
      </c>
      <c r="AJ148" s="84">
        <f>AP58</f>
        <v>527750</v>
      </c>
      <c r="AK148" s="84">
        <f t="shared" si="27"/>
        <v>504680</v>
      </c>
      <c r="AL148" s="84">
        <f t="shared" si="28"/>
        <v>0.62079493274147535</v>
      </c>
      <c r="AX148" s="84"/>
      <c r="AY148" s="84" t="s">
        <v>180</v>
      </c>
      <c r="AZ148" s="84">
        <f>BF58</f>
        <v>712659</v>
      </c>
      <c r="BA148" s="84">
        <f t="shared" si="29"/>
        <v>689007</v>
      </c>
      <c r="BB148" s="84">
        <f t="shared" si="30"/>
        <v>0.86130540404271905</v>
      </c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</row>
    <row r="149" spans="1:64" x14ac:dyDescent="0.2">
      <c r="A149" s="84"/>
      <c r="B149" s="84"/>
      <c r="C149" s="84" t="s">
        <v>181</v>
      </c>
      <c r="D149" s="84">
        <f>K58</f>
        <v>37120</v>
      </c>
      <c r="E149" s="84">
        <f t="shared" si="23"/>
        <v>18485.166666666668</v>
      </c>
      <c r="F149" s="84">
        <f t="shared" si="24"/>
        <v>2.4049650555721679E-2</v>
      </c>
      <c r="G149" s="84"/>
      <c r="S149" s="84" t="s">
        <v>181</v>
      </c>
      <c r="T149" s="84">
        <f>AA58</f>
        <v>105358</v>
      </c>
      <c r="U149" s="84">
        <f t="shared" si="25"/>
        <v>83597</v>
      </c>
      <c r="V149" s="84">
        <f t="shared" si="26"/>
        <v>0.10449041595177604</v>
      </c>
      <c r="AI149" s="84" t="s">
        <v>181</v>
      </c>
      <c r="AJ149" s="84">
        <f>AQ58</f>
        <v>471092</v>
      </c>
      <c r="AK149" s="84">
        <f t="shared" si="27"/>
        <v>448022</v>
      </c>
      <c r="AL149" s="84">
        <f t="shared" si="28"/>
        <v>0.55110126685563376</v>
      </c>
      <c r="AX149" s="84"/>
      <c r="AY149" s="84" t="s">
        <v>181</v>
      </c>
      <c r="AZ149" s="84">
        <f>BG58</f>
        <v>611367</v>
      </c>
      <c r="BA149" s="84">
        <f t="shared" si="29"/>
        <v>587715</v>
      </c>
      <c r="BB149" s="84">
        <f t="shared" si="30"/>
        <v>0.73468354535870695</v>
      </c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</row>
    <row r="150" spans="1:64" x14ac:dyDescent="0.2">
      <c r="A150" s="84"/>
      <c r="B150" s="84"/>
      <c r="C150" s="84" t="s">
        <v>182</v>
      </c>
      <c r="D150" s="84">
        <f>L58</f>
        <v>36040</v>
      </c>
      <c r="E150" s="84">
        <f t="shared" si="23"/>
        <v>17405.166666666668</v>
      </c>
      <c r="F150" s="84">
        <f t="shared" si="24"/>
        <v>2.2644544339015703E-2</v>
      </c>
      <c r="G150" s="84"/>
      <c r="S150" s="84" t="s">
        <v>182</v>
      </c>
      <c r="T150" s="84">
        <f>AB58</f>
        <v>100987</v>
      </c>
      <c r="U150" s="84">
        <f t="shared" si="25"/>
        <v>79226</v>
      </c>
      <c r="V150" s="84">
        <f t="shared" si="26"/>
        <v>9.9026970994119501E-2</v>
      </c>
      <c r="AI150" s="84" t="s">
        <v>182</v>
      </c>
      <c r="AJ150" s="84">
        <f>AR58</f>
        <v>495279</v>
      </c>
      <c r="AK150" s="84">
        <f t="shared" si="27"/>
        <v>472209</v>
      </c>
      <c r="AL150" s="84">
        <f t="shared" si="28"/>
        <v>0.58085312355337904</v>
      </c>
      <c r="AX150" s="84"/>
      <c r="AY150" s="84" t="s">
        <v>182</v>
      </c>
      <c r="AZ150" s="84">
        <f>BH58</f>
        <v>738387</v>
      </c>
      <c r="BA150" s="84">
        <f t="shared" si="29"/>
        <v>714735</v>
      </c>
      <c r="BB150" s="84">
        <f t="shared" si="30"/>
        <v>0.89346714613708245</v>
      </c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</row>
    <row r="151" spans="1:64" x14ac:dyDescent="0.2">
      <c r="A151" s="84"/>
      <c r="B151" s="84"/>
      <c r="C151" s="84" t="s">
        <v>183</v>
      </c>
      <c r="D151" s="84">
        <f>M58</f>
        <v>37541</v>
      </c>
      <c r="E151" s="84">
        <f t="shared" si="23"/>
        <v>18906.166666666668</v>
      </c>
      <c r="F151" s="84">
        <f t="shared" si="24"/>
        <v>2.4597381775382066E-2</v>
      </c>
      <c r="G151" s="84"/>
      <c r="S151" s="84" t="s">
        <v>183</v>
      </c>
      <c r="T151" s="84">
        <f>AC58</f>
        <v>92715</v>
      </c>
      <c r="U151" s="84">
        <f t="shared" si="25"/>
        <v>70954</v>
      </c>
      <c r="V151" s="84">
        <f t="shared" si="26"/>
        <v>8.8687548278554448E-2</v>
      </c>
      <c r="AI151" s="84" t="s">
        <v>183</v>
      </c>
      <c r="AJ151" s="84">
        <f>AS58</f>
        <v>425022</v>
      </c>
      <c r="AK151" s="84">
        <f t="shared" si="27"/>
        <v>401952</v>
      </c>
      <c r="AL151" s="84">
        <f t="shared" si="28"/>
        <v>0.49443164937247658</v>
      </c>
      <c r="AX151" s="84"/>
      <c r="AY151" s="84" t="s">
        <v>183</v>
      </c>
      <c r="AZ151" s="84">
        <f>BI58</f>
        <v>605901</v>
      </c>
      <c r="BA151" s="84">
        <f t="shared" si="29"/>
        <v>582249</v>
      </c>
      <c r="BB151" s="84">
        <f t="shared" si="30"/>
        <v>0.7278506752449091</v>
      </c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</row>
    <row r="152" spans="1:64" x14ac:dyDescent="0.2">
      <c r="A152" s="84"/>
      <c r="B152" s="84"/>
      <c r="C152" s="84" t="s">
        <v>184</v>
      </c>
      <c r="D152" s="84">
        <f>N58</f>
        <v>36876</v>
      </c>
      <c r="E152" s="84">
        <f t="shared" si="23"/>
        <v>18241.166666666668</v>
      </c>
      <c r="F152" s="84">
        <f t="shared" si="24"/>
        <v>2.3732200632688109E-2</v>
      </c>
      <c r="G152" s="84"/>
      <c r="S152" s="84" t="s">
        <v>184</v>
      </c>
      <c r="T152" s="84">
        <f>AD58</f>
        <v>89604</v>
      </c>
      <c r="U152" s="84">
        <f t="shared" si="25"/>
        <v>67843</v>
      </c>
      <c r="V152" s="84">
        <f t="shared" si="26"/>
        <v>8.4799015388307489E-2</v>
      </c>
      <c r="AI152" s="84" t="s">
        <v>184</v>
      </c>
      <c r="AJ152" s="84">
        <f>AT58</f>
        <v>368219</v>
      </c>
      <c r="AK152" s="84">
        <f t="shared" si="27"/>
        <v>345149</v>
      </c>
      <c r="AL152" s="84">
        <f t="shared" si="28"/>
        <v>0.42455962241576339</v>
      </c>
      <c r="AX152" s="84"/>
      <c r="AY152" s="84" t="s">
        <v>184</v>
      </c>
      <c r="AZ152" s="84">
        <f>BJ58</f>
        <v>662110</v>
      </c>
      <c r="BA152" s="84">
        <f t="shared" si="29"/>
        <v>638458</v>
      </c>
      <c r="BB152" s="84">
        <f t="shared" si="30"/>
        <v>0.79811573126877711</v>
      </c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</row>
    <row r="153" spans="1:64" x14ac:dyDescent="0.2">
      <c r="A153" s="84"/>
      <c r="B153" s="84"/>
      <c r="C153" s="84"/>
      <c r="D153" s="84"/>
      <c r="E153" s="84"/>
      <c r="F153" s="84"/>
      <c r="G153" s="84"/>
    </row>
    <row r="154" spans="1:64" x14ac:dyDescent="0.2">
      <c r="A154" s="84"/>
      <c r="B154" s="84"/>
      <c r="C154" s="84"/>
      <c r="D154" s="84"/>
      <c r="E154" s="84"/>
      <c r="F154" s="84"/>
      <c r="G154" s="84"/>
    </row>
    <row r="155" spans="1:64" x14ac:dyDescent="0.2">
      <c r="A155" s="84"/>
      <c r="B155" s="84"/>
      <c r="C155" s="84"/>
      <c r="D155" s="84"/>
      <c r="E155" s="84"/>
      <c r="F155" s="84"/>
      <c r="G155" s="84"/>
    </row>
    <row r="156" spans="1:64" x14ac:dyDescent="0.2">
      <c r="A156" s="84"/>
      <c r="B156" s="84"/>
      <c r="C156" s="84"/>
      <c r="D156" s="84"/>
      <c r="E156" s="84"/>
      <c r="F156" s="84"/>
      <c r="G156" s="84"/>
    </row>
    <row r="157" spans="1:64" x14ac:dyDescent="0.2">
      <c r="A157" s="84"/>
      <c r="B157" s="84" t="s">
        <v>188</v>
      </c>
      <c r="C157" s="84" t="s">
        <v>124</v>
      </c>
      <c r="D157" s="84" t="s">
        <v>191</v>
      </c>
      <c r="E157" s="84" t="s">
        <v>192</v>
      </c>
      <c r="F157" s="84" t="s">
        <v>193</v>
      </c>
      <c r="G157" s="84" t="s">
        <v>194</v>
      </c>
    </row>
    <row r="158" spans="1:64" x14ac:dyDescent="0.2">
      <c r="A158" s="84"/>
      <c r="B158" s="84" t="s">
        <v>190</v>
      </c>
      <c r="C158" s="84" t="s">
        <v>125</v>
      </c>
      <c r="D158" s="84">
        <f>F93/$F93</f>
        <v>1</v>
      </c>
      <c r="E158" s="84">
        <f>ROUND(V93/$F93,3)</f>
        <v>-9.8049999999999997</v>
      </c>
      <c r="F158" s="84">
        <f>ROUND(AL93/$F93,3)</f>
        <v>-7.8460000000000001</v>
      </c>
      <c r="G158" s="84">
        <f>ROUND(BB93/$F93,3)</f>
        <v>-17.510999999999999</v>
      </c>
    </row>
    <row r="159" spans="1:64" x14ac:dyDescent="0.2">
      <c r="A159" s="84"/>
      <c r="B159" s="84" t="s">
        <v>64</v>
      </c>
      <c r="C159" s="84" t="s">
        <v>126</v>
      </c>
      <c r="D159" s="84">
        <f t="shared" ref="D159:D217" si="31">F94/$F94</f>
        <v>1</v>
      </c>
      <c r="E159" s="84">
        <f t="shared" ref="E159:E217" si="32">ROUND(V94/$F94,3)</f>
        <v>1.0109999999999999</v>
      </c>
      <c r="F159" s="84">
        <f t="shared" ref="F159:F217" si="33">ROUND(AL94/$F94,3)</f>
        <v>1.0049999999999999</v>
      </c>
      <c r="G159" s="84">
        <f t="shared" ref="G159:G216" si="34">ROUND(BB94/$F94,3)</f>
        <v>0.99199999999999999</v>
      </c>
    </row>
    <row r="160" spans="1:64" x14ac:dyDescent="0.2">
      <c r="A160" s="84"/>
      <c r="B160" s="84" t="s">
        <v>112</v>
      </c>
      <c r="C160" s="84" t="s">
        <v>127</v>
      </c>
      <c r="D160" s="84">
        <f t="shared" si="31"/>
        <v>1</v>
      </c>
      <c r="E160" s="84">
        <f t="shared" si="32"/>
        <v>2.7519999999999998</v>
      </c>
      <c r="F160" s="84">
        <f t="shared" si="33"/>
        <v>16.992000000000001</v>
      </c>
      <c r="G160" s="84">
        <f t="shared" si="34"/>
        <v>36.512999999999998</v>
      </c>
    </row>
    <row r="161" spans="1:36" x14ac:dyDescent="0.2">
      <c r="A161" s="84"/>
      <c r="B161" s="84" t="s">
        <v>112</v>
      </c>
      <c r="C161" s="84" t="s">
        <v>128</v>
      </c>
      <c r="D161" s="84">
        <f t="shared" si="31"/>
        <v>1</v>
      </c>
      <c r="E161" s="84">
        <f t="shared" si="32"/>
        <v>3.5539999999999998</v>
      </c>
      <c r="F161" s="84">
        <f t="shared" si="33"/>
        <v>28.404</v>
      </c>
      <c r="G161" s="84">
        <f t="shared" si="34"/>
        <v>34.950000000000003</v>
      </c>
    </row>
    <row r="162" spans="1:36" x14ac:dyDescent="0.2">
      <c r="A162" s="84"/>
      <c r="B162" s="84" t="s">
        <v>112</v>
      </c>
      <c r="C162" s="84" t="s">
        <v>129</v>
      </c>
      <c r="D162" s="84">
        <f t="shared" si="31"/>
        <v>1</v>
      </c>
      <c r="E162" s="84">
        <f t="shared" si="32"/>
        <v>3.234</v>
      </c>
      <c r="F162" s="84">
        <f t="shared" si="33"/>
        <v>20.725000000000001</v>
      </c>
      <c r="G162" s="84">
        <f t="shared" si="34"/>
        <v>32.732999999999997</v>
      </c>
    </row>
    <row r="163" spans="1:36" x14ac:dyDescent="0.2">
      <c r="A163" s="84"/>
      <c r="B163" s="84" t="s">
        <v>112</v>
      </c>
      <c r="C163" s="84" t="s">
        <v>130</v>
      </c>
      <c r="D163" s="84">
        <f t="shared" si="31"/>
        <v>1</v>
      </c>
      <c r="E163" s="84">
        <f t="shared" si="32"/>
        <v>3.6880000000000002</v>
      </c>
      <c r="F163" s="84">
        <f t="shared" si="33"/>
        <v>24.532</v>
      </c>
      <c r="G163" s="84">
        <f t="shared" si="34"/>
        <v>30.902999999999999</v>
      </c>
    </row>
    <row r="164" spans="1:36" x14ac:dyDescent="0.2">
      <c r="A164" s="84"/>
      <c r="B164" s="84" t="s">
        <v>112</v>
      </c>
      <c r="C164" s="84" t="s">
        <v>131</v>
      </c>
      <c r="D164" s="84">
        <f t="shared" si="31"/>
        <v>1</v>
      </c>
      <c r="E164" s="84">
        <f t="shared" si="32"/>
        <v>3.3439999999999999</v>
      </c>
      <c r="F164" s="84">
        <f t="shared" si="33"/>
        <v>20.623999999999999</v>
      </c>
      <c r="G164" s="84">
        <f t="shared" si="34"/>
        <v>31.003</v>
      </c>
    </row>
    <row r="165" spans="1:36" x14ac:dyDescent="0.2">
      <c r="A165" s="84"/>
      <c r="B165" s="84" t="s">
        <v>112</v>
      </c>
      <c r="C165" s="84" t="s">
        <v>132</v>
      </c>
      <c r="D165" s="84">
        <f t="shared" si="31"/>
        <v>1</v>
      </c>
      <c r="E165" s="84">
        <f t="shared" si="32"/>
        <v>3.4489999999999998</v>
      </c>
      <c r="F165" s="84">
        <f t="shared" si="33"/>
        <v>20.106000000000002</v>
      </c>
      <c r="G165" s="84">
        <f t="shared" si="34"/>
        <v>35.887999999999998</v>
      </c>
    </row>
    <row r="166" spans="1:36" x14ac:dyDescent="0.2">
      <c r="A166" s="84"/>
      <c r="B166" s="84" t="s">
        <v>112</v>
      </c>
      <c r="C166" s="84" t="s">
        <v>133</v>
      </c>
      <c r="D166" s="84">
        <f t="shared" si="31"/>
        <v>1</v>
      </c>
      <c r="E166" s="84">
        <f t="shared" si="32"/>
        <v>3.448</v>
      </c>
      <c r="F166" s="84">
        <f t="shared" si="33"/>
        <v>19.335000000000001</v>
      </c>
      <c r="G166" s="84">
        <f t="shared" si="34"/>
        <v>35.515999999999998</v>
      </c>
    </row>
    <row r="167" spans="1:36" x14ac:dyDescent="0.2">
      <c r="A167" s="84"/>
      <c r="B167" s="84" t="s">
        <v>112</v>
      </c>
      <c r="C167" s="84" t="s">
        <v>134</v>
      </c>
      <c r="D167" s="84">
        <f t="shared" si="31"/>
        <v>1</v>
      </c>
      <c r="E167" s="84">
        <f t="shared" si="32"/>
        <v>3.5350000000000001</v>
      </c>
      <c r="F167" s="84">
        <f t="shared" si="33"/>
        <v>20.742999999999999</v>
      </c>
      <c r="G167" s="84">
        <f t="shared" si="34"/>
        <v>32.125999999999998</v>
      </c>
    </row>
    <row r="168" spans="1:36" x14ac:dyDescent="0.2">
      <c r="A168" s="84"/>
      <c r="B168" s="84" t="s">
        <v>190</v>
      </c>
      <c r="C168" s="84" t="s">
        <v>135</v>
      </c>
      <c r="D168" s="84">
        <f t="shared" si="31"/>
        <v>1</v>
      </c>
      <c r="E168" s="84">
        <f t="shared" si="32"/>
        <v>0.73299999999999998</v>
      </c>
      <c r="F168" s="84">
        <f t="shared" si="33"/>
        <v>-7.6820000000000004</v>
      </c>
      <c r="G168" s="84">
        <f t="shared" si="34"/>
        <v>1.754</v>
      </c>
    </row>
    <row r="169" spans="1:36" x14ac:dyDescent="0.2">
      <c r="A169" s="84"/>
      <c r="B169" s="84" t="s">
        <v>64</v>
      </c>
      <c r="C169" s="84" t="s">
        <v>136</v>
      </c>
      <c r="D169" s="84">
        <f t="shared" si="31"/>
        <v>1</v>
      </c>
      <c r="E169" s="84">
        <f t="shared" si="32"/>
        <v>0.98799999999999999</v>
      </c>
      <c r="F169" s="84">
        <f t="shared" si="33"/>
        <v>0.98199999999999998</v>
      </c>
      <c r="G169" s="84">
        <f t="shared" si="34"/>
        <v>0.98099999999999998</v>
      </c>
    </row>
    <row r="170" spans="1:36" x14ac:dyDescent="0.2">
      <c r="A170" s="84"/>
      <c r="B170" s="84" t="s">
        <v>112</v>
      </c>
      <c r="C170" s="84" t="s">
        <v>137</v>
      </c>
      <c r="D170" s="84">
        <f t="shared" si="31"/>
        <v>1</v>
      </c>
      <c r="E170" s="84">
        <f t="shared" si="32"/>
        <v>3.1</v>
      </c>
      <c r="F170" s="84">
        <f t="shared" si="33"/>
        <v>18.603000000000002</v>
      </c>
      <c r="G170" s="84">
        <f t="shared" si="34"/>
        <v>32.338999999999999</v>
      </c>
    </row>
    <row r="171" spans="1:36" x14ac:dyDescent="0.2">
      <c r="A171" s="84"/>
      <c r="B171" s="84" t="s">
        <v>112</v>
      </c>
      <c r="C171" s="84" t="s">
        <v>138</v>
      </c>
      <c r="D171" s="84">
        <f t="shared" si="31"/>
        <v>1</v>
      </c>
      <c r="E171" s="84">
        <f t="shared" si="32"/>
        <v>4.032</v>
      </c>
      <c r="F171" s="84">
        <f t="shared" si="33"/>
        <v>25.45</v>
      </c>
      <c r="G171" s="84">
        <f t="shared" si="34"/>
        <v>41.31</v>
      </c>
    </row>
    <row r="172" spans="1:36" x14ac:dyDescent="0.2">
      <c r="A172" s="84"/>
      <c r="B172" s="84" t="s">
        <v>112</v>
      </c>
      <c r="C172" s="84" t="s">
        <v>139</v>
      </c>
      <c r="D172" s="84">
        <f t="shared" si="31"/>
        <v>1</v>
      </c>
      <c r="E172" s="84">
        <f t="shared" si="32"/>
        <v>3.258</v>
      </c>
      <c r="F172" s="84">
        <f t="shared" si="33"/>
        <v>16.536000000000001</v>
      </c>
      <c r="G172" s="84">
        <f t="shared" si="34"/>
        <v>30.013999999999999</v>
      </c>
    </row>
    <row r="173" spans="1:36" x14ac:dyDescent="0.2">
      <c r="A173" s="84"/>
      <c r="B173" s="84" t="s">
        <v>112</v>
      </c>
      <c r="C173" s="84" t="s">
        <v>140</v>
      </c>
      <c r="D173" s="84">
        <f t="shared" si="31"/>
        <v>1</v>
      </c>
      <c r="E173" s="84">
        <f t="shared" si="32"/>
        <v>3.13</v>
      </c>
      <c r="F173" s="84">
        <f t="shared" si="33"/>
        <v>19.507000000000001</v>
      </c>
      <c r="G173" s="84">
        <f t="shared" si="34"/>
        <v>30.645</v>
      </c>
    </row>
    <row r="174" spans="1:36" x14ac:dyDescent="0.2">
      <c r="A174" s="84"/>
      <c r="B174" s="84" t="s">
        <v>112</v>
      </c>
      <c r="C174" s="84" t="s">
        <v>141</v>
      </c>
      <c r="D174" s="84">
        <f t="shared" si="31"/>
        <v>1</v>
      </c>
      <c r="E174" s="84">
        <f t="shared" si="32"/>
        <v>3.3140000000000001</v>
      </c>
      <c r="F174" s="84">
        <f t="shared" si="33"/>
        <v>22.681999999999999</v>
      </c>
      <c r="G174" s="84">
        <f t="shared" si="34"/>
        <v>28.323</v>
      </c>
    </row>
    <row r="175" spans="1:36" x14ac:dyDescent="0.2">
      <c r="A175" s="84"/>
      <c r="B175" s="84" t="s">
        <v>112</v>
      </c>
      <c r="C175" s="84" t="s">
        <v>142</v>
      </c>
      <c r="D175" s="84">
        <f t="shared" si="31"/>
        <v>1</v>
      </c>
      <c r="E175" s="84">
        <f t="shared" si="32"/>
        <v>3.0739999999999998</v>
      </c>
      <c r="F175" s="84">
        <f t="shared" si="33"/>
        <v>19.978999999999999</v>
      </c>
      <c r="G175" s="84">
        <f t="shared" si="34"/>
        <v>32.643999999999998</v>
      </c>
    </row>
    <row r="176" spans="1:36" x14ac:dyDescent="0.2">
      <c r="A176" s="84"/>
      <c r="B176" s="84" t="s">
        <v>112</v>
      </c>
      <c r="C176" s="84" t="s">
        <v>143</v>
      </c>
      <c r="D176" s="84">
        <f t="shared" si="31"/>
        <v>1</v>
      </c>
      <c r="E176" s="84">
        <f t="shared" si="32"/>
        <v>2.78</v>
      </c>
      <c r="F176" s="84">
        <f t="shared" si="33"/>
        <v>16.440999999999999</v>
      </c>
      <c r="G176" s="84">
        <f t="shared" si="34"/>
        <v>30.905999999999999</v>
      </c>
      <c r="AF176" s="84"/>
      <c r="AG176" s="84"/>
      <c r="AH176" s="84"/>
      <c r="AI176" s="84"/>
      <c r="AJ176" s="84"/>
    </row>
    <row r="177" spans="1:36" x14ac:dyDescent="0.2">
      <c r="A177" s="84"/>
      <c r="B177" s="84" t="s">
        <v>112</v>
      </c>
      <c r="C177" s="84" t="s">
        <v>144</v>
      </c>
      <c r="D177" s="84">
        <f t="shared" si="31"/>
        <v>1</v>
      </c>
      <c r="E177" s="84">
        <f t="shared" si="32"/>
        <v>3.6360000000000001</v>
      </c>
      <c r="F177" s="84">
        <f t="shared" si="33"/>
        <v>21.382999999999999</v>
      </c>
      <c r="G177" s="84">
        <f t="shared" si="34"/>
        <v>29.62</v>
      </c>
      <c r="AF177" s="84"/>
      <c r="AG177" s="84"/>
      <c r="AH177" s="84"/>
      <c r="AI177" s="84"/>
      <c r="AJ177" s="84"/>
    </row>
    <row r="178" spans="1:36" x14ac:dyDescent="0.2">
      <c r="A178" s="84"/>
      <c r="B178" s="84" t="s">
        <v>190</v>
      </c>
      <c r="C178" s="84" t="s">
        <v>145</v>
      </c>
      <c r="D178" s="84">
        <f t="shared" si="31"/>
        <v>1</v>
      </c>
      <c r="E178" s="84">
        <f t="shared" si="32"/>
        <v>43.631999999999998</v>
      </c>
      <c r="F178" s="84">
        <f t="shared" si="33"/>
        <v>24.349</v>
      </c>
      <c r="G178" s="84">
        <f t="shared" si="34"/>
        <v>37.073</v>
      </c>
      <c r="AF178" s="84"/>
      <c r="AG178" s="84"/>
      <c r="AH178" s="84"/>
      <c r="AI178" s="84"/>
      <c r="AJ178" s="84"/>
    </row>
    <row r="179" spans="1:36" x14ac:dyDescent="0.2">
      <c r="A179" s="84"/>
      <c r="B179" s="84" t="s">
        <v>64</v>
      </c>
      <c r="C179" s="84" t="s">
        <v>146</v>
      </c>
      <c r="D179" s="84">
        <f t="shared" si="31"/>
        <v>1</v>
      </c>
      <c r="E179" s="84">
        <f t="shared" si="32"/>
        <v>0.995</v>
      </c>
      <c r="F179" s="84">
        <f t="shared" si="33"/>
        <v>0.99</v>
      </c>
      <c r="G179" s="84">
        <f t="shared" si="34"/>
        <v>0.99199999999999999</v>
      </c>
      <c r="AF179" s="84"/>
      <c r="AG179" s="84"/>
      <c r="AH179" s="84"/>
      <c r="AI179" s="84"/>
      <c r="AJ179" s="84"/>
    </row>
    <row r="180" spans="1:36" x14ac:dyDescent="0.2">
      <c r="A180" s="84"/>
      <c r="B180" s="84" t="s">
        <v>113</v>
      </c>
      <c r="C180" s="84" t="s">
        <v>147</v>
      </c>
      <c r="D180" s="84">
        <f t="shared" si="31"/>
        <v>1</v>
      </c>
      <c r="E180" s="84">
        <f t="shared" si="32"/>
        <v>3.5790000000000002</v>
      </c>
      <c r="F180" s="84">
        <f t="shared" si="33"/>
        <v>22.538</v>
      </c>
      <c r="G180" s="84">
        <f t="shared" si="34"/>
        <v>34.664000000000001</v>
      </c>
      <c r="AF180" s="84"/>
      <c r="AG180" s="84"/>
      <c r="AH180" s="84"/>
      <c r="AI180" s="84"/>
      <c r="AJ180" s="84"/>
    </row>
    <row r="181" spans="1:36" x14ac:dyDescent="0.2">
      <c r="A181" s="84"/>
      <c r="B181" s="84" t="s">
        <v>113</v>
      </c>
      <c r="C181" s="84" t="s">
        <v>148</v>
      </c>
      <c r="D181" s="84">
        <f t="shared" si="31"/>
        <v>1</v>
      </c>
      <c r="E181" s="84">
        <f t="shared" si="32"/>
        <v>3.6429999999999998</v>
      </c>
      <c r="F181" s="84">
        <f t="shared" si="33"/>
        <v>22.789000000000001</v>
      </c>
      <c r="G181" s="84">
        <f t="shared" si="34"/>
        <v>36.828000000000003</v>
      </c>
      <c r="AF181" s="84"/>
      <c r="AG181" s="84"/>
      <c r="AH181" s="84"/>
      <c r="AI181" s="84"/>
      <c r="AJ181" s="84"/>
    </row>
    <row r="182" spans="1:36" x14ac:dyDescent="0.2">
      <c r="A182" s="84"/>
      <c r="B182" s="84" t="s">
        <v>113</v>
      </c>
      <c r="C182" s="84" t="s">
        <v>149</v>
      </c>
      <c r="D182" s="84">
        <f t="shared" si="31"/>
        <v>1</v>
      </c>
      <c r="E182" s="84">
        <f t="shared" si="32"/>
        <v>4.4189999999999996</v>
      </c>
      <c r="F182" s="84">
        <f t="shared" si="33"/>
        <v>25.215</v>
      </c>
      <c r="G182" s="84">
        <f t="shared" si="34"/>
        <v>44.249000000000002</v>
      </c>
      <c r="AF182" s="84"/>
      <c r="AG182" s="84"/>
      <c r="AH182" s="84"/>
      <c r="AI182" s="84"/>
      <c r="AJ182" s="84"/>
    </row>
    <row r="183" spans="1:36" x14ac:dyDescent="0.2">
      <c r="A183" s="84"/>
      <c r="B183" s="84" t="s">
        <v>113</v>
      </c>
      <c r="C183" s="84" t="s">
        <v>150</v>
      </c>
      <c r="D183" s="84">
        <f t="shared" si="31"/>
        <v>1</v>
      </c>
      <c r="E183" s="84">
        <f t="shared" si="32"/>
        <v>3.4129999999999998</v>
      </c>
      <c r="F183" s="84">
        <f t="shared" si="33"/>
        <v>21.091999999999999</v>
      </c>
      <c r="G183" s="84">
        <f t="shared" si="34"/>
        <v>44.933999999999997</v>
      </c>
      <c r="AF183" s="84"/>
      <c r="AG183" s="84"/>
      <c r="AH183" s="84"/>
      <c r="AI183" s="84"/>
      <c r="AJ183" s="84"/>
    </row>
    <row r="184" spans="1:36" x14ac:dyDescent="0.2">
      <c r="A184" s="84"/>
      <c r="B184" s="84" t="s">
        <v>113</v>
      </c>
      <c r="C184" s="84" t="s">
        <v>151</v>
      </c>
      <c r="D184" s="84">
        <f t="shared" si="31"/>
        <v>1</v>
      </c>
      <c r="E184" s="84">
        <f t="shared" si="32"/>
        <v>3.266</v>
      </c>
      <c r="F184" s="84">
        <f t="shared" si="33"/>
        <v>23.606000000000002</v>
      </c>
      <c r="G184" s="84">
        <f t="shared" si="34"/>
        <v>38.523000000000003</v>
      </c>
      <c r="AA184" s="84"/>
      <c r="AB184" s="84"/>
      <c r="AC184" s="84"/>
      <c r="AD184" s="84"/>
    </row>
    <row r="185" spans="1:36" x14ac:dyDescent="0.2">
      <c r="A185" s="84"/>
      <c r="B185" s="84" t="s">
        <v>113</v>
      </c>
      <c r="C185" s="84" t="s">
        <v>152</v>
      </c>
      <c r="D185" s="84">
        <f t="shared" si="31"/>
        <v>1</v>
      </c>
      <c r="E185" s="84">
        <f t="shared" si="32"/>
        <v>3.4329999999999998</v>
      </c>
      <c r="F185" s="84">
        <f t="shared" si="33"/>
        <v>20.913</v>
      </c>
      <c r="G185" s="84">
        <f t="shared" si="34"/>
        <v>36.386000000000003</v>
      </c>
      <c r="AA185" s="84"/>
      <c r="AB185" s="84"/>
      <c r="AC185" s="84"/>
      <c r="AD185" s="84"/>
    </row>
    <row r="186" spans="1:36" x14ac:dyDescent="0.2">
      <c r="A186" s="84"/>
      <c r="B186" s="84" t="s">
        <v>113</v>
      </c>
      <c r="C186" s="84" t="s">
        <v>153</v>
      </c>
      <c r="D186" s="84">
        <f t="shared" si="31"/>
        <v>1</v>
      </c>
      <c r="E186" s="84">
        <f t="shared" si="32"/>
        <v>3.9420000000000002</v>
      </c>
      <c r="F186" s="84">
        <f t="shared" si="33"/>
        <v>20.696999999999999</v>
      </c>
      <c r="G186" s="84">
        <f t="shared" si="34"/>
        <v>34.930999999999997</v>
      </c>
      <c r="AA186" s="84"/>
      <c r="AB186" s="84"/>
      <c r="AC186" s="84"/>
      <c r="AD186" s="84"/>
    </row>
    <row r="187" spans="1:36" x14ac:dyDescent="0.2">
      <c r="A187" s="84"/>
      <c r="B187" s="84" t="s">
        <v>113</v>
      </c>
      <c r="C187" s="84" t="s">
        <v>154</v>
      </c>
      <c r="D187" s="84">
        <f t="shared" si="31"/>
        <v>1</v>
      </c>
      <c r="E187" s="84">
        <f t="shared" si="32"/>
        <v>4.2149999999999999</v>
      </c>
      <c r="F187" s="84">
        <f t="shared" si="33"/>
        <v>27.023</v>
      </c>
      <c r="G187" s="84">
        <f t="shared" si="34"/>
        <v>39.438000000000002</v>
      </c>
      <c r="AA187" s="84"/>
      <c r="AB187" s="84"/>
      <c r="AC187" s="84"/>
      <c r="AD187" s="84"/>
    </row>
    <row r="188" spans="1:36" x14ac:dyDescent="0.2">
      <c r="A188" s="84"/>
      <c r="B188" s="84" t="s">
        <v>190</v>
      </c>
      <c r="C188" s="84" t="s">
        <v>155</v>
      </c>
      <c r="D188" s="84">
        <f t="shared" si="31"/>
        <v>1</v>
      </c>
      <c r="E188" s="84">
        <f t="shared" si="32"/>
        <v>5.6050000000000004</v>
      </c>
      <c r="F188" s="84">
        <f t="shared" si="33"/>
        <v>1.929</v>
      </c>
      <c r="G188" s="84">
        <f t="shared" si="34"/>
        <v>-3.0059999999999998</v>
      </c>
      <c r="AA188" s="84"/>
      <c r="AB188" s="84"/>
      <c r="AC188" s="84"/>
      <c r="AD188" s="84"/>
    </row>
    <row r="189" spans="1:36" x14ac:dyDescent="0.2">
      <c r="A189" s="84"/>
      <c r="B189" s="84" t="s">
        <v>64</v>
      </c>
      <c r="C189" s="84" t="s">
        <v>156</v>
      </c>
      <c r="D189" s="84">
        <f t="shared" si="31"/>
        <v>1</v>
      </c>
      <c r="E189" s="84">
        <f t="shared" si="32"/>
        <v>1.0029999999999999</v>
      </c>
      <c r="F189" s="84">
        <f t="shared" si="33"/>
        <v>1.01</v>
      </c>
      <c r="G189" s="84">
        <f t="shared" si="34"/>
        <v>1.0029999999999999</v>
      </c>
      <c r="AA189" s="84"/>
      <c r="AB189" s="84"/>
      <c r="AC189" s="84"/>
      <c r="AD189" s="84"/>
    </row>
    <row r="190" spans="1:36" x14ac:dyDescent="0.2">
      <c r="A190" s="84"/>
      <c r="B190" s="84" t="s">
        <v>113</v>
      </c>
      <c r="C190" s="84" t="s">
        <v>157</v>
      </c>
      <c r="D190" s="84">
        <f t="shared" si="31"/>
        <v>1</v>
      </c>
      <c r="E190" s="84">
        <f t="shared" si="32"/>
        <v>3.339</v>
      </c>
      <c r="F190" s="84">
        <f t="shared" si="33"/>
        <v>20.094999999999999</v>
      </c>
      <c r="G190" s="84">
        <f t="shared" si="34"/>
        <v>36.762</v>
      </c>
      <c r="AA190" s="84"/>
      <c r="AB190" s="84"/>
      <c r="AC190" s="84"/>
      <c r="AD190" s="84"/>
      <c r="AE190" s="84"/>
      <c r="AF190" s="84"/>
    </row>
    <row r="191" spans="1:36" x14ac:dyDescent="0.2">
      <c r="A191" s="84"/>
      <c r="B191" s="84" t="s">
        <v>113</v>
      </c>
      <c r="C191" s="84" t="s">
        <v>158</v>
      </c>
      <c r="D191" s="84">
        <f t="shared" si="31"/>
        <v>1</v>
      </c>
      <c r="E191" s="84">
        <f t="shared" si="32"/>
        <v>3.72</v>
      </c>
      <c r="F191" s="84">
        <f t="shared" si="33"/>
        <v>20.149000000000001</v>
      </c>
      <c r="G191" s="84">
        <f t="shared" si="34"/>
        <v>34.597999999999999</v>
      </c>
      <c r="Z191" s="84"/>
      <c r="AA191" s="84"/>
      <c r="AB191" s="84"/>
      <c r="AC191" s="84"/>
      <c r="AD191" s="84"/>
      <c r="AE191" s="84"/>
      <c r="AF191" s="84"/>
    </row>
    <row r="192" spans="1:36" x14ac:dyDescent="0.2">
      <c r="A192" s="84"/>
      <c r="B192" s="84" t="s">
        <v>113</v>
      </c>
      <c r="C192" s="84" t="s">
        <v>159</v>
      </c>
      <c r="D192" s="84">
        <f t="shared" si="31"/>
        <v>1</v>
      </c>
      <c r="E192" s="84">
        <f t="shared" si="32"/>
        <v>4.0910000000000002</v>
      </c>
      <c r="F192" s="84">
        <f t="shared" si="33"/>
        <v>22.898</v>
      </c>
      <c r="G192" s="84">
        <f t="shared" si="34"/>
        <v>39.335000000000001</v>
      </c>
      <c r="Z192" s="84"/>
      <c r="AA192" s="84"/>
      <c r="AB192" s="84"/>
      <c r="AC192" s="84"/>
      <c r="AD192" s="84"/>
      <c r="AE192" s="84"/>
      <c r="AF192" s="84"/>
    </row>
    <row r="193" spans="1:35" x14ac:dyDescent="0.2">
      <c r="A193" s="84"/>
      <c r="B193" s="84" t="s">
        <v>113</v>
      </c>
      <c r="C193" s="84" t="s">
        <v>160</v>
      </c>
      <c r="D193" s="84">
        <f t="shared" si="31"/>
        <v>1</v>
      </c>
      <c r="E193" s="84">
        <f t="shared" si="32"/>
        <v>7.4470000000000001</v>
      </c>
      <c r="F193" s="84">
        <f t="shared" si="33"/>
        <v>38.781999999999996</v>
      </c>
      <c r="G193" s="84">
        <f t="shared" si="34"/>
        <v>66.72</v>
      </c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</row>
    <row r="194" spans="1:35" x14ac:dyDescent="0.2">
      <c r="A194" s="84"/>
      <c r="B194" s="84" t="s">
        <v>113</v>
      </c>
      <c r="C194" s="84" t="s">
        <v>161</v>
      </c>
      <c r="D194" s="84">
        <f t="shared" si="31"/>
        <v>1</v>
      </c>
      <c r="E194" s="84">
        <f t="shared" si="32"/>
        <v>5.0609999999999999</v>
      </c>
      <c r="F194" s="84">
        <f t="shared" si="33"/>
        <v>26.111999999999998</v>
      </c>
      <c r="G194" s="84">
        <f t="shared" si="34"/>
        <v>41.893000000000001</v>
      </c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</row>
    <row r="195" spans="1:35" x14ac:dyDescent="0.2">
      <c r="A195" s="84"/>
      <c r="B195" s="84" t="s">
        <v>113</v>
      </c>
      <c r="C195" s="84" t="s">
        <v>162</v>
      </c>
      <c r="D195" s="84">
        <f t="shared" si="31"/>
        <v>1</v>
      </c>
      <c r="E195" s="84">
        <f t="shared" si="32"/>
        <v>4.93</v>
      </c>
      <c r="F195" s="84">
        <f t="shared" si="33"/>
        <v>27.187000000000001</v>
      </c>
      <c r="G195" s="84">
        <f t="shared" si="34"/>
        <v>39.533999999999999</v>
      </c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</row>
    <row r="196" spans="1:35" x14ac:dyDescent="0.2">
      <c r="A196" s="84"/>
      <c r="B196" s="84" t="s">
        <v>113</v>
      </c>
      <c r="C196" s="84" t="s">
        <v>163</v>
      </c>
      <c r="D196" s="84">
        <f t="shared" si="31"/>
        <v>1</v>
      </c>
      <c r="E196" s="84">
        <f t="shared" si="32"/>
        <v>5.875</v>
      </c>
      <c r="F196" s="84">
        <f t="shared" si="33"/>
        <v>28.599</v>
      </c>
      <c r="G196" s="84">
        <f t="shared" si="34"/>
        <v>39.566000000000003</v>
      </c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</row>
    <row r="197" spans="1:35" x14ac:dyDescent="0.2">
      <c r="A197" s="84"/>
      <c r="B197" s="84" t="s">
        <v>113</v>
      </c>
      <c r="C197" s="84" t="s">
        <v>164</v>
      </c>
      <c r="D197" s="84">
        <f t="shared" si="31"/>
        <v>1</v>
      </c>
      <c r="E197" s="84">
        <f t="shared" si="32"/>
        <v>5.6420000000000003</v>
      </c>
      <c r="F197" s="84">
        <f t="shared" si="33"/>
        <v>21.591999999999999</v>
      </c>
      <c r="G197" s="84">
        <f t="shared" si="34"/>
        <v>39.213000000000001</v>
      </c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</row>
    <row r="198" spans="1:35" x14ac:dyDescent="0.2">
      <c r="A198" s="84"/>
      <c r="B198" s="84" t="s">
        <v>190</v>
      </c>
      <c r="C198" s="84" t="s">
        <v>165</v>
      </c>
      <c r="D198" s="84">
        <f t="shared" si="31"/>
        <v>1</v>
      </c>
      <c r="E198" s="84">
        <f t="shared" si="32"/>
        <v>2.75</v>
      </c>
      <c r="F198" s="84">
        <f t="shared" si="33"/>
        <v>3.7650000000000001</v>
      </c>
      <c r="G198" s="84">
        <f t="shared" si="34"/>
        <v>-1.5489999999999999</v>
      </c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</row>
    <row r="199" spans="1:35" x14ac:dyDescent="0.2">
      <c r="A199" s="84"/>
      <c r="B199" s="84" t="s">
        <v>64</v>
      </c>
      <c r="C199" s="84" t="s">
        <v>166</v>
      </c>
      <c r="D199" s="84">
        <f t="shared" si="31"/>
        <v>1</v>
      </c>
      <c r="E199" s="84">
        <f t="shared" si="32"/>
        <v>0.99199999999999999</v>
      </c>
      <c r="F199" s="84">
        <f t="shared" si="33"/>
        <v>0.98899999999999999</v>
      </c>
      <c r="G199" s="84">
        <f t="shared" si="34"/>
        <v>1.0049999999999999</v>
      </c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</row>
    <row r="200" spans="1:35" x14ac:dyDescent="0.2">
      <c r="A200" s="84"/>
      <c r="B200" s="84" t="s">
        <v>114</v>
      </c>
      <c r="C200" s="84" t="s">
        <v>167</v>
      </c>
      <c r="D200" s="84">
        <f t="shared" si="31"/>
        <v>1</v>
      </c>
      <c r="E200" s="84">
        <f t="shared" si="32"/>
        <v>3.1880000000000002</v>
      </c>
      <c r="F200" s="84">
        <f t="shared" si="33"/>
        <v>19.265999999999998</v>
      </c>
      <c r="G200" s="84">
        <f t="shared" si="34"/>
        <v>30.024000000000001</v>
      </c>
      <c r="AA200" s="84"/>
      <c r="AB200" s="84"/>
      <c r="AC200" s="84"/>
      <c r="AD200" s="84"/>
      <c r="AE200" s="84"/>
      <c r="AF200" s="84"/>
      <c r="AG200" s="84"/>
      <c r="AH200" s="84"/>
      <c r="AI200" s="84"/>
    </row>
    <row r="201" spans="1:35" x14ac:dyDescent="0.2">
      <c r="A201" s="84"/>
      <c r="B201" s="84" t="s">
        <v>114</v>
      </c>
      <c r="C201" s="84" t="s">
        <v>168</v>
      </c>
      <c r="D201" s="84">
        <f t="shared" si="31"/>
        <v>1</v>
      </c>
      <c r="E201" s="84">
        <f t="shared" si="32"/>
        <v>3.7330000000000001</v>
      </c>
      <c r="F201" s="84">
        <f t="shared" si="33"/>
        <v>23.103000000000002</v>
      </c>
      <c r="G201" s="84">
        <f t="shared" si="34"/>
        <v>38.768999999999998</v>
      </c>
      <c r="AA201" s="84"/>
      <c r="AB201" s="84"/>
      <c r="AC201" s="84"/>
      <c r="AD201" s="84"/>
      <c r="AE201" s="84"/>
      <c r="AF201" s="84"/>
      <c r="AG201" s="84"/>
      <c r="AH201" s="84"/>
      <c r="AI201" s="84"/>
    </row>
    <row r="202" spans="1:35" x14ac:dyDescent="0.2">
      <c r="A202" s="84"/>
      <c r="B202" s="84" t="s">
        <v>114</v>
      </c>
      <c r="C202" s="84" t="s">
        <v>169</v>
      </c>
      <c r="D202" s="84">
        <f t="shared" si="31"/>
        <v>1</v>
      </c>
      <c r="E202" s="84">
        <f t="shared" si="32"/>
        <v>3.0830000000000002</v>
      </c>
      <c r="F202" s="84">
        <f t="shared" si="33"/>
        <v>20.564</v>
      </c>
      <c r="G202" s="84">
        <f t="shared" si="34"/>
        <v>31.233000000000001</v>
      </c>
      <c r="AA202" s="84"/>
      <c r="AB202" s="84"/>
      <c r="AC202" s="84"/>
      <c r="AD202" s="84"/>
      <c r="AE202" s="84"/>
      <c r="AF202" s="84"/>
      <c r="AG202" s="84"/>
      <c r="AH202" s="84"/>
      <c r="AI202" s="84"/>
    </row>
    <row r="203" spans="1:35" x14ac:dyDescent="0.2">
      <c r="A203" s="84"/>
      <c r="B203" s="84" t="s">
        <v>114</v>
      </c>
      <c r="C203" s="84" t="s">
        <v>170</v>
      </c>
      <c r="D203" s="84">
        <f t="shared" si="31"/>
        <v>1</v>
      </c>
      <c r="E203" s="84">
        <f t="shared" si="32"/>
        <v>3.18</v>
      </c>
      <c r="F203" s="84">
        <f t="shared" si="33"/>
        <v>22.1</v>
      </c>
      <c r="G203" s="84">
        <f t="shared" si="34"/>
        <v>38.052999999999997</v>
      </c>
      <c r="AA203" s="84"/>
      <c r="AB203" s="84"/>
      <c r="AC203" s="84"/>
      <c r="AD203" s="84"/>
      <c r="AE203" s="84"/>
      <c r="AF203" s="84"/>
      <c r="AG203" s="84"/>
      <c r="AH203" s="84"/>
      <c r="AI203" s="84"/>
    </row>
    <row r="204" spans="1:35" x14ac:dyDescent="0.2">
      <c r="A204" s="84"/>
      <c r="B204" s="84" t="s">
        <v>114</v>
      </c>
      <c r="C204" s="84" t="s">
        <v>171</v>
      </c>
      <c r="D204" s="84">
        <f t="shared" si="31"/>
        <v>1</v>
      </c>
      <c r="E204" s="84">
        <f t="shared" si="32"/>
        <v>3.7269999999999999</v>
      </c>
      <c r="F204" s="84">
        <f t="shared" si="33"/>
        <v>23.652000000000001</v>
      </c>
      <c r="G204" s="84">
        <f t="shared" si="34"/>
        <v>37.122</v>
      </c>
      <c r="AA204" s="84"/>
      <c r="AB204" s="84"/>
      <c r="AC204" s="84"/>
      <c r="AD204" s="84"/>
      <c r="AE204" s="84"/>
      <c r="AF204" s="84"/>
      <c r="AG204" s="84"/>
      <c r="AH204" s="84"/>
      <c r="AI204" s="84"/>
    </row>
    <row r="205" spans="1:35" x14ac:dyDescent="0.2">
      <c r="A205" s="84"/>
      <c r="B205" s="84" t="s">
        <v>114</v>
      </c>
      <c r="C205" s="84" t="s">
        <v>172</v>
      </c>
      <c r="D205" s="84">
        <f t="shared" si="31"/>
        <v>1</v>
      </c>
      <c r="E205" s="84">
        <f t="shared" si="32"/>
        <v>3.2349999999999999</v>
      </c>
      <c r="F205" s="84">
        <f t="shared" si="33"/>
        <v>19.567</v>
      </c>
      <c r="G205" s="84">
        <f t="shared" si="34"/>
        <v>31.977</v>
      </c>
      <c r="AA205" s="84"/>
      <c r="AB205" s="84"/>
      <c r="AC205" s="84"/>
      <c r="AD205" s="84"/>
      <c r="AE205" s="84"/>
      <c r="AF205" s="84"/>
      <c r="AG205" s="84"/>
      <c r="AH205" s="84"/>
      <c r="AI205" s="84"/>
    </row>
    <row r="206" spans="1:35" x14ac:dyDescent="0.2">
      <c r="A206" s="84"/>
      <c r="B206" s="84" t="s">
        <v>114</v>
      </c>
      <c r="C206" s="84" t="s">
        <v>173</v>
      </c>
      <c r="D206" s="84">
        <f t="shared" si="31"/>
        <v>1</v>
      </c>
      <c r="E206" s="84">
        <f t="shared" si="32"/>
        <v>3.5760000000000001</v>
      </c>
      <c r="F206" s="84">
        <f t="shared" si="33"/>
        <v>23.372</v>
      </c>
      <c r="G206" s="84">
        <f t="shared" si="34"/>
        <v>31.515999999999998</v>
      </c>
      <c r="AA206" s="84"/>
      <c r="AB206" s="84"/>
      <c r="AC206" s="84"/>
      <c r="AD206" s="84"/>
      <c r="AE206" s="84"/>
      <c r="AF206" s="84"/>
      <c r="AG206" s="84"/>
      <c r="AH206" s="84"/>
      <c r="AI206" s="84"/>
    </row>
    <row r="207" spans="1:35" x14ac:dyDescent="0.2">
      <c r="A207" s="84"/>
      <c r="B207" s="84" t="s">
        <v>114</v>
      </c>
      <c r="C207" s="84" t="s">
        <v>174</v>
      </c>
      <c r="D207" s="84">
        <f t="shared" si="31"/>
        <v>1</v>
      </c>
      <c r="E207" s="84">
        <f t="shared" si="32"/>
        <v>4.4400000000000004</v>
      </c>
      <c r="F207" s="84">
        <f t="shared" si="33"/>
        <v>21.401</v>
      </c>
      <c r="G207" s="84">
        <f t="shared" si="34"/>
        <v>36.042999999999999</v>
      </c>
      <c r="AA207" s="84"/>
      <c r="AB207" s="84"/>
      <c r="AC207" s="84"/>
      <c r="AD207" s="84"/>
      <c r="AE207" s="84"/>
      <c r="AF207" s="84"/>
      <c r="AG207" s="84"/>
      <c r="AH207" s="84"/>
      <c r="AI207" s="84"/>
    </row>
    <row r="208" spans="1:35" x14ac:dyDescent="0.2">
      <c r="A208" s="84"/>
      <c r="B208" s="84" t="s">
        <v>190</v>
      </c>
      <c r="C208" s="84" t="s">
        <v>175</v>
      </c>
      <c r="D208" s="84">
        <f t="shared" si="31"/>
        <v>1</v>
      </c>
      <c r="E208" s="84">
        <f t="shared" si="32"/>
        <v>4.444</v>
      </c>
      <c r="F208" s="84">
        <f t="shared" si="33"/>
        <v>13.914</v>
      </c>
      <c r="G208" s="84">
        <f t="shared" si="34"/>
        <v>-8.8729999999999993</v>
      </c>
      <c r="AA208" s="84"/>
      <c r="AB208" s="84"/>
      <c r="AC208" s="84"/>
      <c r="AD208" s="84"/>
      <c r="AE208" s="84"/>
      <c r="AF208" s="84"/>
      <c r="AG208" s="84"/>
      <c r="AH208" s="84"/>
      <c r="AI208" s="84"/>
    </row>
    <row r="209" spans="1:35" x14ac:dyDescent="0.2">
      <c r="A209" s="84"/>
      <c r="B209" s="84" t="s">
        <v>64</v>
      </c>
      <c r="C209" s="84" t="s">
        <v>176</v>
      </c>
      <c r="D209" s="84">
        <f t="shared" si="31"/>
        <v>1</v>
      </c>
      <c r="E209" s="84">
        <f t="shared" si="32"/>
        <v>0.99399999999999999</v>
      </c>
      <c r="F209" s="84">
        <f t="shared" si="33"/>
        <v>0.999</v>
      </c>
      <c r="G209" s="84">
        <f t="shared" si="34"/>
        <v>0.995</v>
      </c>
      <c r="AA209" s="84"/>
      <c r="AB209" s="84"/>
      <c r="AC209" s="84"/>
      <c r="AD209" s="84"/>
      <c r="AE209" s="84"/>
      <c r="AF209" s="84"/>
      <c r="AG209" s="84"/>
      <c r="AH209" s="84"/>
      <c r="AI209" s="84"/>
    </row>
    <row r="210" spans="1:35" x14ac:dyDescent="0.2">
      <c r="A210" s="84"/>
      <c r="B210" s="84" t="s">
        <v>114</v>
      </c>
      <c r="C210" s="84" t="s">
        <v>177</v>
      </c>
      <c r="D210" s="84">
        <f t="shared" si="31"/>
        <v>1</v>
      </c>
      <c r="E210" s="84">
        <f t="shared" si="32"/>
        <v>4.2939999999999996</v>
      </c>
      <c r="F210" s="84">
        <f t="shared" si="33"/>
        <v>24.036999999999999</v>
      </c>
      <c r="G210" s="84">
        <f t="shared" si="34"/>
        <v>35.277999999999999</v>
      </c>
      <c r="AA210" s="84"/>
      <c r="AB210" s="84"/>
      <c r="AC210" s="84"/>
      <c r="AD210" s="84"/>
      <c r="AE210" s="84"/>
      <c r="AF210" s="84"/>
      <c r="AG210" s="84"/>
      <c r="AH210" s="84"/>
      <c r="AI210" s="84"/>
    </row>
    <row r="211" spans="1:35" x14ac:dyDescent="0.2">
      <c r="A211" s="84"/>
      <c r="B211" s="84" t="s">
        <v>114</v>
      </c>
      <c r="C211" s="84" t="s">
        <v>178</v>
      </c>
      <c r="D211" s="84">
        <f t="shared" si="31"/>
        <v>1</v>
      </c>
      <c r="E211" s="84">
        <f t="shared" si="32"/>
        <v>3.8639999999999999</v>
      </c>
      <c r="F211" s="84">
        <f t="shared" si="33"/>
        <v>22.015999999999998</v>
      </c>
      <c r="G211" s="84">
        <f t="shared" si="34"/>
        <v>29.36</v>
      </c>
      <c r="AA211" s="84"/>
      <c r="AB211" s="84"/>
      <c r="AC211" s="84"/>
      <c r="AD211" s="84"/>
      <c r="AE211" s="84"/>
      <c r="AF211" s="84"/>
      <c r="AG211" s="84"/>
      <c r="AH211" s="84"/>
      <c r="AI211" s="84"/>
    </row>
    <row r="212" spans="1:35" x14ac:dyDescent="0.2">
      <c r="A212" s="84"/>
      <c r="B212" s="84" t="s">
        <v>114</v>
      </c>
      <c r="C212" s="84" t="s">
        <v>179</v>
      </c>
      <c r="D212" s="84">
        <f t="shared" si="31"/>
        <v>1</v>
      </c>
      <c r="E212" s="84">
        <f t="shared" si="32"/>
        <v>5.194</v>
      </c>
      <c r="F212" s="84">
        <f t="shared" si="33"/>
        <v>24.553999999999998</v>
      </c>
      <c r="G212" s="84">
        <f t="shared" si="34"/>
        <v>32.200000000000003</v>
      </c>
      <c r="AA212" s="84"/>
      <c r="AB212" s="84"/>
      <c r="AC212" s="84"/>
      <c r="AD212" s="84"/>
      <c r="AE212" s="84"/>
      <c r="AF212" s="84"/>
      <c r="AG212" s="84"/>
      <c r="AH212" s="84"/>
      <c r="AI212" s="84"/>
    </row>
    <row r="213" spans="1:35" x14ac:dyDescent="0.2">
      <c r="A213" s="84"/>
      <c r="B213" s="84" t="s">
        <v>114</v>
      </c>
      <c r="C213" s="84" t="s">
        <v>180</v>
      </c>
      <c r="D213" s="84">
        <f t="shared" si="31"/>
        <v>1</v>
      </c>
      <c r="E213" s="84">
        <f t="shared" si="32"/>
        <v>4.3789999999999996</v>
      </c>
      <c r="F213" s="84">
        <f t="shared" si="33"/>
        <v>27.238</v>
      </c>
      <c r="G213" s="84">
        <f t="shared" si="34"/>
        <v>37.790999999999997</v>
      </c>
      <c r="AA213" s="84"/>
      <c r="AB213" s="84"/>
      <c r="AC213" s="84"/>
      <c r="AD213" s="84"/>
      <c r="AE213" s="84"/>
      <c r="AF213" s="84"/>
      <c r="AG213" s="84"/>
      <c r="AH213" s="84"/>
      <c r="AI213" s="84"/>
    </row>
    <row r="214" spans="1:35" x14ac:dyDescent="0.2">
      <c r="A214" s="84"/>
      <c r="B214" s="84" t="s">
        <v>114</v>
      </c>
      <c r="C214" s="84" t="s">
        <v>181</v>
      </c>
      <c r="D214" s="84">
        <f t="shared" si="31"/>
        <v>1</v>
      </c>
      <c r="E214" s="84">
        <f t="shared" si="32"/>
        <v>4.3449999999999998</v>
      </c>
      <c r="F214" s="84">
        <f t="shared" si="33"/>
        <v>22.914999999999999</v>
      </c>
      <c r="G214" s="84">
        <f t="shared" si="34"/>
        <v>30.548999999999999</v>
      </c>
      <c r="AA214" s="84"/>
      <c r="AB214" s="84"/>
      <c r="AC214" s="84"/>
      <c r="AD214" s="84"/>
      <c r="AE214" s="84"/>
      <c r="AF214" s="84"/>
      <c r="AG214" s="84"/>
      <c r="AH214" s="84"/>
      <c r="AI214" s="84"/>
    </row>
    <row r="215" spans="1:35" x14ac:dyDescent="0.2">
      <c r="A215" s="84"/>
      <c r="B215" s="84" t="s">
        <v>114</v>
      </c>
      <c r="C215" s="84" t="s">
        <v>182</v>
      </c>
      <c r="D215" s="84">
        <f t="shared" si="31"/>
        <v>1</v>
      </c>
      <c r="E215" s="84">
        <f t="shared" si="32"/>
        <v>4.3730000000000002</v>
      </c>
      <c r="F215" s="84">
        <f t="shared" si="33"/>
        <v>25.651</v>
      </c>
      <c r="G215" s="84">
        <f t="shared" si="34"/>
        <v>39.456000000000003</v>
      </c>
      <c r="AA215" s="84"/>
      <c r="AB215" s="84"/>
      <c r="AC215" s="84"/>
      <c r="AD215" s="84"/>
      <c r="AE215" s="84"/>
      <c r="AF215" s="84"/>
      <c r="AG215" s="84"/>
      <c r="AH215" s="84"/>
      <c r="AI215" s="84"/>
    </row>
    <row r="216" spans="1:35" x14ac:dyDescent="0.2">
      <c r="A216" s="84"/>
      <c r="B216" s="84" t="s">
        <v>114</v>
      </c>
      <c r="C216" s="84" t="s">
        <v>183</v>
      </c>
      <c r="D216" s="84">
        <f t="shared" si="31"/>
        <v>1</v>
      </c>
      <c r="E216" s="84">
        <f t="shared" si="32"/>
        <v>3.6059999999999999</v>
      </c>
      <c r="F216" s="84">
        <f t="shared" si="33"/>
        <v>20.100999999999999</v>
      </c>
      <c r="G216" s="84">
        <f t="shared" si="34"/>
        <v>29.591000000000001</v>
      </c>
      <c r="AA216" s="84"/>
      <c r="AB216" s="84"/>
      <c r="AC216" s="84"/>
      <c r="AD216" s="84"/>
      <c r="AE216" s="84"/>
      <c r="AF216" s="84"/>
      <c r="AG216" s="84"/>
      <c r="AH216" s="84"/>
      <c r="AI216" s="84"/>
    </row>
    <row r="217" spans="1:35" x14ac:dyDescent="0.2">
      <c r="A217" s="84"/>
      <c r="B217" s="84" t="s">
        <v>114</v>
      </c>
      <c r="C217" s="84" t="s">
        <v>184</v>
      </c>
      <c r="D217" s="84">
        <f t="shared" si="31"/>
        <v>1</v>
      </c>
      <c r="E217" s="84">
        <f t="shared" si="32"/>
        <v>3.573</v>
      </c>
      <c r="F217" s="84">
        <f t="shared" si="33"/>
        <v>17.89</v>
      </c>
      <c r="G217" s="84">
        <f>ROUND(BB152/$F152,3)</f>
        <v>33.630000000000003</v>
      </c>
      <c r="AA217" s="84"/>
      <c r="AB217" s="84"/>
      <c r="AC217" s="84"/>
      <c r="AD217" s="84"/>
      <c r="AE217" s="84"/>
      <c r="AF217" s="84"/>
      <c r="AG217" s="84"/>
      <c r="AH217" s="84"/>
      <c r="AI217" s="84"/>
    </row>
    <row r="218" spans="1:35" x14ac:dyDescent="0.2">
      <c r="AA218" s="84"/>
      <c r="AB218" s="84"/>
      <c r="AC218" s="84"/>
      <c r="AD218" s="84"/>
      <c r="AE218" s="84"/>
      <c r="AF218" s="84"/>
      <c r="AG218" s="84"/>
      <c r="AH218" s="84"/>
      <c r="AI218" s="84"/>
    </row>
    <row r="219" spans="1:35" x14ac:dyDescent="0.2">
      <c r="A219" s="84" t="s">
        <v>188</v>
      </c>
      <c r="B219" s="84"/>
      <c r="C219" s="84"/>
      <c r="D219" s="84"/>
      <c r="E219" s="84"/>
      <c r="AA219" s="84"/>
      <c r="AB219" s="84"/>
      <c r="AC219" s="84"/>
      <c r="AD219" s="84"/>
      <c r="AE219" s="84"/>
      <c r="AF219" s="84"/>
      <c r="AG219" s="84"/>
      <c r="AH219" s="84"/>
      <c r="AI219" s="84"/>
    </row>
    <row r="220" spans="1:35" x14ac:dyDescent="0.2">
      <c r="A220" s="84"/>
      <c r="B220" s="84">
        <v>0</v>
      </c>
      <c r="C220" s="84">
        <v>2</v>
      </c>
      <c r="D220" s="84">
        <v>5</v>
      </c>
      <c r="E220" s="84">
        <v>7</v>
      </c>
    </row>
    <row r="221" spans="1:35" x14ac:dyDescent="0.2">
      <c r="A221" s="84" t="s">
        <v>112</v>
      </c>
      <c r="B221" s="84">
        <f>AVERAGE(D160:D167,D170:D177)</f>
        <v>1</v>
      </c>
      <c r="C221" s="84">
        <f t="shared" ref="C221:E221" si="35">AVERAGE(E160:E167,E170:E177)</f>
        <v>3.3330000000000006</v>
      </c>
      <c r="D221" s="84">
        <f t="shared" si="35"/>
        <v>20.752624999999998</v>
      </c>
      <c r="E221" s="84">
        <f t="shared" si="35"/>
        <v>32.839562499999992</v>
      </c>
    </row>
    <row r="222" spans="1:35" x14ac:dyDescent="0.2">
      <c r="A222" s="84" t="s">
        <v>113</v>
      </c>
      <c r="B222" s="84">
        <f>AVERAGE(D180:D187,D190:D197)</f>
        <v>1</v>
      </c>
      <c r="C222" s="84">
        <f t="shared" ref="C222:E222" si="36">AVERAGE(E180:E187,E190:E197)</f>
        <v>4.3759375</v>
      </c>
      <c r="D222" s="84">
        <f t="shared" si="36"/>
        <v>24.330437500000002</v>
      </c>
      <c r="E222" s="84">
        <f t="shared" si="36"/>
        <v>40.473374999999997</v>
      </c>
    </row>
    <row r="223" spans="1:35" x14ac:dyDescent="0.2">
      <c r="A223" s="84" t="s">
        <v>114</v>
      </c>
      <c r="B223" s="84">
        <f>AVERAGE(D200:D207,D210:D217)</f>
        <v>1</v>
      </c>
      <c r="C223" s="84">
        <f t="shared" ref="C223:E223" si="37">AVERAGE(E200:E207,E210:E217)</f>
        <v>3.8618749999999999</v>
      </c>
      <c r="D223" s="84">
        <f t="shared" si="37"/>
        <v>22.339187500000001</v>
      </c>
      <c r="E223" s="84">
        <f t="shared" si="37"/>
        <v>33.912000000000006</v>
      </c>
    </row>
    <row r="224" spans="1:35" x14ac:dyDescent="0.2">
      <c r="A224" s="84"/>
      <c r="B224" s="84"/>
      <c r="C224" s="84"/>
      <c r="D224" s="84"/>
      <c r="E224" s="84"/>
    </row>
    <row r="225" spans="1:5" x14ac:dyDescent="0.2">
      <c r="A225" s="84" t="s">
        <v>56</v>
      </c>
      <c r="B225" s="84" t="s">
        <v>191</v>
      </c>
      <c r="C225" s="84" t="s">
        <v>192</v>
      </c>
      <c r="D225" s="84" t="s">
        <v>193</v>
      </c>
      <c r="E225" s="84" t="s">
        <v>194</v>
      </c>
    </row>
    <row r="226" spans="1:5" x14ac:dyDescent="0.2">
      <c r="A226" s="84" t="s">
        <v>112</v>
      </c>
      <c r="B226" s="84">
        <f>_xlfn.STDEV.P(D160:D167,D170:D177)</f>
        <v>0</v>
      </c>
      <c r="C226" s="84">
        <f t="shared" ref="C226:E226" si="38">_xlfn.STDEV.P(E160:E167,E170:E177)</f>
        <v>0.32060665152176743</v>
      </c>
      <c r="D226" s="84">
        <f t="shared" si="38"/>
        <v>3.1498104481659204</v>
      </c>
      <c r="E226" s="84">
        <f t="shared" si="38"/>
        <v>3.1759718191592556</v>
      </c>
    </row>
    <row r="227" spans="1:5" x14ac:dyDescent="0.2">
      <c r="A227" s="84" t="s">
        <v>113</v>
      </c>
      <c r="B227" s="84">
        <f>_xlfn.STDEV.P(D180:D187,D190:D197)</f>
        <v>0</v>
      </c>
      <c r="C227" s="84">
        <f t="shared" ref="C227:E227" si="39">_xlfn.STDEV.P(E180:E187,E190:E197)</f>
        <v>1.1203016038521718</v>
      </c>
      <c r="D227" s="84">
        <f t="shared" si="39"/>
        <v>4.5613231765676954</v>
      </c>
      <c r="E227" s="84">
        <f t="shared" si="39"/>
        <v>7.404710611116105</v>
      </c>
    </row>
    <row r="228" spans="1:5" x14ac:dyDescent="0.2">
      <c r="A228" s="84" t="s">
        <v>114</v>
      </c>
      <c r="B228" s="84">
        <f>_xlfn.STDEV.P(D200:D207,D210:D217)</f>
        <v>0</v>
      </c>
      <c r="C228" s="84">
        <f t="shared" ref="C228:E228" si="40">_xlfn.STDEV.P(E200:E207,E210:E217)</f>
        <v>0.57237027733364776</v>
      </c>
      <c r="D228" s="84">
        <f t="shared" si="40"/>
        <v>2.4055532164854996</v>
      </c>
      <c r="E228" s="84">
        <f t="shared" si="40"/>
        <v>3.4344098110155548</v>
      </c>
    </row>
    <row r="231" spans="1:5" x14ac:dyDescent="0.2">
      <c r="A231" s="84"/>
      <c r="B231" s="84"/>
      <c r="C231" s="84"/>
      <c r="D231" s="84"/>
      <c r="E231" s="84"/>
    </row>
    <row r="232" spans="1:5" x14ac:dyDescent="0.2">
      <c r="A232" s="84"/>
      <c r="B232" s="84"/>
      <c r="C232" s="84"/>
      <c r="D232" s="84"/>
      <c r="E232" s="84"/>
    </row>
    <row r="233" spans="1:5" x14ac:dyDescent="0.2">
      <c r="A233" s="84"/>
      <c r="B233" s="84"/>
      <c r="C233" s="84"/>
      <c r="D233" s="84"/>
      <c r="E233" s="84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Calibration Plates</vt:lpstr>
      <vt:lpstr>Drug Background Test</vt:lpstr>
      <vt:lpstr>G418 alpha-2</vt:lpstr>
      <vt:lpstr>G418 alpha-3</vt:lpstr>
      <vt:lpstr>G418 alpha-4</vt:lpstr>
      <vt:lpstr>HygB alpha-3</vt:lpstr>
      <vt:lpstr>HygB alpha-4</vt:lpstr>
      <vt:lpstr>Max Growth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 Guck</dc:creator>
  <cp:lastModifiedBy>Maximilian Eiche</cp:lastModifiedBy>
  <dcterms:created xsi:type="dcterms:W3CDTF">2011-01-18T20:51:17Z</dcterms:created>
  <dcterms:modified xsi:type="dcterms:W3CDTF">2025-03-06T12:44:53Z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