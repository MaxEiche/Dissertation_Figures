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embers\Elias\STEM_Paper\Preparation_Experiments\"/>
    </mc:Choice>
  </mc:AlternateContent>
  <xr:revisionPtr revIDLastSave="0" documentId="13_ncr:1_{51C69095-B342-4489-BA66-CCE0F5CFA253}" xr6:coauthVersionLast="36" xr6:coauthVersionMax="47" xr10:uidLastSave="{00000000-0000-0000-0000-000000000000}"/>
  <bookViews>
    <workbookView xWindow="0" yWindow="1200" windowWidth="28800" windowHeight="12210" activeTab="4" xr2:uid="{3C4FA70C-92DC-4B12-92B0-42A238671B31}"/>
  </bookViews>
  <sheets>
    <sheet name="Sheet1" sheetId="1" r:id="rId1"/>
    <sheet name="Split0" sheetId="2" r:id="rId2"/>
    <sheet name="Split1" sheetId="4" r:id="rId3"/>
    <sheet name="Split2" sheetId="3" r:id="rId4"/>
    <sheet name="Split4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8" i="2" l="1"/>
  <c r="X2" i="2" l="1"/>
  <c r="X2" i="4"/>
  <c r="X2" i="3"/>
  <c r="N8" i="3"/>
  <c r="X2" i="5"/>
  <c r="N8" i="5"/>
  <c r="D8" i="5"/>
  <c r="F8" i="5"/>
  <c r="H8" i="5"/>
  <c r="J8" i="5"/>
  <c r="L8" i="5"/>
  <c r="D9" i="5"/>
  <c r="F9" i="5"/>
  <c r="H9" i="5"/>
  <c r="J9" i="5"/>
  <c r="L9" i="5"/>
  <c r="D10" i="5"/>
  <c r="F10" i="5"/>
  <c r="H10" i="5"/>
  <c r="J10" i="5"/>
  <c r="L10" i="5"/>
  <c r="D11" i="5"/>
  <c r="F11" i="5"/>
  <c r="H11" i="5"/>
  <c r="J11" i="5"/>
  <c r="L11" i="5"/>
  <c r="X11" i="5"/>
  <c r="AB9" i="5" s="1"/>
  <c r="V4" i="5"/>
  <c r="T4" i="5"/>
  <c r="R4" i="5"/>
  <c r="P4" i="5"/>
  <c r="N4" i="5"/>
  <c r="L4" i="5"/>
  <c r="J4" i="5"/>
  <c r="H4" i="5"/>
  <c r="F4" i="5"/>
  <c r="D4" i="5"/>
  <c r="V3" i="5"/>
  <c r="V5" i="5" s="1"/>
  <c r="T3" i="5"/>
  <c r="T5" i="5" s="1"/>
  <c r="R3" i="5"/>
  <c r="R5" i="5" s="1"/>
  <c r="P3" i="5"/>
  <c r="P5" i="5" s="1"/>
  <c r="N3" i="5"/>
  <c r="N5" i="5" s="1"/>
  <c r="L3" i="5"/>
  <c r="L5" i="5" s="1"/>
  <c r="J3" i="5"/>
  <c r="J5" i="5" s="1"/>
  <c r="H3" i="5"/>
  <c r="H5" i="5" s="1"/>
  <c r="F3" i="5"/>
  <c r="F5" i="5" s="1"/>
  <c r="D3" i="5"/>
  <c r="D5" i="5" s="1"/>
  <c r="X5" i="5" s="1"/>
  <c r="V2" i="5"/>
  <c r="T2" i="5"/>
  <c r="R2" i="5"/>
  <c r="P2" i="5"/>
  <c r="N2" i="5"/>
  <c r="L2" i="5"/>
  <c r="J2" i="5"/>
  <c r="H2" i="5"/>
  <c r="F2" i="5"/>
  <c r="D2" i="5"/>
  <c r="L16" i="5"/>
  <c r="J16" i="5"/>
  <c r="H16" i="5"/>
  <c r="F16" i="5"/>
  <c r="D16" i="5"/>
  <c r="L15" i="5"/>
  <c r="L17" i="5" s="1"/>
  <c r="J15" i="5"/>
  <c r="J17" i="5" s="1"/>
  <c r="H15" i="5"/>
  <c r="H17" i="5" s="1"/>
  <c r="F15" i="5"/>
  <c r="F17" i="5" s="1"/>
  <c r="D15" i="5"/>
  <c r="D17" i="5" s="1"/>
  <c r="L14" i="5"/>
  <c r="J14" i="5"/>
  <c r="H14" i="5"/>
  <c r="F14" i="5"/>
  <c r="D14" i="5"/>
  <c r="V5" i="4"/>
  <c r="V4" i="4"/>
  <c r="T4" i="4"/>
  <c r="R4" i="4"/>
  <c r="P4" i="4"/>
  <c r="N4" i="4"/>
  <c r="L4" i="4"/>
  <c r="J4" i="4"/>
  <c r="H4" i="4"/>
  <c r="F4" i="4"/>
  <c r="D4" i="4"/>
  <c r="V3" i="4"/>
  <c r="T3" i="4"/>
  <c r="T5" i="4" s="1"/>
  <c r="R3" i="4"/>
  <c r="R5" i="4" s="1"/>
  <c r="P3" i="4"/>
  <c r="P5" i="4" s="1"/>
  <c r="N3" i="4"/>
  <c r="N5" i="4" s="1"/>
  <c r="L3" i="4"/>
  <c r="L5" i="4" s="1"/>
  <c r="J3" i="4"/>
  <c r="J5" i="4" s="1"/>
  <c r="H3" i="4"/>
  <c r="H5" i="4" s="1"/>
  <c r="F3" i="4"/>
  <c r="F5" i="4" s="1"/>
  <c r="D3" i="4"/>
  <c r="D5" i="4" s="1"/>
  <c r="X5" i="4" s="1"/>
  <c r="V2" i="4"/>
  <c r="T2" i="4"/>
  <c r="R2" i="4"/>
  <c r="P2" i="4"/>
  <c r="N2" i="4"/>
  <c r="L2" i="4"/>
  <c r="J2" i="4"/>
  <c r="H2" i="4"/>
  <c r="F2" i="4"/>
  <c r="D2" i="4"/>
  <c r="V4" i="3"/>
  <c r="T4" i="3"/>
  <c r="R4" i="3"/>
  <c r="P4" i="3"/>
  <c r="N4" i="3"/>
  <c r="L4" i="3"/>
  <c r="J4" i="3"/>
  <c r="H4" i="3"/>
  <c r="F4" i="3"/>
  <c r="D4" i="3"/>
  <c r="V3" i="3"/>
  <c r="V5" i="3" s="1"/>
  <c r="T3" i="3"/>
  <c r="T5" i="3" s="1"/>
  <c r="R3" i="3"/>
  <c r="R5" i="3" s="1"/>
  <c r="P3" i="3"/>
  <c r="P5" i="3" s="1"/>
  <c r="N3" i="3"/>
  <c r="N5" i="3" s="1"/>
  <c r="L3" i="3"/>
  <c r="L5" i="3" s="1"/>
  <c r="J3" i="3"/>
  <c r="J5" i="3" s="1"/>
  <c r="H3" i="3"/>
  <c r="H5" i="3" s="1"/>
  <c r="F3" i="3"/>
  <c r="F5" i="3" s="1"/>
  <c r="D3" i="3"/>
  <c r="D5" i="3" s="1"/>
  <c r="X5" i="3" s="1"/>
  <c r="V2" i="3"/>
  <c r="T2" i="3"/>
  <c r="R2" i="3"/>
  <c r="P2" i="3"/>
  <c r="N2" i="3"/>
  <c r="L2" i="3"/>
  <c r="J2" i="3"/>
  <c r="H2" i="3"/>
  <c r="F2" i="3"/>
  <c r="D2" i="3"/>
  <c r="F9" i="3"/>
  <c r="D8" i="3"/>
  <c r="F8" i="3"/>
  <c r="H8" i="3"/>
  <c r="J8" i="3"/>
  <c r="L8" i="3"/>
  <c r="D9" i="3"/>
  <c r="H9" i="3"/>
  <c r="J9" i="3"/>
  <c r="L9" i="3"/>
  <c r="D10" i="3"/>
  <c r="F10" i="3"/>
  <c r="H10" i="3"/>
  <c r="J10" i="3"/>
  <c r="L10" i="3"/>
  <c r="D11" i="3"/>
  <c r="F11" i="3"/>
  <c r="H11" i="3"/>
  <c r="J11" i="3"/>
  <c r="L11" i="3"/>
  <c r="X11" i="3"/>
  <c r="L16" i="4"/>
  <c r="J16" i="4"/>
  <c r="H16" i="4"/>
  <c r="F16" i="4"/>
  <c r="D16" i="4"/>
  <c r="L15" i="4"/>
  <c r="L17" i="4" s="1"/>
  <c r="J15" i="4"/>
  <c r="J17" i="4" s="1"/>
  <c r="H15" i="4"/>
  <c r="H17" i="4" s="1"/>
  <c r="F15" i="4"/>
  <c r="F17" i="4" s="1"/>
  <c r="D15" i="4"/>
  <c r="D17" i="4" s="1"/>
  <c r="L14" i="4"/>
  <c r="J14" i="4"/>
  <c r="H14" i="4"/>
  <c r="F14" i="4"/>
  <c r="D14" i="4"/>
  <c r="F11" i="4"/>
  <c r="D11" i="4"/>
  <c r="L10" i="4"/>
  <c r="L11" i="4" s="1"/>
  <c r="J10" i="4"/>
  <c r="J11" i="4" s="1"/>
  <c r="H10" i="4"/>
  <c r="H11" i="4" s="1"/>
  <c r="F10" i="4"/>
  <c r="D10" i="4"/>
  <c r="L9" i="4"/>
  <c r="J9" i="4"/>
  <c r="H9" i="4"/>
  <c r="F9" i="4"/>
  <c r="D9" i="4"/>
  <c r="L8" i="4"/>
  <c r="J8" i="4"/>
  <c r="H8" i="4"/>
  <c r="F8" i="4"/>
  <c r="D8" i="4"/>
  <c r="L16" i="3"/>
  <c r="J16" i="3"/>
  <c r="H16" i="3"/>
  <c r="F16" i="3"/>
  <c r="D16" i="3"/>
  <c r="L15" i="3"/>
  <c r="L17" i="3" s="1"/>
  <c r="J15" i="3"/>
  <c r="J17" i="3" s="1"/>
  <c r="H15" i="3"/>
  <c r="H17" i="3" s="1"/>
  <c r="F15" i="3"/>
  <c r="F17" i="3" s="1"/>
  <c r="D15" i="3"/>
  <c r="D17" i="3" s="1"/>
  <c r="L14" i="3"/>
  <c r="J14" i="3"/>
  <c r="H14" i="3"/>
  <c r="F14" i="3"/>
  <c r="D14" i="3"/>
  <c r="AC10" i="2"/>
  <c r="L16" i="2"/>
  <c r="J16" i="2"/>
  <c r="H16" i="2"/>
  <c r="F16" i="2"/>
  <c r="D16" i="2"/>
  <c r="L15" i="2"/>
  <c r="J15" i="2"/>
  <c r="J17" i="2" s="1"/>
  <c r="H15" i="2"/>
  <c r="H17" i="2" s="1"/>
  <c r="F15" i="2"/>
  <c r="F17" i="2" s="1"/>
  <c r="D15" i="2"/>
  <c r="L14" i="2"/>
  <c r="J14" i="2"/>
  <c r="H14" i="2"/>
  <c r="F14" i="2"/>
  <c r="D14" i="2"/>
  <c r="L10" i="2"/>
  <c r="J10" i="2"/>
  <c r="H10" i="2"/>
  <c r="F10" i="2"/>
  <c r="D10" i="2"/>
  <c r="L9" i="2"/>
  <c r="J9" i="2"/>
  <c r="H9" i="2"/>
  <c r="F9" i="2"/>
  <c r="D9" i="2"/>
  <c r="L8" i="2"/>
  <c r="J8" i="2"/>
  <c r="H8" i="2"/>
  <c r="F8" i="2"/>
  <c r="D8" i="2"/>
  <c r="P5" i="2"/>
  <c r="N5" i="2"/>
  <c r="L5" i="2"/>
  <c r="J5" i="2"/>
  <c r="H5" i="2"/>
  <c r="F5" i="2"/>
  <c r="D5" i="2"/>
  <c r="V4" i="2"/>
  <c r="V5" i="2" s="1"/>
  <c r="T4" i="2"/>
  <c r="T5" i="2" s="1"/>
  <c r="R4" i="2"/>
  <c r="R5" i="2" s="1"/>
  <c r="P4" i="2"/>
  <c r="N4" i="2"/>
  <c r="L4" i="2"/>
  <c r="J4" i="2"/>
  <c r="H4" i="2"/>
  <c r="F4" i="2"/>
  <c r="D4" i="2"/>
  <c r="V3" i="2"/>
  <c r="T3" i="2"/>
  <c r="R3" i="2"/>
  <c r="P3" i="2"/>
  <c r="N3" i="2"/>
  <c r="L3" i="2"/>
  <c r="J3" i="2"/>
  <c r="H3" i="2"/>
  <c r="F3" i="2"/>
  <c r="D3" i="2"/>
  <c r="V2" i="2"/>
  <c r="T2" i="2"/>
  <c r="R2" i="2"/>
  <c r="P2" i="2"/>
  <c r="N2" i="2"/>
  <c r="L2" i="2"/>
  <c r="J2" i="2"/>
  <c r="H2" i="2"/>
  <c r="F2" i="2"/>
  <c r="D2" i="2"/>
  <c r="AC12" i="1"/>
  <c r="AC11" i="1"/>
  <c r="AC10" i="1"/>
  <c r="X17" i="1"/>
  <c r="V28" i="1"/>
  <c r="T28" i="1"/>
  <c r="R28" i="1"/>
  <c r="P28" i="1"/>
  <c r="N28" i="1"/>
  <c r="L28" i="1"/>
  <c r="J28" i="1"/>
  <c r="H28" i="1"/>
  <c r="F28" i="1"/>
  <c r="D28" i="1"/>
  <c r="V27" i="1"/>
  <c r="T27" i="1"/>
  <c r="R27" i="1"/>
  <c r="P27" i="1"/>
  <c r="N27" i="1"/>
  <c r="L27" i="1"/>
  <c r="J27" i="1"/>
  <c r="H27" i="1"/>
  <c r="F27" i="1"/>
  <c r="D27" i="1"/>
  <c r="V26" i="1"/>
  <c r="T26" i="1"/>
  <c r="R26" i="1"/>
  <c r="P26" i="1"/>
  <c r="N26" i="1"/>
  <c r="L26" i="1"/>
  <c r="J26" i="1"/>
  <c r="H26" i="1"/>
  <c r="F26" i="1"/>
  <c r="D26" i="1"/>
  <c r="V16" i="1"/>
  <c r="V15" i="1"/>
  <c r="V14" i="1"/>
  <c r="T16" i="1"/>
  <c r="T15" i="1"/>
  <c r="T17" i="1" s="1"/>
  <c r="T14" i="1"/>
  <c r="R16" i="1"/>
  <c r="R15" i="1"/>
  <c r="R14" i="1"/>
  <c r="P16" i="1"/>
  <c r="P15" i="1"/>
  <c r="P14" i="1"/>
  <c r="N16" i="1"/>
  <c r="N15" i="1"/>
  <c r="N17" i="1" s="1"/>
  <c r="N14" i="1"/>
  <c r="L16" i="1"/>
  <c r="L15" i="1"/>
  <c r="L14" i="1"/>
  <c r="J16" i="1"/>
  <c r="J15" i="1"/>
  <c r="J17" i="1" s="1"/>
  <c r="J14" i="1"/>
  <c r="AC9" i="1"/>
  <c r="X11" i="1"/>
  <c r="AC8" i="1"/>
  <c r="V10" i="1"/>
  <c r="V9" i="1"/>
  <c r="V11" i="1" s="1"/>
  <c r="V8" i="1"/>
  <c r="T10" i="1"/>
  <c r="T9" i="1"/>
  <c r="T8" i="1"/>
  <c r="R10" i="1"/>
  <c r="R9" i="1"/>
  <c r="R11" i="1" s="1"/>
  <c r="R8" i="1"/>
  <c r="P10" i="1"/>
  <c r="P9" i="1"/>
  <c r="P8" i="1"/>
  <c r="N10" i="1"/>
  <c r="N9" i="1"/>
  <c r="N8" i="1"/>
  <c r="L10" i="1"/>
  <c r="L9" i="1"/>
  <c r="L11" i="1" s="1"/>
  <c r="L8" i="1"/>
  <c r="J10" i="1"/>
  <c r="J9" i="1"/>
  <c r="J11" i="1" s="1"/>
  <c r="J8" i="1"/>
  <c r="V4" i="1"/>
  <c r="V3" i="1"/>
  <c r="V5" i="1" s="1"/>
  <c r="X5" i="1" s="1"/>
  <c r="V2" i="1"/>
  <c r="T4" i="1"/>
  <c r="R4" i="1"/>
  <c r="P4" i="1"/>
  <c r="T3" i="1"/>
  <c r="R3" i="1"/>
  <c r="R5" i="1" s="1"/>
  <c r="P3" i="1"/>
  <c r="P5" i="1" s="1"/>
  <c r="T2" i="1"/>
  <c r="R2" i="1"/>
  <c r="P2" i="1"/>
  <c r="N4" i="1"/>
  <c r="L4" i="1"/>
  <c r="J4" i="1"/>
  <c r="N3" i="1"/>
  <c r="N5" i="1" s="1"/>
  <c r="L3" i="1"/>
  <c r="L5" i="1" s="1"/>
  <c r="J3" i="1"/>
  <c r="N2" i="1"/>
  <c r="L2" i="1"/>
  <c r="J2" i="1"/>
  <c r="H4" i="1"/>
  <c r="F4" i="1"/>
  <c r="D4" i="1"/>
  <c r="H3" i="1"/>
  <c r="F3" i="1"/>
  <c r="D3" i="1"/>
  <c r="H2" i="1"/>
  <c r="F2" i="1"/>
  <c r="D2" i="1"/>
  <c r="H22" i="1"/>
  <c r="F22" i="1"/>
  <c r="D22" i="1"/>
  <c r="H21" i="1"/>
  <c r="F21" i="1"/>
  <c r="D21" i="1"/>
  <c r="H20" i="1"/>
  <c r="F20" i="1"/>
  <c r="D20" i="1"/>
  <c r="H16" i="1"/>
  <c r="F16" i="1"/>
  <c r="D16" i="1"/>
  <c r="H15" i="1"/>
  <c r="F15" i="1"/>
  <c r="D15" i="1"/>
  <c r="H14" i="1"/>
  <c r="F14" i="1"/>
  <c r="D14" i="1"/>
  <c r="H10" i="1"/>
  <c r="F10" i="1"/>
  <c r="D10" i="1"/>
  <c r="H9" i="1"/>
  <c r="F9" i="1"/>
  <c r="D9" i="1"/>
  <c r="H8" i="1"/>
  <c r="F8" i="1"/>
  <c r="D8" i="1"/>
  <c r="X17" i="5" l="1"/>
  <c r="AB10" i="5" s="1"/>
  <c r="AC10" i="5"/>
  <c r="AB8" i="5"/>
  <c r="AC8" i="5"/>
  <c r="AC9" i="5"/>
  <c r="AC8" i="3"/>
  <c r="AC8" i="4"/>
  <c r="X11" i="4"/>
  <c r="AB9" i="4" s="1"/>
  <c r="X17" i="4"/>
  <c r="AB10" i="4" s="1"/>
  <c r="AC10" i="4"/>
  <c r="AC9" i="4"/>
  <c r="AC9" i="3"/>
  <c r="X17" i="3"/>
  <c r="AB10" i="3" s="1"/>
  <c r="AC10" i="3"/>
  <c r="AB9" i="3"/>
  <c r="L17" i="2"/>
  <c r="D17" i="2"/>
  <c r="L11" i="2"/>
  <c r="J11" i="2"/>
  <c r="H11" i="2"/>
  <c r="F11" i="2"/>
  <c r="D11" i="2"/>
  <c r="AC8" i="2"/>
  <c r="X5" i="2"/>
  <c r="V29" i="1"/>
  <c r="T29" i="1"/>
  <c r="R29" i="1"/>
  <c r="P29" i="1"/>
  <c r="N29" i="1"/>
  <c r="L29" i="1"/>
  <c r="J29" i="1"/>
  <c r="H29" i="1"/>
  <c r="F29" i="1"/>
  <c r="D29" i="1"/>
  <c r="V17" i="1"/>
  <c r="R17" i="1"/>
  <c r="P17" i="1"/>
  <c r="L17" i="1"/>
  <c r="T11" i="1"/>
  <c r="P11" i="1"/>
  <c r="N11" i="1"/>
  <c r="H11" i="1"/>
  <c r="J5" i="1"/>
  <c r="F23" i="1"/>
  <c r="T5" i="1"/>
  <c r="F5" i="1"/>
  <c r="H5" i="1"/>
  <c r="D11" i="1"/>
  <c r="F17" i="1"/>
  <c r="H17" i="1"/>
  <c r="H23" i="1"/>
  <c r="D23" i="1"/>
  <c r="X23" i="1" s="1"/>
  <c r="D5" i="1"/>
  <c r="F11" i="1"/>
  <c r="D17" i="1"/>
  <c r="AB8" i="4" l="1"/>
  <c r="AB8" i="3"/>
  <c r="X17" i="2"/>
  <c r="AB10" i="2" s="1"/>
  <c r="X11" i="2"/>
  <c r="AB9" i="2" s="1"/>
  <c r="AC9" i="2"/>
  <c r="X29" i="1"/>
  <c r="AB12" i="1" s="1"/>
  <c r="AB9" i="1"/>
  <c r="AB11" i="1"/>
  <c r="AB8" i="1"/>
  <c r="AB10" i="1"/>
</calcChain>
</file>

<file path=xl/sharedStrings.xml><?xml version="1.0" encoding="utf-8"?>
<sst xmlns="http://schemas.openxmlformats.org/spreadsheetml/2006/main" count="154" uniqueCount="31">
  <si>
    <t>D7</t>
  </si>
  <si>
    <t>d1</t>
  </si>
  <si>
    <t>B6</t>
  </si>
  <si>
    <t>D6</t>
  </si>
  <si>
    <t>C6</t>
  </si>
  <si>
    <t>B5</t>
  </si>
  <si>
    <t>C5</t>
  </si>
  <si>
    <t>B4</t>
  </si>
  <si>
    <t>C4</t>
  </si>
  <si>
    <t>B2</t>
  </si>
  <si>
    <t>C2</t>
  </si>
  <si>
    <t>B3</t>
  </si>
  <si>
    <t>C3</t>
  </si>
  <si>
    <t>Split0</t>
  </si>
  <si>
    <t>Split1</t>
  </si>
  <si>
    <t>Split2</t>
  </si>
  <si>
    <t>Split3</t>
  </si>
  <si>
    <t>Split4</t>
  </si>
  <si>
    <t>E6</t>
  </si>
  <si>
    <t>d2</t>
  </si>
  <si>
    <t>d3</t>
  </si>
  <si>
    <t>D2</t>
  </si>
  <si>
    <t>D3</t>
  </si>
  <si>
    <t>D4</t>
  </si>
  <si>
    <t>D5</t>
  </si>
  <si>
    <t>E2</t>
  </si>
  <si>
    <t>E3</t>
  </si>
  <si>
    <t>E4</t>
  </si>
  <si>
    <t>E5</t>
  </si>
  <si>
    <t>Treatment Start</t>
  </si>
  <si>
    <t>Actually split 0 is the first split, so for presentation purposes we add 1 to every split # in this results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</si>
</sst>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Sheet1!$AB$1:$AB$2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Sheet1!$AC$12:$AC$17</c:f>
                <c:numCache>
                  <c:formatCode>General</c:formatCode>
                  <c:ptCount val="6"/>
                  <c:pt idx="0">
                    <c:v>9.641352593040689E-2</c:v>
                  </c:pt>
                </c:numCache>
              </c:numRef>
            </c:plus>
            <c:minus>
              <c:numRef>
                <c:f>Sheet1!$AC$12:$AC$17</c:f>
                <c:numCache>
                  <c:formatCode>General</c:formatCode>
                  <c:ptCount val="6"/>
                  <c:pt idx="0">
                    <c:v>9.641352593040689E-2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Sheet1!$AA$12:$AA$17</c:f>
              <c:numCache>
                <c:formatCode>0.00</c:formatCode>
                <c:ptCount val="6"/>
                <c:pt idx="0" formatCode="General">
                  <c:v>5</c:v>
                </c:pt>
              </c:numCache>
            </c:numRef>
          </c:cat>
          <c:val>
            <c:numRef>
              <c:f>Sheet1!$AB$12:$AB$17</c:f>
              <c:numCache>
                <c:formatCode>0.0000000</c:formatCode>
                <c:ptCount val="6"/>
                <c:pt idx="0">
                  <c:v>0.18807391986292321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A-4784-A9E5-360E4C7A4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026959504"/>
        <c:axId val="1026959920"/>
      </c:lineChart>
      <c:catAx>
        <c:axId val="102695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G418 concentration [mg/ml]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920"/>
        <c:crosses val="autoZero"/>
        <c:auto val="1"/>
        <c:lblAlgn val="ctr"/>
        <c:lblOffset val="100"/>
        <c:noMultiLvlLbl val="0"/>
      </c:catAx>
      <c:valAx>
        <c:axId val="10269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drop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 after treatment start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Sheet1!$AC$8:$AC$19</c:f>
                <c:numCache>
                  <c:formatCode>General</c:formatCode>
                  <c:ptCount val="12"/>
                  <c:pt idx="0">
                    <c:v>0.16564801189407999</c:v>
                  </c:pt>
                  <c:pt idx="1">
                    <c:v>8.3226739563681998E-2</c:v>
                  </c:pt>
                  <c:pt idx="2">
                    <c:v>2.9295895576154283E-2</c:v>
                  </c:pt>
                  <c:pt idx="3">
                    <c:v>5.4703052832346923E-2</c:v>
                  </c:pt>
                  <c:pt idx="4">
                    <c:v>9.641352593040689E-2</c:v>
                  </c:pt>
                </c:numCache>
              </c:numRef>
            </c:plus>
            <c:minus>
              <c:numRef>
                <c:f>Sheet1!$AC$8:$AC$19</c:f>
                <c:numCache>
                  <c:formatCode>General</c:formatCode>
                  <c:ptCount val="12"/>
                  <c:pt idx="0">
                    <c:v>0.16564801189407999</c:v>
                  </c:pt>
                  <c:pt idx="1">
                    <c:v>8.3226739563681998E-2</c:v>
                  </c:pt>
                  <c:pt idx="2">
                    <c:v>2.9295895576154283E-2</c:v>
                  </c:pt>
                  <c:pt idx="3">
                    <c:v>5.4703052832346923E-2</c:v>
                  </c:pt>
                  <c:pt idx="4">
                    <c:v>9.641352593040689E-2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Sheet1!$AA$8:$AA$12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Sheet1!$AB$8:$AB$12</c:f>
              <c:numCache>
                <c:formatCode>0.0000000</c:formatCode>
                <c:ptCount val="5"/>
                <c:pt idx="0">
                  <c:v>0.41233413801310881</c:v>
                </c:pt>
                <c:pt idx="1">
                  <c:v>0.27827661418372068</c:v>
                </c:pt>
                <c:pt idx="2">
                  <c:v>0.10614232848068479</c:v>
                </c:pt>
                <c:pt idx="3">
                  <c:v>0.2960278653058091</c:v>
                </c:pt>
                <c:pt idx="4">
                  <c:v>0.18807391986292321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4C-4CDD-A4C0-02AF60826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069520"/>
        <c:axId val="793468192"/>
      </c:scatterChart>
      <c:valAx>
        <c:axId val="749069520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Split after Thawing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68192"/>
        <c:crosses val="autoZero"/>
        <c:crossBetween val="midCat"/>
      </c:valAx>
      <c:valAx>
        <c:axId val="793468192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Drop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069520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Split0!$AB$1:$AB$2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Split0!$AC$12:$AC$17</c:f>
                <c:numCache>
                  <c:formatCode>General</c:formatCode>
                  <c:ptCount val="6"/>
                </c:numCache>
              </c:numRef>
            </c:plus>
            <c:minus>
              <c:numRef>
                <c:f>Split0!$AC$12:$AC$17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Split0!$AA$12:$AA$17</c:f>
              <c:numCache>
                <c:formatCode>0.00</c:formatCode>
                <c:ptCount val="6"/>
              </c:numCache>
            </c:numRef>
          </c:cat>
          <c:val>
            <c:numRef>
              <c:f>Split0!$AB$12:$AB$17</c:f>
              <c:numCache>
                <c:formatCode>0.0000000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F-4126-B07D-01E5A88B6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026959504"/>
        <c:axId val="1026959920"/>
      </c:lineChart>
      <c:catAx>
        <c:axId val="102695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G418 concentration [mg/ml]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920"/>
        <c:crosses val="autoZero"/>
        <c:auto val="1"/>
        <c:lblAlgn val="ctr"/>
        <c:lblOffset val="100"/>
        <c:noMultiLvlLbl val="0"/>
      </c:catAx>
      <c:valAx>
        <c:axId val="10269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drop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Split0!$AC$8:$AC$19</c:f>
                <c:numCache>
                  <c:formatCode>General</c:formatCode>
                  <c:ptCount val="12"/>
                  <c:pt idx="0">
                    <c:v>0.16564801189407999</c:v>
                  </c:pt>
                  <c:pt idx="1">
                    <c:v>2.0753548134834356E-2</c:v>
                  </c:pt>
                  <c:pt idx="2">
                    <c:v>4.101170964464556E-2</c:v>
                  </c:pt>
                </c:numCache>
              </c:numRef>
            </c:plus>
            <c:minus>
              <c:numRef>
                <c:f>Split0!$AC$8:$AC$19</c:f>
                <c:numCache>
                  <c:formatCode>General</c:formatCode>
                  <c:ptCount val="12"/>
                  <c:pt idx="0">
                    <c:v>0.16564801189407999</c:v>
                  </c:pt>
                  <c:pt idx="1">
                    <c:v>2.0753548134834356E-2</c:v>
                  </c:pt>
                  <c:pt idx="2">
                    <c:v>4.101170964464556E-2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Split0!$AA$8:$AA$12</c:f>
              <c:numCache>
                <c:formatCode>0.00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Split0!$AB$8:$AB$12</c:f>
              <c:numCache>
                <c:formatCode>0.0000000</c:formatCode>
                <c:ptCount val="5"/>
                <c:pt idx="0">
                  <c:v>0.41233413801310881</c:v>
                </c:pt>
                <c:pt idx="1">
                  <c:v>0.22433023992163942</c:v>
                </c:pt>
                <c:pt idx="2">
                  <c:v>-9.9128206400774535E-2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14-40A3-8D85-22FE514CB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069520"/>
        <c:axId val="793468192"/>
      </c:scatterChart>
      <c:valAx>
        <c:axId val="7490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Split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68192"/>
        <c:crosses val="autoZero"/>
        <c:crossBetween val="midCat"/>
      </c:valAx>
      <c:valAx>
        <c:axId val="7934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drop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06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Split1!$AB$1:$AB$2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Split1!$AC$12:$AC$17</c:f>
                <c:numCache>
                  <c:formatCode>General</c:formatCode>
                  <c:ptCount val="6"/>
                </c:numCache>
              </c:numRef>
            </c:plus>
            <c:minus>
              <c:numRef>
                <c:f>Split1!$AC$12:$AC$17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Split1!$AA$12:$AA$17</c:f>
              <c:numCache>
                <c:formatCode>0.00</c:formatCode>
                <c:ptCount val="6"/>
              </c:numCache>
            </c:numRef>
          </c:cat>
          <c:val>
            <c:numRef>
              <c:f>Split1!$AB$12:$AB$17</c:f>
              <c:numCache>
                <c:formatCode>0.0000000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2-4787-B320-91248BD4C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026959504"/>
        <c:axId val="1026959920"/>
      </c:lineChart>
      <c:catAx>
        <c:axId val="102695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G418 concentration [mg/ml]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920"/>
        <c:crosses val="autoZero"/>
        <c:auto val="1"/>
        <c:lblAlgn val="ctr"/>
        <c:lblOffset val="100"/>
        <c:noMultiLvlLbl val="0"/>
      </c:catAx>
      <c:valAx>
        <c:axId val="10269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drop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Split1!$AC$8:$AC$19</c:f>
                <c:numCache>
                  <c:formatCode>General</c:formatCode>
                  <c:ptCount val="12"/>
                  <c:pt idx="0">
                    <c:v>8.3226739563681998E-2</c:v>
                  </c:pt>
                  <c:pt idx="1">
                    <c:v>5.4486404405262166E-2</c:v>
                  </c:pt>
                  <c:pt idx="2">
                    <c:v>0</c:v>
                  </c:pt>
                </c:numCache>
              </c:numRef>
            </c:plus>
            <c:minus>
              <c:numRef>
                <c:f>Split1!$AC$8:$AC$19</c:f>
                <c:numCache>
                  <c:formatCode>General</c:formatCode>
                  <c:ptCount val="12"/>
                  <c:pt idx="0">
                    <c:v>8.3226739563681998E-2</c:v>
                  </c:pt>
                  <c:pt idx="1">
                    <c:v>5.4486404405262166E-2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Split1!$AA$8:$AA$9</c:f>
              <c:numCache>
                <c:formatCode>0.00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Split1!$AB$8:$AB$9</c:f>
              <c:numCache>
                <c:formatCode>0.0000000</c:formatCode>
                <c:ptCount val="2"/>
                <c:pt idx="0">
                  <c:v>0.27827661418372068</c:v>
                </c:pt>
                <c:pt idx="1">
                  <c:v>0.10543228475418705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4A-401D-8346-F8ECBD8A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069520"/>
        <c:axId val="793468192"/>
      </c:scatterChart>
      <c:valAx>
        <c:axId val="7490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Split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68192"/>
        <c:crosses val="autoZero"/>
        <c:crossBetween val="midCat"/>
      </c:valAx>
      <c:valAx>
        <c:axId val="7934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drop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06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Split2!$AB$1:$AB$2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Split2!$AC$12:$AC$17</c:f>
                <c:numCache>
                  <c:formatCode>General</c:formatCode>
                  <c:ptCount val="6"/>
                </c:numCache>
              </c:numRef>
            </c:plus>
            <c:minus>
              <c:numRef>
                <c:f>Split2!$AC$12:$AC$17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Split2!$AA$12:$AA$17</c:f>
              <c:numCache>
                <c:formatCode>0.00</c:formatCode>
                <c:ptCount val="6"/>
              </c:numCache>
            </c:numRef>
          </c:cat>
          <c:val>
            <c:numRef>
              <c:f>Split2!$AB$12:$AB$17</c:f>
              <c:numCache>
                <c:formatCode>0.0000000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58-413D-BA9E-AC6088E20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026959504"/>
        <c:axId val="1026959920"/>
      </c:lineChart>
      <c:catAx>
        <c:axId val="102695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G418 concentration [mg/ml]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920"/>
        <c:crosses val="autoZero"/>
        <c:auto val="1"/>
        <c:lblAlgn val="ctr"/>
        <c:lblOffset val="100"/>
        <c:noMultiLvlLbl val="0"/>
      </c:catAx>
      <c:valAx>
        <c:axId val="10269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drop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Split2!$AC$8:$AC$19</c:f>
                <c:numCache>
                  <c:formatCode>General</c:formatCode>
                  <c:ptCount val="12"/>
                  <c:pt idx="0">
                    <c:v>2.9295895576154283E-2</c:v>
                  </c:pt>
                  <c:pt idx="1">
                    <c:v>5.0936831094450991E-2</c:v>
                  </c:pt>
                  <c:pt idx="2">
                    <c:v>0</c:v>
                  </c:pt>
                </c:numCache>
              </c:numRef>
            </c:plus>
            <c:minus>
              <c:numRef>
                <c:f>Split2!$AC$8:$AC$19</c:f>
                <c:numCache>
                  <c:formatCode>General</c:formatCode>
                  <c:ptCount val="12"/>
                  <c:pt idx="0">
                    <c:v>2.9295895576154283E-2</c:v>
                  </c:pt>
                  <c:pt idx="1">
                    <c:v>5.0936831094450991E-2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Split2!$AA$8:$AA$9</c:f>
              <c:numCache>
                <c:formatCode>0.00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Split2!$AB$8:$AB$9</c:f>
              <c:numCache>
                <c:formatCode>0.0000000</c:formatCode>
                <c:ptCount val="2"/>
                <c:pt idx="0">
                  <c:v>0.10614232848068479</c:v>
                </c:pt>
                <c:pt idx="1">
                  <c:v>3.9924957958030881E-2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4-45F6-9D0B-7301F80C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069520"/>
        <c:axId val="793468192"/>
      </c:scatterChart>
      <c:valAx>
        <c:axId val="7490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Split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68192"/>
        <c:crosses val="autoZero"/>
        <c:crossBetween val="midCat"/>
      </c:valAx>
      <c:valAx>
        <c:axId val="7934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drop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06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Split4!$AB$1:$AB$2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Split4!$AC$12:$AC$17</c:f>
                <c:numCache>
                  <c:formatCode>General</c:formatCode>
                  <c:ptCount val="6"/>
                </c:numCache>
              </c:numRef>
            </c:plus>
            <c:minus>
              <c:numRef>
                <c:f>Split4!$AC$12:$AC$17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Split4!$AA$12:$AA$17</c:f>
              <c:numCache>
                <c:formatCode>0.00</c:formatCode>
                <c:ptCount val="6"/>
              </c:numCache>
            </c:numRef>
          </c:cat>
          <c:val>
            <c:numRef>
              <c:f>Split4!$AB$12:$AB$17</c:f>
              <c:numCache>
                <c:formatCode>0.0000000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E-4576-96F1-49EF46D1F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026959504"/>
        <c:axId val="1026959920"/>
      </c:lineChart>
      <c:catAx>
        <c:axId val="102695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G418 concentration [mg/ml]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920"/>
        <c:crosses val="autoZero"/>
        <c:auto val="1"/>
        <c:lblAlgn val="ctr"/>
        <c:lblOffset val="100"/>
        <c:noMultiLvlLbl val="0"/>
      </c:catAx>
      <c:valAx>
        <c:axId val="10269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drop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Split4!$AC$8:$AC$19</c:f>
                <c:numCache>
                  <c:formatCode>General</c:formatCode>
                  <c:ptCount val="12"/>
                  <c:pt idx="0">
                    <c:v>9.641352593040689E-2</c:v>
                  </c:pt>
                  <c:pt idx="1">
                    <c:v>3.6188760670904846E-2</c:v>
                  </c:pt>
                  <c:pt idx="2">
                    <c:v>0</c:v>
                  </c:pt>
                </c:numCache>
              </c:numRef>
            </c:plus>
            <c:minus>
              <c:numRef>
                <c:f>Split4!$AC$8:$AC$19</c:f>
                <c:numCache>
                  <c:formatCode>General</c:formatCode>
                  <c:ptCount val="12"/>
                  <c:pt idx="0">
                    <c:v>9.641352593040689E-2</c:v>
                  </c:pt>
                  <c:pt idx="1">
                    <c:v>3.6188760670904846E-2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Split4!$AA$8:$AA$9</c:f>
              <c:numCache>
                <c:formatCode>0.00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Split4!$AB$8:$AB$9</c:f>
              <c:numCache>
                <c:formatCode>0.0000000</c:formatCode>
                <c:ptCount val="2"/>
                <c:pt idx="0">
                  <c:v>0.18807391986292321</c:v>
                </c:pt>
                <c:pt idx="1">
                  <c:v>2.1574353629874966E-2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2-4661-B725-855D2A60D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069520"/>
        <c:axId val="793468192"/>
      </c:scatterChart>
      <c:valAx>
        <c:axId val="7490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Split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68192"/>
        <c:crosses val="autoZero"/>
        <c:crossBetween val="midCat"/>
      </c:valAx>
      <c:valAx>
        <c:axId val="7934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drop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06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414369</xdr:colOff>
      <xdr:row>15</xdr:row>
      <xdr:rowOff>78564</xdr:rowOff>
    </xdr:from>
    <xdr:to>
      <xdr:col>56</xdr:col>
      <xdr:colOff>109569</xdr:colOff>
      <xdr:row>30</xdr:row>
      <xdr:rowOff>113489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97413F-A53E-4451-95D8-25652DB58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251398</xdr:colOff>
      <xdr:row>6</xdr:row>
      <xdr:rowOff>173704</xdr:rowOff>
    </xdr:from>
    <xdr:to>
      <xdr:col>35</xdr:col>
      <xdr:colOff>401849</xdr:colOff>
      <xdr:row>22</xdr:row>
      <xdr:rowOff>18129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865DB2-7550-47A5-B752-A54BBC125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414369</xdr:colOff>
      <xdr:row>15</xdr:row>
      <xdr:rowOff>78564</xdr:rowOff>
    </xdr:from>
    <xdr:to>
      <xdr:col>56</xdr:col>
      <xdr:colOff>109569</xdr:colOff>
      <xdr:row>30</xdr:row>
      <xdr:rowOff>113489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001A4-7A89-4CA9-B05C-C016C9D6C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9992</xdr:colOff>
      <xdr:row>15</xdr:row>
      <xdr:rowOff>52387</xdr:rowOff>
    </xdr:from>
    <xdr:to>
      <xdr:col>32</xdr:col>
      <xdr:colOff>467192</xdr:colOff>
      <xdr:row>30</xdr:row>
      <xdr:rowOff>87312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B3D6A2-F273-49DA-AD30-238BD9F0A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414369</xdr:colOff>
      <xdr:row>15</xdr:row>
      <xdr:rowOff>78564</xdr:rowOff>
    </xdr:from>
    <xdr:to>
      <xdr:col>56</xdr:col>
      <xdr:colOff>109569</xdr:colOff>
      <xdr:row>30</xdr:row>
      <xdr:rowOff>113489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2225C-DBE9-4FC0-B1DD-E27B6D636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309376</xdr:colOff>
      <xdr:row>12</xdr:row>
      <xdr:rowOff>41182</xdr:rowOff>
    </xdr:from>
    <xdr:to>
      <xdr:col>37</xdr:col>
      <xdr:colOff>4576</xdr:colOff>
      <xdr:row>27</xdr:row>
      <xdr:rowOff>76107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052621-E33D-4FCE-95C2-FCC164A06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414369</xdr:colOff>
      <xdr:row>15</xdr:row>
      <xdr:rowOff>78564</xdr:rowOff>
    </xdr:from>
    <xdr:to>
      <xdr:col>56</xdr:col>
      <xdr:colOff>109569</xdr:colOff>
      <xdr:row>30</xdr:row>
      <xdr:rowOff>113489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C682A-A933-4325-B06D-A6E424C8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152494</xdr:colOff>
      <xdr:row>12</xdr:row>
      <xdr:rowOff>115888</xdr:rowOff>
    </xdr:from>
    <xdr:to>
      <xdr:col>35</xdr:col>
      <xdr:colOff>460281</xdr:colOff>
      <xdr:row>27</xdr:row>
      <xdr:rowOff>150813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B289E7-2AAF-4C05-AD75-FF6F2EEA1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414369</xdr:colOff>
      <xdr:row>15</xdr:row>
      <xdr:rowOff>78564</xdr:rowOff>
    </xdr:from>
    <xdr:to>
      <xdr:col>56</xdr:col>
      <xdr:colOff>109569</xdr:colOff>
      <xdr:row>30</xdr:row>
      <xdr:rowOff>113489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34D7B-004E-43EF-A10C-FFC79AB7C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152494</xdr:colOff>
      <xdr:row>12</xdr:row>
      <xdr:rowOff>115888</xdr:rowOff>
    </xdr:from>
    <xdr:to>
      <xdr:col>35</xdr:col>
      <xdr:colOff>460281</xdr:colOff>
      <xdr:row>27</xdr:row>
      <xdr:rowOff>150813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7423D-EE22-489F-9F3D-8DEFB9F1A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FA80-AD10-4317-B005-DE240634F4BC}">
  <dimension ref="A1:AM29"/>
  <sheetViews>
    <sheetView topLeftCell="X4" zoomScale="115" zoomScaleNormal="115" workbookViewId="0">
      <selection activeCell="AM15" sqref="AM15"/>
    </sheetView>
  </sheetViews>
  <sheetFormatPr baseColWidth="10" defaultColWidth="8.7109375" defaultRowHeight="15" x14ac:dyDescent="0.25"/>
  <cols>
    <col min="28" max="28" width="15.140625" customWidth="1"/>
    <col min="39" max="39" width="10.5703125" bestFit="1" customWidth="1"/>
  </cols>
  <sheetData>
    <row r="1" spans="1:39" x14ac:dyDescent="0.25">
      <c r="C1" t="s">
        <v>9</v>
      </c>
      <c r="E1" t="s">
        <v>11</v>
      </c>
      <c r="G1" t="s">
        <v>7</v>
      </c>
      <c r="I1" t="s">
        <v>5</v>
      </c>
      <c r="K1" t="s">
        <v>2</v>
      </c>
      <c r="M1" t="s">
        <v>10</v>
      </c>
      <c r="O1" t="s">
        <v>12</v>
      </c>
      <c r="Q1" t="s">
        <v>8</v>
      </c>
      <c r="S1" t="s">
        <v>6</v>
      </c>
      <c r="U1" t="s">
        <v>4</v>
      </c>
    </row>
    <row r="2" spans="1:39" x14ac:dyDescent="0.25">
      <c r="A2" t="s">
        <v>13</v>
      </c>
      <c r="B2" t="s">
        <v>1</v>
      </c>
      <c r="C2">
        <v>6632</v>
      </c>
      <c r="D2">
        <f>C2/C2</f>
        <v>1</v>
      </c>
      <c r="E2">
        <v>6486</v>
      </c>
      <c r="F2">
        <f>E2/E2</f>
        <v>1</v>
      </c>
      <c r="G2">
        <v>6706</v>
      </c>
      <c r="H2">
        <f>G2/G2</f>
        <v>1</v>
      </c>
      <c r="I2">
        <v>6605</v>
      </c>
      <c r="J2">
        <f>I2/I2</f>
        <v>1</v>
      </c>
      <c r="K2">
        <v>6495</v>
      </c>
      <c r="L2">
        <f>K2/K2</f>
        <v>1</v>
      </c>
      <c r="M2">
        <v>5568</v>
      </c>
      <c r="N2">
        <f>M2/M2</f>
        <v>1</v>
      </c>
      <c r="O2">
        <v>6249</v>
      </c>
      <c r="P2">
        <f>O2/O2</f>
        <v>1</v>
      </c>
      <c r="Q2">
        <v>5940</v>
      </c>
      <c r="R2">
        <f>Q2/Q2</f>
        <v>1</v>
      </c>
      <c r="S2">
        <v>6262</v>
      </c>
      <c r="T2">
        <f>S2/S2</f>
        <v>1</v>
      </c>
      <c r="U2">
        <v>5439</v>
      </c>
      <c r="V2">
        <f>U2/U2</f>
        <v>1</v>
      </c>
      <c r="AA2" s="1"/>
      <c r="AB2" s="1"/>
    </row>
    <row r="3" spans="1:39" x14ac:dyDescent="0.25">
      <c r="C3">
        <v>7450</v>
      </c>
      <c r="D3">
        <f>C3/C2</f>
        <v>1.1233413751507841</v>
      </c>
      <c r="E3">
        <v>7817</v>
      </c>
      <c r="F3">
        <f>E3/E2</f>
        <v>1.2052112241751465</v>
      </c>
      <c r="G3">
        <v>7817</v>
      </c>
      <c r="H3">
        <f>G3/G2</f>
        <v>1.165672532060841</v>
      </c>
      <c r="I3">
        <v>7666</v>
      </c>
      <c r="J3">
        <f>I3/I2</f>
        <v>1.1606358819076457</v>
      </c>
      <c r="K3">
        <v>7862</v>
      </c>
      <c r="L3">
        <f>K3/K2</f>
        <v>1.2104695919938415</v>
      </c>
      <c r="M3">
        <v>7517</v>
      </c>
      <c r="N3">
        <f>M3/M2</f>
        <v>1.3500359195402298</v>
      </c>
      <c r="O3">
        <v>7206</v>
      </c>
      <c r="P3">
        <f>O3/O2</f>
        <v>1.1531445031204992</v>
      </c>
      <c r="Q3">
        <v>7448</v>
      </c>
      <c r="R3">
        <f>Q3/Q2</f>
        <v>1.2538720538720538</v>
      </c>
      <c r="S3">
        <v>7637</v>
      </c>
      <c r="T3">
        <f>S3/S2</f>
        <v>1.2195784094538487</v>
      </c>
      <c r="U3">
        <v>7088</v>
      </c>
      <c r="V3">
        <f>U3/U2</f>
        <v>1.3031807317521604</v>
      </c>
    </row>
    <row r="4" spans="1:39" x14ac:dyDescent="0.25">
      <c r="C4">
        <v>6020</v>
      </c>
      <c r="D4">
        <f>C4/C2</f>
        <v>0.90772014475271412</v>
      </c>
      <c r="E4">
        <v>5136</v>
      </c>
      <c r="F4">
        <f>E4/E2</f>
        <v>0.79185938945420908</v>
      </c>
      <c r="G4">
        <v>5651</v>
      </c>
      <c r="H4">
        <f>G4/G2</f>
        <v>0.84267819862809423</v>
      </c>
      <c r="I4">
        <v>5597</v>
      </c>
      <c r="J4">
        <f>I4/I2</f>
        <v>0.84738834216502645</v>
      </c>
      <c r="K4">
        <v>6248</v>
      </c>
      <c r="L4">
        <f>K4/K2</f>
        <v>0.96197074672825256</v>
      </c>
      <c r="M4">
        <v>6085</v>
      </c>
      <c r="N4">
        <f>M4/M2</f>
        <v>1.0928520114942528</v>
      </c>
      <c r="O4">
        <v>4137</v>
      </c>
      <c r="P4">
        <f>O4/O2</f>
        <v>0.66202592414786365</v>
      </c>
      <c r="Q4">
        <v>3396</v>
      </c>
      <c r="R4">
        <f>Q4/Q2</f>
        <v>0.57171717171717173</v>
      </c>
      <c r="S4">
        <v>3243</v>
      </c>
      <c r="T4">
        <f>S4/S2</f>
        <v>0.51788565953369525</v>
      </c>
      <c r="U4">
        <v>4491</v>
      </c>
      <c r="V4">
        <f>U4/U2</f>
        <v>0.82570325427468283</v>
      </c>
    </row>
    <row r="5" spans="1:39" x14ac:dyDescent="0.25">
      <c r="D5">
        <f>D3-D4</f>
        <v>0.21562123039807002</v>
      </c>
      <c r="F5">
        <f>F3-F4</f>
        <v>0.41335183472093739</v>
      </c>
      <c r="H5">
        <f>H3-H4</f>
        <v>0.32299433343274675</v>
      </c>
      <c r="J5">
        <f>J3-J4</f>
        <v>0.31324753974261921</v>
      </c>
      <c r="L5">
        <f>L3-L4</f>
        <v>0.24849884526558896</v>
      </c>
      <c r="N5">
        <f>N3-N4</f>
        <v>0.25718390804597702</v>
      </c>
      <c r="P5">
        <f>P3-P4</f>
        <v>0.49111857897263556</v>
      </c>
      <c r="R5">
        <f>R3-R4</f>
        <v>0.68215488215488207</v>
      </c>
      <c r="T5">
        <f>T3-T4</f>
        <v>0.7016927499201534</v>
      </c>
      <c r="V5">
        <f>V3-V4</f>
        <v>0.4774774774774776</v>
      </c>
      <c r="W5">
        <v>0</v>
      </c>
      <c r="X5">
        <f>AVERAGE(D5:V5)</f>
        <v>0.41233413801310881</v>
      </c>
    </row>
    <row r="6" spans="1:39" x14ac:dyDescent="0.25">
      <c r="AA6" t="s">
        <v>30</v>
      </c>
    </row>
    <row r="7" spans="1:39" x14ac:dyDescent="0.25">
      <c r="C7" t="s">
        <v>9</v>
      </c>
      <c r="E7" t="s">
        <v>11</v>
      </c>
      <c r="G7" t="s">
        <v>7</v>
      </c>
      <c r="I7" t="s">
        <v>5</v>
      </c>
      <c r="K7" t="s">
        <v>2</v>
      </c>
      <c r="M7" t="s">
        <v>10</v>
      </c>
      <c r="O7" t="s">
        <v>12</v>
      </c>
      <c r="Q7" t="s">
        <v>8</v>
      </c>
      <c r="S7" t="s">
        <v>6</v>
      </c>
      <c r="U7" t="s">
        <v>4</v>
      </c>
    </row>
    <row r="8" spans="1:39" x14ac:dyDescent="0.25">
      <c r="A8" t="s">
        <v>14</v>
      </c>
      <c r="B8" t="s">
        <v>1</v>
      </c>
      <c r="C8">
        <v>6400</v>
      </c>
      <c r="D8">
        <f>C8/C8</f>
        <v>1</v>
      </c>
      <c r="E8">
        <v>6616</v>
      </c>
      <c r="F8">
        <f>E8/E8</f>
        <v>1</v>
      </c>
      <c r="G8">
        <v>6577</v>
      </c>
      <c r="H8">
        <f>G8/G8</f>
        <v>1</v>
      </c>
      <c r="I8">
        <v>6330</v>
      </c>
      <c r="J8">
        <f>I8/I8</f>
        <v>1</v>
      </c>
      <c r="K8">
        <v>6589</v>
      </c>
      <c r="L8">
        <f>K8/K8</f>
        <v>1</v>
      </c>
      <c r="M8">
        <v>7611</v>
      </c>
      <c r="N8">
        <f>M8/M8</f>
        <v>1</v>
      </c>
      <c r="O8">
        <v>6239</v>
      </c>
      <c r="P8">
        <f>O8/O8</f>
        <v>1</v>
      </c>
      <c r="Q8">
        <v>6447</v>
      </c>
      <c r="R8">
        <f>Q8/Q8</f>
        <v>1</v>
      </c>
      <c r="S8">
        <v>6883</v>
      </c>
      <c r="T8">
        <f>S8/S8</f>
        <v>1</v>
      </c>
      <c r="U8">
        <v>6743</v>
      </c>
      <c r="V8">
        <f>U8/U8</f>
        <v>1</v>
      </c>
      <c r="AA8" s="3">
        <v>1</v>
      </c>
      <c r="AB8" s="2">
        <f>X5</f>
        <v>0.41233413801310881</v>
      </c>
      <c r="AC8">
        <f>_xlfn.STDEV.P(D5,F5,H5,J5,L5,N5,P5,R5,T5,V5)</f>
        <v>0.16564801189407999</v>
      </c>
    </row>
    <row r="9" spans="1:39" x14ac:dyDescent="0.25">
      <c r="C9">
        <v>9337</v>
      </c>
      <c r="D9">
        <f>C9/C8</f>
        <v>1.4589062500000001</v>
      </c>
      <c r="E9">
        <v>9419</v>
      </c>
      <c r="F9">
        <f>E9/E8</f>
        <v>1.4236698911729142</v>
      </c>
      <c r="G9">
        <v>9590</v>
      </c>
      <c r="H9">
        <f>G9/G8</f>
        <v>1.4581116010339061</v>
      </c>
      <c r="I9">
        <v>9271</v>
      </c>
      <c r="J9">
        <f>I9/I8</f>
        <v>1.4646129541864139</v>
      </c>
      <c r="K9">
        <v>9840</v>
      </c>
      <c r="L9">
        <f>K9/K8</f>
        <v>1.4933980877219608</v>
      </c>
      <c r="M9">
        <v>10662</v>
      </c>
      <c r="N9">
        <f>M9/M8</f>
        <v>1.4008671659440284</v>
      </c>
      <c r="O9">
        <v>9501</v>
      </c>
      <c r="P9">
        <f>O9/O8</f>
        <v>1.5228401987497997</v>
      </c>
      <c r="Q9">
        <v>9176</v>
      </c>
      <c r="R9">
        <f>Q9/Q8</f>
        <v>1.4232976578253451</v>
      </c>
      <c r="S9">
        <v>9639</v>
      </c>
      <c r="T9">
        <f>S9/S8</f>
        <v>1.4004067993607439</v>
      </c>
      <c r="U9">
        <v>9898</v>
      </c>
      <c r="V9">
        <f>U9/U8</f>
        <v>1.4678926293934451</v>
      </c>
      <c r="AA9" s="3">
        <v>2</v>
      </c>
      <c r="AB9" s="2">
        <f>X11</f>
        <v>0.27827661418372068</v>
      </c>
      <c r="AC9">
        <f>_xlfn.STDEV.P(D11,F11,H11,J11,L11,N11,P11,R11,T11,V11)</f>
        <v>8.3226739563681998E-2</v>
      </c>
      <c r="AL9" s="3"/>
      <c r="AM9" s="2"/>
    </row>
    <row r="10" spans="1:39" x14ac:dyDescent="0.25">
      <c r="C10">
        <v>7974</v>
      </c>
      <c r="D10">
        <f>C10/C8</f>
        <v>1.2459374999999999</v>
      </c>
      <c r="E10">
        <v>7690</v>
      </c>
      <c r="F10">
        <f>E10/E8</f>
        <v>1.1623337363966142</v>
      </c>
      <c r="G10">
        <v>7697</v>
      </c>
      <c r="H10">
        <f>G10/G8</f>
        <v>1.1702904059601642</v>
      </c>
      <c r="I10">
        <v>6993</v>
      </c>
      <c r="J10">
        <f>I10/I8</f>
        <v>1.104739336492891</v>
      </c>
      <c r="K10">
        <v>8203</v>
      </c>
      <c r="L10">
        <f>K10/K8</f>
        <v>1.2449537107300046</v>
      </c>
      <c r="M10">
        <v>6936</v>
      </c>
      <c r="N10">
        <f>M10/M8</f>
        <v>0.91131257390618836</v>
      </c>
      <c r="O10">
        <v>8266</v>
      </c>
      <c r="P10">
        <f>O10/O8</f>
        <v>1.3248918095848694</v>
      </c>
      <c r="Q10">
        <v>7536</v>
      </c>
      <c r="R10">
        <f>Q10/Q8</f>
        <v>1.1689157747789669</v>
      </c>
      <c r="S10">
        <v>8221</v>
      </c>
      <c r="T10">
        <f>S10/S8</f>
        <v>1.194391980241174</v>
      </c>
      <c r="U10">
        <v>8115</v>
      </c>
      <c r="V10">
        <f>U10/U8</f>
        <v>1.2034702654604776</v>
      </c>
      <c r="AA10" s="3">
        <v>3</v>
      </c>
      <c r="AB10" s="2">
        <f>X17</f>
        <v>0.10614232848068479</v>
      </c>
      <c r="AC10">
        <f>_xlfn.STDEV.P(D17,F17,H17,J17,L17,N17,P17,R17,T17,V17)</f>
        <v>2.9295895576154283E-2</v>
      </c>
      <c r="AL10" s="3"/>
      <c r="AM10" s="2"/>
    </row>
    <row r="11" spans="1:39" x14ac:dyDescent="0.25">
      <c r="D11">
        <f>D9-D10</f>
        <v>0.21296875000000015</v>
      </c>
      <c r="F11">
        <f>F9-F10</f>
        <v>0.26133615477630001</v>
      </c>
      <c r="H11">
        <f>H9-H10</f>
        <v>0.28782119507374193</v>
      </c>
      <c r="J11">
        <f>J9-J10</f>
        <v>0.35987361769352288</v>
      </c>
      <c r="L11">
        <f>L9-L10</f>
        <v>0.24844437699195621</v>
      </c>
      <c r="N11">
        <f>N9-N10</f>
        <v>0.48955459203784002</v>
      </c>
      <c r="P11">
        <f>P9-P10</f>
        <v>0.19794838916493029</v>
      </c>
      <c r="R11">
        <f>R9-R10</f>
        <v>0.25438188304637821</v>
      </c>
      <c r="T11">
        <f>T9-T10</f>
        <v>0.20601481911956987</v>
      </c>
      <c r="V11">
        <f>V9-V10</f>
        <v>0.26442236393296747</v>
      </c>
      <c r="W11">
        <v>1</v>
      </c>
      <c r="X11">
        <f>AVERAGE(D11:V11)</f>
        <v>0.27827661418372068</v>
      </c>
      <c r="AA11" s="3">
        <v>4</v>
      </c>
      <c r="AB11" s="2">
        <f>X23</f>
        <v>0.2960278653058091</v>
      </c>
      <c r="AC11">
        <f>_xlfn.STDEV.P(D23,F23,H23)</f>
        <v>5.4703052832346923E-2</v>
      </c>
      <c r="AL11" s="3"/>
      <c r="AM11" s="2"/>
    </row>
    <row r="12" spans="1:39" x14ac:dyDescent="0.25">
      <c r="AA12" s="3">
        <v>5</v>
      </c>
      <c r="AB12" s="2">
        <f>X29</f>
        <v>0.18807391986292321</v>
      </c>
      <c r="AC12">
        <f>_xlfn.STDEV.P(D29,F29,H29,J29,L29,N29,P29,R29,T29,V29)</f>
        <v>9.641352593040689E-2</v>
      </c>
      <c r="AL12" s="3"/>
      <c r="AM12" s="2"/>
    </row>
    <row r="13" spans="1:39" x14ac:dyDescent="0.25">
      <c r="C13" t="s">
        <v>9</v>
      </c>
      <c r="E13" t="s">
        <v>11</v>
      </c>
      <c r="G13" t="s">
        <v>7</v>
      </c>
      <c r="I13" t="s">
        <v>5</v>
      </c>
      <c r="K13" t="s">
        <v>2</v>
      </c>
      <c r="M13" t="s">
        <v>10</v>
      </c>
      <c r="O13" t="s">
        <v>12</v>
      </c>
      <c r="Q13" t="s">
        <v>8</v>
      </c>
      <c r="S13" t="s">
        <v>6</v>
      </c>
      <c r="U13" t="s">
        <v>4</v>
      </c>
      <c r="AA13" s="1"/>
      <c r="AB13" s="2"/>
      <c r="AL13" s="3"/>
      <c r="AM13" s="2"/>
    </row>
    <row r="14" spans="1:39" x14ac:dyDescent="0.25">
      <c r="A14" t="s">
        <v>15</v>
      </c>
      <c r="B14" t="s">
        <v>1</v>
      </c>
      <c r="C14">
        <v>6159</v>
      </c>
      <c r="D14">
        <f>C14/C14</f>
        <v>1</v>
      </c>
      <c r="E14">
        <v>6266</v>
      </c>
      <c r="F14">
        <f>E14/E14</f>
        <v>1</v>
      </c>
      <c r="G14">
        <v>5174</v>
      </c>
      <c r="H14">
        <f>G14/G14</f>
        <v>1</v>
      </c>
      <c r="I14">
        <v>6197</v>
      </c>
      <c r="J14">
        <f>I14/I14</f>
        <v>1</v>
      </c>
      <c r="K14">
        <v>6201</v>
      </c>
      <c r="L14">
        <f>K14/K14</f>
        <v>1</v>
      </c>
      <c r="M14">
        <v>5607</v>
      </c>
      <c r="N14">
        <f>M14/M14</f>
        <v>1</v>
      </c>
      <c r="O14">
        <v>4882</v>
      </c>
      <c r="P14">
        <f>O14/O14</f>
        <v>1</v>
      </c>
      <c r="Q14">
        <v>5360</v>
      </c>
      <c r="R14">
        <f>Q14/Q14</f>
        <v>1</v>
      </c>
      <c r="S14">
        <v>4718</v>
      </c>
      <c r="T14">
        <f>S14/S14</f>
        <v>1</v>
      </c>
      <c r="U14">
        <v>5271</v>
      </c>
      <c r="V14">
        <f>U14/U14</f>
        <v>1</v>
      </c>
      <c r="AA14" s="1"/>
      <c r="AB14" s="2"/>
    </row>
    <row r="15" spans="1:39" x14ac:dyDescent="0.25">
      <c r="C15">
        <v>8488</v>
      </c>
      <c r="D15">
        <f>C15/C14</f>
        <v>1.3781458028900795</v>
      </c>
      <c r="E15">
        <v>8791</v>
      </c>
      <c r="F15">
        <f>E15/E14</f>
        <v>1.402968400893712</v>
      </c>
      <c r="G15">
        <v>8327</v>
      </c>
      <c r="H15">
        <f>G15/G14</f>
        <v>1.6093931194433706</v>
      </c>
      <c r="I15">
        <v>8591</v>
      </c>
      <c r="J15">
        <f>I15/I14</f>
        <v>1.3863159593351622</v>
      </c>
      <c r="K15">
        <v>8727</v>
      </c>
      <c r="L15">
        <f>K15/K14</f>
        <v>1.4073536526366714</v>
      </c>
      <c r="M15">
        <v>7784</v>
      </c>
      <c r="N15">
        <f>M15/M14</f>
        <v>1.3882646691635456</v>
      </c>
      <c r="O15">
        <v>7581</v>
      </c>
      <c r="P15">
        <f>O15/O14</f>
        <v>1.5528471937730439</v>
      </c>
      <c r="Q15">
        <v>7711</v>
      </c>
      <c r="R15">
        <f>Q15/Q14</f>
        <v>1.4386194029850747</v>
      </c>
      <c r="S15">
        <v>7657</v>
      </c>
      <c r="T15">
        <f>S15/S14</f>
        <v>1.6229334463755829</v>
      </c>
      <c r="U15">
        <v>7885</v>
      </c>
      <c r="V15">
        <f>U15/U14</f>
        <v>1.4959210775943843</v>
      </c>
      <c r="AA15" s="1"/>
      <c r="AB15" s="2"/>
    </row>
    <row r="16" spans="1:39" x14ac:dyDescent="0.25">
      <c r="C16">
        <v>7758</v>
      </c>
      <c r="D16">
        <f>C16/C14</f>
        <v>1.2596200681928884</v>
      </c>
      <c r="E16">
        <v>8254</v>
      </c>
      <c r="F16">
        <f>E16/E14</f>
        <v>1.3172677944462177</v>
      </c>
      <c r="G16">
        <v>7800</v>
      </c>
      <c r="H16">
        <f>G16/G14</f>
        <v>1.5075376884422111</v>
      </c>
      <c r="I16">
        <v>8049</v>
      </c>
      <c r="J16">
        <f>I16/I14</f>
        <v>1.2988542843311279</v>
      </c>
      <c r="K16">
        <v>7680</v>
      </c>
      <c r="L16">
        <f>K16/K14</f>
        <v>1.2385099177552008</v>
      </c>
      <c r="M16">
        <v>6978</v>
      </c>
      <c r="N16">
        <f>M16/M14</f>
        <v>1.2445157838416265</v>
      </c>
      <c r="O16">
        <v>7088</v>
      </c>
      <c r="P16">
        <f>O16/O14</f>
        <v>1.451863990167964</v>
      </c>
      <c r="Q16">
        <v>7388</v>
      </c>
      <c r="R16">
        <f>Q16/Q14</f>
        <v>1.378358208955224</v>
      </c>
      <c r="S16">
        <v>7198</v>
      </c>
      <c r="T16">
        <f>S16/S14</f>
        <v>1.5256464603645612</v>
      </c>
      <c r="U16">
        <v>7375</v>
      </c>
      <c r="V16">
        <f>U16/U14</f>
        <v>1.3991652437867577</v>
      </c>
      <c r="AA16" s="1"/>
      <c r="AB16" s="2"/>
    </row>
    <row r="17" spans="1:28" x14ac:dyDescent="0.25">
      <c r="D17">
        <f>D15-D16</f>
        <v>0.11852573469719108</v>
      </c>
      <c r="F17">
        <f>F15-F16</f>
        <v>8.5700606447494332E-2</v>
      </c>
      <c r="H17">
        <f>H15-H16</f>
        <v>0.10185543100115946</v>
      </c>
      <c r="J17">
        <f>J15-J16</f>
        <v>8.7461675004034234E-2</v>
      </c>
      <c r="L17">
        <f>L15-L16</f>
        <v>0.16884373488147064</v>
      </c>
      <c r="N17">
        <f>N15-N16</f>
        <v>0.1437488853219191</v>
      </c>
      <c r="P17">
        <f>P15-P16</f>
        <v>0.10098320360507995</v>
      </c>
      <c r="R17">
        <f>R15-R16</f>
        <v>6.0261194029850751E-2</v>
      </c>
      <c r="T17">
        <f>T15-T16</f>
        <v>9.7286986011021703E-2</v>
      </c>
      <c r="V17">
        <f>V15-V16</f>
        <v>9.6755833807626646E-2</v>
      </c>
      <c r="W17">
        <v>2</v>
      </c>
      <c r="X17">
        <f>AVERAGE(D17:V17)</f>
        <v>0.10614232848068479</v>
      </c>
      <c r="AA17" s="1"/>
      <c r="AB17" s="2"/>
    </row>
    <row r="18" spans="1:28" x14ac:dyDescent="0.25">
      <c r="AA18" s="1"/>
      <c r="AB18" s="2"/>
    </row>
    <row r="19" spans="1:28" x14ac:dyDescent="0.25">
      <c r="C19" t="s">
        <v>3</v>
      </c>
      <c r="E19" t="s">
        <v>0</v>
      </c>
      <c r="G19" t="s">
        <v>18</v>
      </c>
      <c r="AA19" s="1"/>
      <c r="AB19" s="2"/>
    </row>
    <row r="20" spans="1:28" x14ac:dyDescent="0.25">
      <c r="A20" t="s">
        <v>16</v>
      </c>
      <c r="B20" t="s">
        <v>1</v>
      </c>
      <c r="C20">
        <v>6056</v>
      </c>
      <c r="D20">
        <f>C20/C20</f>
        <v>1</v>
      </c>
      <c r="E20">
        <v>8059</v>
      </c>
      <c r="F20">
        <f>E20/E20</f>
        <v>1</v>
      </c>
      <c r="G20">
        <v>5588</v>
      </c>
      <c r="H20">
        <f>G20/G20</f>
        <v>1</v>
      </c>
    </row>
    <row r="21" spans="1:28" x14ac:dyDescent="0.25">
      <c r="C21">
        <v>8153</v>
      </c>
      <c r="D21">
        <f>C21/C20</f>
        <v>1.3462681638044913</v>
      </c>
      <c r="E21">
        <v>10293</v>
      </c>
      <c r="F21">
        <f>E21/E20</f>
        <v>1.2772056086363073</v>
      </c>
      <c r="G21">
        <v>7278</v>
      </c>
      <c r="H21">
        <f>G21/G20</f>
        <v>1.3024337866857552</v>
      </c>
    </row>
    <row r="22" spans="1:28" x14ac:dyDescent="0.25">
      <c r="C22">
        <v>5898</v>
      </c>
      <c r="D22">
        <f>C22/C20</f>
        <v>0.9739101717305152</v>
      </c>
      <c r="E22">
        <v>8127</v>
      </c>
      <c r="F22">
        <f>E22/E20</f>
        <v>1.008437771435662</v>
      </c>
      <c r="G22">
        <v>5898</v>
      </c>
      <c r="H22">
        <f>G22/G20</f>
        <v>1.0554760200429492</v>
      </c>
    </row>
    <row r="23" spans="1:28" x14ac:dyDescent="0.25">
      <c r="D23">
        <f>D21-D22</f>
        <v>0.37235799207397613</v>
      </c>
      <c r="F23">
        <f>F21-F22</f>
        <v>0.26876783720064523</v>
      </c>
      <c r="H23">
        <f>H21-H22</f>
        <v>0.246957766642806</v>
      </c>
      <c r="W23">
        <v>3</v>
      </c>
      <c r="X23">
        <f>AVERAGE(D23:V23)</f>
        <v>0.2960278653058091</v>
      </c>
    </row>
    <row r="25" spans="1:28" x14ac:dyDescent="0.25">
      <c r="C25" t="s">
        <v>9</v>
      </c>
      <c r="E25" t="s">
        <v>11</v>
      </c>
      <c r="G25" t="s">
        <v>7</v>
      </c>
      <c r="I25" t="s">
        <v>5</v>
      </c>
      <c r="K25" t="s">
        <v>2</v>
      </c>
      <c r="M25" t="s">
        <v>10</v>
      </c>
      <c r="O25" t="s">
        <v>12</v>
      </c>
      <c r="Q25" t="s">
        <v>8</v>
      </c>
      <c r="S25" t="s">
        <v>6</v>
      </c>
      <c r="U25" t="s">
        <v>4</v>
      </c>
    </row>
    <row r="26" spans="1:28" x14ac:dyDescent="0.25">
      <c r="A26" t="s">
        <v>17</v>
      </c>
      <c r="B26" t="s">
        <v>1</v>
      </c>
      <c r="C26">
        <v>6992</v>
      </c>
      <c r="D26">
        <f>C26/C26</f>
        <v>1</v>
      </c>
      <c r="E26">
        <v>6526</v>
      </c>
      <c r="F26">
        <f>E26/E26</f>
        <v>1</v>
      </c>
      <c r="G26">
        <v>6102</v>
      </c>
      <c r="H26">
        <f>G26/G26</f>
        <v>1</v>
      </c>
      <c r="I26">
        <v>6616</v>
      </c>
      <c r="J26">
        <f>I26/I26</f>
        <v>1</v>
      </c>
      <c r="K26">
        <v>6859</v>
      </c>
      <c r="L26">
        <f>K26/K26</f>
        <v>1</v>
      </c>
      <c r="M26">
        <v>5501</v>
      </c>
      <c r="N26">
        <f>M26/M26</f>
        <v>1</v>
      </c>
      <c r="O26">
        <v>6104</v>
      </c>
      <c r="P26">
        <f>O26/O26</f>
        <v>1</v>
      </c>
      <c r="Q26">
        <v>5986</v>
      </c>
      <c r="R26">
        <f>Q26/Q26</f>
        <v>1</v>
      </c>
      <c r="S26">
        <v>6578</v>
      </c>
      <c r="T26">
        <f>S26/S26</f>
        <v>1</v>
      </c>
      <c r="U26">
        <v>6535</v>
      </c>
      <c r="V26">
        <f>U26/U26</f>
        <v>1</v>
      </c>
    </row>
    <row r="27" spans="1:28" x14ac:dyDescent="0.25">
      <c r="C27">
        <v>8158</v>
      </c>
      <c r="D27">
        <f>C27/C26</f>
        <v>1.166762013729977</v>
      </c>
      <c r="E27">
        <v>8142</v>
      </c>
      <c r="F27">
        <f>E27/E26</f>
        <v>1.2476248850750842</v>
      </c>
      <c r="G27">
        <v>8600</v>
      </c>
      <c r="H27">
        <f>G27/G26</f>
        <v>1.4093739757456571</v>
      </c>
      <c r="I27">
        <v>8376</v>
      </c>
      <c r="J27">
        <f>I27/I26</f>
        <v>1.2660217654171706</v>
      </c>
      <c r="K27">
        <v>9195</v>
      </c>
      <c r="L27">
        <f>K27/K26</f>
        <v>1.3405744277591485</v>
      </c>
      <c r="M27">
        <v>8982</v>
      </c>
      <c r="N27">
        <f>M27/M26</f>
        <v>1.6327940374477368</v>
      </c>
      <c r="O27">
        <v>8383</v>
      </c>
      <c r="P27">
        <f>O27/O26</f>
        <v>1.3733617300131062</v>
      </c>
      <c r="Q27">
        <v>8601</v>
      </c>
      <c r="R27">
        <f>Q27/Q26</f>
        <v>1.4368526561977948</v>
      </c>
      <c r="S27">
        <v>9074</v>
      </c>
      <c r="T27">
        <f>S27/S26</f>
        <v>1.3794466403162056</v>
      </c>
      <c r="U27">
        <v>8968</v>
      </c>
      <c r="V27">
        <f>U27/U26</f>
        <v>1.3723029839326701</v>
      </c>
    </row>
    <row r="28" spans="1:28" x14ac:dyDescent="0.25">
      <c r="C28">
        <v>5408</v>
      </c>
      <c r="D28">
        <f>C28/C26</f>
        <v>0.77345537757437066</v>
      </c>
      <c r="E28">
        <v>7602</v>
      </c>
      <c r="F28">
        <f>E28/E26</f>
        <v>1.1648789457554398</v>
      </c>
      <c r="G28">
        <v>7324</v>
      </c>
      <c r="H28">
        <f>G28/G26</f>
        <v>1.2002622091117667</v>
      </c>
      <c r="I28">
        <v>7982</v>
      </c>
      <c r="J28">
        <f>I28/I26</f>
        <v>1.2064691656590085</v>
      </c>
      <c r="K28">
        <v>8025</v>
      </c>
      <c r="L28">
        <f>K28/K26</f>
        <v>1.169995626184575</v>
      </c>
      <c r="M28">
        <v>7330</v>
      </c>
      <c r="N28">
        <f>M28/M26</f>
        <v>1.3324850027267769</v>
      </c>
      <c r="O28">
        <v>7755</v>
      </c>
      <c r="P28">
        <f>O28/O26</f>
        <v>1.270478374836173</v>
      </c>
      <c r="Q28">
        <v>7709</v>
      </c>
      <c r="R28">
        <f>Q28/Q26</f>
        <v>1.2878382893417974</v>
      </c>
      <c r="S28">
        <v>7621</v>
      </c>
      <c r="T28">
        <f>S28/S26</f>
        <v>1.1585588324718759</v>
      </c>
      <c r="U28">
        <v>7711</v>
      </c>
      <c r="V28">
        <f>U28/U26</f>
        <v>1.1799540933435348</v>
      </c>
    </row>
    <row r="29" spans="1:28" x14ac:dyDescent="0.25">
      <c r="D29">
        <f>D27-D28</f>
        <v>0.39330663615560635</v>
      </c>
      <c r="F29">
        <f>F27-F28</f>
        <v>8.2745939319644357E-2</v>
      </c>
      <c r="H29">
        <f>H27-H28</f>
        <v>0.20911176663389042</v>
      </c>
      <c r="J29">
        <f>J27-J28</f>
        <v>5.9552599758162073E-2</v>
      </c>
      <c r="L29">
        <f>L27-L28</f>
        <v>0.1705788015745735</v>
      </c>
      <c r="N29">
        <f>N27-N28</f>
        <v>0.30030903472095982</v>
      </c>
      <c r="P29">
        <f>P27-P28</f>
        <v>0.10288335517693326</v>
      </c>
      <c r="R29">
        <f>R27-R28</f>
        <v>0.14901436685599734</v>
      </c>
      <c r="T29">
        <f>T27-T28</f>
        <v>0.22088780784432971</v>
      </c>
      <c r="V29">
        <f>V27-V28</f>
        <v>0.19234889058913529</v>
      </c>
      <c r="W29">
        <v>4</v>
      </c>
      <c r="X29">
        <f>AVERAGE(D29:V29)</f>
        <v>0.18807391986292321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10C8-A0CD-44F5-B483-AA800F6302D5}">
  <dimension ref="A1:AC19"/>
  <sheetViews>
    <sheetView zoomScale="85" zoomScaleNormal="85" workbookViewId="0">
      <selection activeCell="V26" sqref="V26"/>
    </sheetView>
  </sheetViews>
  <sheetFormatPr baseColWidth="10" defaultColWidth="8.7109375" defaultRowHeight="15" x14ac:dyDescent="0.25"/>
  <cols>
    <col min="2" max="2" width="15.28515625" bestFit="1" customWidth="1"/>
    <col min="28" max="28" width="15.140625" customWidth="1"/>
  </cols>
  <sheetData>
    <row r="1" spans="1:29" x14ac:dyDescent="0.25">
      <c r="B1" t="s">
        <v>29</v>
      </c>
      <c r="C1" t="s">
        <v>9</v>
      </c>
      <c r="E1" t="s">
        <v>11</v>
      </c>
      <c r="G1" t="s">
        <v>7</v>
      </c>
      <c r="I1" t="s">
        <v>5</v>
      </c>
      <c r="K1" t="s">
        <v>2</v>
      </c>
      <c r="M1" t="s">
        <v>10</v>
      </c>
      <c r="O1" t="s">
        <v>12</v>
      </c>
      <c r="Q1" t="s">
        <v>8</v>
      </c>
      <c r="S1" t="s">
        <v>6</v>
      </c>
      <c r="U1" t="s">
        <v>4</v>
      </c>
    </row>
    <row r="2" spans="1:29" x14ac:dyDescent="0.25">
      <c r="A2" t="s">
        <v>13</v>
      </c>
      <c r="B2" t="s">
        <v>1</v>
      </c>
      <c r="C2">
        <v>6632</v>
      </c>
      <c r="D2">
        <f>C2/C2</f>
        <v>1</v>
      </c>
      <c r="E2">
        <v>6486</v>
      </c>
      <c r="F2">
        <f>E2/E2</f>
        <v>1</v>
      </c>
      <c r="G2">
        <v>6706</v>
      </c>
      <c r="H2">
        <f>G2/G2</f>
        <v>1</v>
      </c>
      <c r="I2">
        <v>6605</v>
      </c>
      <c r="J2">
        <f>I2/I2</f>
        <v>1</v>
      </c>
      <c r="K2">
        <v>6495</v>
      </c>
      <c r="L2">
        <f>K2/K2</f>
        <v>1</v>
      </c>
      <c r="M2">
        <v>5568</v>
      </c>
      <c r="N2">
        <f>M2/M2</f>
        <v>1</v>
      </c>
      <c r="O2">
        <v>6249</v>
      </c>
      <c r="P2">
        <f>O2/O2</f>
        <v>1</v>
      </c>
      <c r="Q2">
        <v>5940</v>
      </c>
      <c r="R2">
        <f>Q2/Q2</f>
        <v>1</v>
      </c>
      <c r="S2">
        <v>6262</v>
      </c>
      <c r="T2">
        <f>S2/S2</f>
        <v>1</v>
      </c>
      <c r="U2">
        <v>5439</v>
      </c>
      <c r="V2">
        <f>U2/U2</f>
        <v>1</v>
      </c>
      <c r="X2">
        <f>AVERAGE(C2,E2,G2,I2,K2,M2,O2,Q2,S2,U2)</f>
        <v>6238.2</v>
      </c>
      <c r="AA2" s="1"/>
      <c r="AB2" s="1"/>
    </row>
    <row r="3" spans="1:29" x14ac:dyDescent="0.25">
      <c r="C3">
        <v>7450</v>
      </c>
      <c r="D3">
        <f>C3/C2</f>
        <v>1.1233413751507841</v>
      </c>
      <c r="E3">
        <v>7817</v>
      </c>
      <c r="F3">
        <f>E3/E2</f>
        <v>1.2052112241751465</v>
      </c>
      <c r="G3">
        <v>7817</v>
      </c>
      <c r="H3">
        <f>G3/G2</f>
        <v>1.165672532060841</v>
      </c>
      <c r="I3">
        <v>7666</v>
      </c>
      <c r="J3">
        <f>I3/I2</f>
        <v>1.1606358819076457</v>
      </c>
      <c r="K3">
        <v>7862</v>
      </c>
      <c r="L3">
        <f>K3/K2</f>
        <v>1.2104695919938415</v>
      </c>
      <c r="M3">
        <v>7517</v>
      </c>
      <c r="N3">
        <f>M3/M2</f>
        <v>1.3500359195402298</v>
      </c>
      <c r="O3">
        <v>7206</v>
      </c>
      <c r="P3">
        <f>O3/O2</f>
        <v>1.1531445031204992</v>
      </c>
      <c r="Q3">
        <v>7448</v>
      </c>
      <c r="R3">
        <f>Q3/Q2</f>
        <v>1.2538720538720538</v>
      </c>
      <c r="S3">
        <v>7637</v>
      </c>
      <c r="T3">
        <f>S3/S2</f>
        <v>1.2195784094538487</v>
      </c>
      <c r="U3">
        <v>7088</v>
      </c>
      <c r="V3">
        <f>U3/U2</f>
        <v>1.3031807317521604</v>
      </c>
    </row>
    <row r="4" spans="1:29" x14ac:dyDescent="0.25">
      <c r="C4">
        <v>6020</v>
      </c>
      <c r="D4">
        <f>C4/C2</f>
        <v>0.90772014475271412</v>
      </c>
      <c r="E4">
        <v>5136</v>
      </c>
      <c r="F4">
        <f>E4/E2</f>
        <v>0.79185938945420908</v>
      </c>
      <c r="G4">
        <v>5651</v>
      </c>
      <c r="H4">
        <f>G4/G2</f>
        <v>0.84267819862809423</v>
      </c>
      <c r="I4">
        <v>5597</v>
      </c>
      <c r="J4">
        <f>I4/I2</f>
        <v>0.84738834216502645</v>
      </c>
      <c r="K4">
        <v>6248</v>
      </c>
      <c r="L4">
        <f>K4/K2</f>
        <v>0.96197074672825256</v>
      </c>
      <c r="M4">
        <v>6085</v>
      </c>
      <c r="N4">
        <f>M4/M2</f>
        <v>1.0928520114942528</v>
      </c>
      <c r="O4">
        <v>4137</v>
      </c>
      <c r="P4">
        <f>O4/O2</f>
        <v>0.66202592414786365</v>
      </c>
      <c r="Q4">
        <v>3396</v>
      </c>
      <c r="R4">
        <f>Q4/Q2</f>
        <v>0.57171717171717173</v>
      </c>
      <c r="S4">
        <v>3243</v>
      </c>
      <c r="T4">
        <f>S4/S2</f>
        <v>0.51788565953369525</v>
      </c>
      <c r="U4">
        <v>4491</v>
      </c>
      <c r="V4">
        <f>U4/U2</f>
        <v>0.82570325427468283</v>
      </c>
    </row>
    <row r="5" spans="1:29" x14ac:dyDescent="0.25">
      <c r="D5">
        <f>D3-D4</f>
        <v>0.21562123039807002</v>
      </c>
      <c r="F5">
        <f>F3-F4</f>
        <v>0.41335183472093739</v>
      </c>
      <c r="H5">
        <f>H3-H4</f>
        <v>0.32299433343274675</v>
      </c>
      <c r="J5">
        <f>J3-J4</f>
        <v>0.31324753974261921</v>
      </c>
      <c r="L5">
        <f>L3-L4</f>
        <v>0.24849884526558896</v>
      </c>
      <c r="N5">
        <f>N3-N4</f>
        <v>0.25718390804597702</v>
      </c>
      <c r="P5">
        <f>P3-P4</f>
        <v>0.49111857897263556</v>
      </c>
      <c r="R5">
        <f>R3-R4</f>
        <v>0.68215488215488207</v>
      </c>
      <c r="T5">
        <f>T3-T4</f>
        <v>0.7016927499201534</v>
      </c>
      <c r="V5">
        <f>V3-V4</f>
        <v>0.4774774774774776</v>
      </c>
      <c r="W5">
        <v>0</v>
      </c>
      <c r="X5">
        <f>AVERAGE(D5:V5)</f>
        <v>0.41233413801310881</v>
      </c>
    </row>
    <row r="7" spans="1:29" x14ac:dyDescent="0.25">
      <c r="C7" t="s">
        <v>21</v>
      </c>
      <c r="E7" t="s">
        <v>22</v>
      </c>
      <c r="G7" t="s">
        <v>23</v>
      </c>
      <c r="I7" t="s">
        <v>24</v>
      </c>
      <c r="K7" t="s">
        <v>3</v>
      </c>
    </row>
    <row r="8" spans="1:29" x14ac:dyDescent="0.25">
      <c r="B8" t="s">
        <v>19</v>
      </c>
      <c r="C8">
        <v>7959</v>
      </c>
      <c r="D8">
        <f>C8/C8</f>
        <v>1</v>
      </c>
      <c r="E8">
        <v>6812</v>
      </c>
      <c r="F8">
        <f>E8/E8</f>
        <v>1</v>
      </c>
      <c r="G8">
        <v>6430</v>
      </c>
      <c r="H8">
        <f>G8/G8</f>
        <v>1</v>
      </c>
      <c r="I8">
        <v>7300</v>
      </c>
      <c r="J8">
        <f>I8/I8</f>
        <v>1</v>
      </c>
      <c r="K8">
        <v>7140</v>
      </c>
      <c r="L8">
        <f>K8/K8</f>
        <v>1</v>
      </c>
      <c r="AA8" s="1">
        <v>1</v>
      </c>
      <c r="AB8" s="2">
        <f>X5</f>
        <v>0.41233413801310881</v>
      </c>
      <c r="AC8">
        <f>_xlfn.STDEV.P(D5,F5,H5,J5,L5,N5,P5,R5,T5,V5)</f>
        <v>0.16564801189407999</v>
      </c>
    </row>
    <row r="9" spans="1:29" x14ac:dyDescent="0.25">
      <c r="C9">
        <v>9169</v>
      </c>
      <c r="D9">
        <f>C9/C8</f>
        <v>1.1520291493906269</v>
      </c>
      <c r="E9">
        <v>8536</v>
      </c>
      <c r="F9">
        <f>E9/E8</f>
        <v>1.2530827950675278</v>
      </c>
      <c r="G9">
        <v>8551</v>
      </c>
      <c r="H9">
        <f>G9/G8</f>
        <v>1.329860031104199</v>
      </c>
      <c r="I9">
        <v>8205</v>
      </c>
      <c r="J9">
        <f>I9/I8</f>
        <v>1.1239726027397261</v>
      </c>
      <c r="K9">
        <v>8087</v>
      </c>
      <c r="L9">
        <f>K9/K8</f>
        <v>1.1326330532212885</v>
      </c>
      <c r="AA9" s="1">
        <v>2</v>
      </c>
      <c r="AB9" s="2">
        <f>X11</f>
        <v>0.22433023992163942</v>
      </c>
      <c r="AC9">
        <f>_xlfn.STDEV.P(D11,F11,H11,J11,L11,N11,P11,R11,T11,V11)</f>
        <v>2.0753548134834356E-2</v>
      </c>
    </row>
    <row r="10" spans="1:29" x14ac:dyDescent="0.25">
      <c r="C10">
        <v>7445</v>
      </c>
      <c r="D10">
        <f>C10/C8</f>
        <v>0.93541902249026254</v>
      </c>
      <c r="E10">
        <v>6994</v>
      </c>
      <c r="F10">
        <f>E10/E8</f>
        <v>1.0267175572519085</v>
      </c>
      <c r="G10">
        <v>6869</v>
      </c>
      <c r="H10">
        <f>G10/G8</f>
        <v>1.0682737169517884</v>
      </c>
      <c r="I10">
        <v>6609</v>
      </c>
      <c r="J10">
        <f>I10/I8</f>
        <v>0.9053424657534247</v>
      </c>
      <c r="K10">
        <v>6670</v>
      </c>
      <c r="L10">
        <f>K10/K8</f>
        <v>0.93417366946778713</v>
      </c>
      <c r="AA10" s="1">
        <v>3</v>
      </c>
      <c r="AB10" s="2">
        <f>X17</f>
        <v>-9.9128206400774535E-2</v>
      </c>
      <c r="AC10">
        <f>_xlfn.STDEV.P(D17,F17,H17,J17,L17)</f>
        <v>4.101170964464556E-2</v>
      </c>
    </row>
    <row r="11" spans="1:29" x14ac:dyDescent="0.25">
      <c r="D11">
        <f>D9-D10</f>
        <v>0.21661012690036441</v>
      </c>
      <c r="F11">
        <f>F9-F10</f>
        <v>0.22636523781561935</v>
      </c>
      <c r="H11">
        <f>H9-H10</f>
        <v>0.26158631415241063</v>
      </c>
      <c r="J11">
        <f>J9-J10</f>
        <v>0.2186301369863014</v>
      </c>
      <c r="L11">
        <f>L9-L10</f>
        <v>0.19845938375350136</v>
      </c>
      <c r="W11">
        <v>1</v>
      </c>
      <c r="X11">
        <f>AVERAGE(D11:V11)</f>
        <v>0.22433023992163942</v>
      </c>
      <c r="AA11" s="1"/>
      <c r="AB11" s="2"/>
    </row>
    <row r="12" spans="1:29" x14ac:dyDescent="0.25">
      <c r="AA12" s="1"/>
      <c r="AB12" s="2"/>
    </row>
    <row r="13" spans="1:29" x14ac:dyDescent="0.25">
      <c r="C13" t="s">
        <v>25</v>
      </c>
      <c r="E13" t="s">
        <v>26</v>
      </c>
      <c r="G13" t="s">
        <v>27</v>
      </c>
      <c r="I13" t="s">
        <v>28</v>
      </c>
      <c r="K13" t="s">
        <v>18</v>
      </c>
      <c r="AA13" s="1"/>
      <c r="AB13" s="2"/>
    </row>
    <row r="14" spans="1:29" x14ac:dyDescent="0.25">
      <c r="B14" t="s">
        <v>20</v>
      </c>
      <c r="C14">
        <v>8554</v>
      </c>
      <c r="D14">
        <f>C14/C14</f>
        <v>1</v>
      </c>
      <c r="E14">
        <v>6870</v>
      </c>
      <c r="F14">
        <f>E14/E14</f>
        <v>1</v>
      </c>
      <c r="G14">
        <v>7597</v>
      </c>
      <c r="H14">
        <f>G14/G14</f>
        <v>1</v>
      </c>
      <c r="I14">
        <v>8036</v>
      </c>
      <c r="J14">
        <f>I14/I14</f>
        <v>1</v>
      </c>
      <c r="K14">
        <v>8875</v>
      </c>
      <c r="L14">
        <f>K14/K14</f>
        <v>1</v>
      </c>
      <c r="AA14" s="1"/>
      <c r="AB14" s="2"/>
    </row>
    <row r="15" spans="1:29" x14ac:dyDescent="0.25">
      <c r="C15">
        <v>9254</v>
      </c>
      <c r="D15">
        <f>C15/C14</f>
        <v>1.0818330605564648</v>
      </c>
      <c r="E15">
        <v>9391</v>
      </c>
      <c r="F15">
        <f>E15/E14</f>
        <v>1.3669577874818049</v>
      </c>
      <c r="G15">
        <v>9609</v>
      </c>
      <c r="H15">
        <f>G15/G14</f>
        <v>1.2648413847571409</v>
      </c>
      <c r="I15">
        <v>9451</v>
      </c>
      <c r="J15">
        <f>I15/I14</f>
        <v>1.1760826281732204</v>
      </c>
      <c r="K15">
        <v>10256</v>
      </c>
      <c r="L15">
        <f>K15/K14</f>
        <v>1.1556056338028169</v>
      </c>
      <c r="AA15" s="1"/>
      <c r="AB15" s="2"/>
    </row>
    <row r="16" spans="1:29" x14ac:dyDescent="0.25">
      <c r="C16">
        <v>10168</v>
      </c>
      <c r="D16">
        <f>C16/C14</f>
        <v>1.1886836567687631</v>
      </c>
      <c r="E16">
        <v>10389</v>
      </c>
      <c r="F16">
        <f>E16/E14</f>
        <v>1.5122270742358079</v>
      </c>
      <c r="G16">
        <v>10548</v>
      </c>
      <c r="H16">
        <f>G16/G14</f>
        <v>1.388442806370936</v>
      </c>
      <c r="I16">
        <v>10220</v>
      </c>
      <c r="J16">
        <f>I16/I14</f>
        <v>1.2717770034843205</v>
      </c>
      <c r="K16">
        <v>10471</v>
      </c>
      <c r="L16">
        <f>K16/K14</f>
        <v>1.179830985915493</v>
      </c>
      <c r="AA16" s="1"/>
      <c r="AB16" s="2"/>
    </row>
    <row r="17" spans="4:28" x14ac:dyDescent="0.25">
      <c r="D17">
        <f>D15-D16</f>
        <v>-0.10685059621229831</v>
      </c>
      <c r="F17">
        <f>F15-F16</f>
        <v>-0.14526928675400308</v>
      </c>
      <c r="H17">
        <f>H15-H16</f>
        <v>-0.12360142161379506</v>
      </c>
      <c r="J17">
        <f>J15-J16</f>
        <v>-9.5694375311100144E-2</v>
      </c>
      <c r="L17">
        <f>L15-L16</f>
        <v>-2.4225352112676068E-2</v>
      </c>
      <c r="W17">
        <v>2</v>
      </c>
      <c r="X17">
        <f>AVERAGE(D17:V17)</f>
        <v>-9.9128206400774535E-2</v>
      </c>
      <c r="AA17" s="1"/>
      <c r="AB17" s="2"/>
    </row>
    <row r="18" spans="4:28" x14ac:dyDescent="0.25">
      <c r="AA18" s="1"/>
      <c r="AB18" s="2"/>
    </row>
    <row r="19" spans="4:28" x14ac:dyDescent="0.25">
      <c r="AA19" s="1"/>
      <c r="AB19" s="2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10B0-5694-4F45-8247-D3E998B20EE4}">
  <dimension ref="A1:AC19"/>
  <sheetViews>
    <sheetView topLeftCell="J1" zoomScale="85" zoomScaleNormal="85" workbookViewId="0">
      <selection activeCell="X26" sqref="X26"/>
    </sheetView>
  </sheetViews>
  <sheetFormatPr baseColWidth="10" defaultColWidth="8.7109375" defaultRowHeight="15" x14ac:dyDescent="0.25"/>
  <cols>
    <col min="28" max="28" width="15.140625" customWidth="1"/>
  </cols>
  <sheetData>
    <row r="1" spans="1:29" x14ac:dyDescent="0.25">
      <c r="B1" t="s">
        <v>29</v>
      </c>
      <c r="C1" t="s">
        <v>9</v>
      </c>
      <c r="E1" t="s">
        <v>11</v>
      </c>
      <c r="G1" t="s">
        <v>7</v>
      </c>
      <c r="I1" t="s">
        <v>5</v>
      </c>
      <c r="K1" t="s">
        <v>2</v>
      </c>
      <c r="M1" t="s">
        <v>10</v>
      </c>
      <c r="O1" t="s">
        <v>12</v>
      </c>
      <c r="Q1" t="s">
        <v>8</v>
      </c>
      <c r="S1" t="s">
        <v>6</v>
      </c>
      <c r="U1" t="s">
        <v>4</v>
      </c>
    </row>
    <row r="2" spans="1:29" x14ac:dyDescent="0.25">
      <c r="A2" t="s">
        <v>14</v>
      </c>
      <c r="B2" t="s">
        <v>1</v>
      </c>
      <c r="C2">
        <v>6400</v>
      </c>
      <c r="D2">
        <f>C2/C2</f>
        <v>1</v>
      </c>
      <c r="E2">
        <v>6616</v>
      </c>
      <c r="F2">
        <f>E2/E2</f>
        <v>1</v>
      </c>
      <c r="G2">
        <v>6577</v>
      </c>
      <c r="H2">
        <f>G2/G2</f>
        <v>1</v>
      </c>
      <c r="I2">
        <v>6330</v>
      </c>
      <c r="J2">
        <f>I2/I2</f>
        <v>1</v>
      </c>
      <c r="K2">
        <v>6589</v>
      </c>
      <c r="L2">
        <f>K2/K2</f>
        <v>1</v>
      </c>
      <c r="M2">
        <v>7611</v>
      </c>
      <c r="N2">
        <f>M2/M2</f>
        <v>1</v>
      </c>
      <c r="O2">
        <v>6239</v>
      </c>
      <c r="P2">
        <f>O2/O2</f>
        <v>1</v>
      </c>
      <c r="Q2">
        <v>6447</v>
      </c>
      <c r="R2">
        <f>Q2/Q2</f>
        <v>1</v>
      </c>
      <c r="S2">
        <v>6883</v>
      </c>
      <c r="T2">
        <f>S2/S2</f>
        <v>1</v>
      </c>
      <c r="U2">
        <v>6743</v>
      </c>
      <c r="V2">
        <f>U2/U2</f>
        <v>1</v>
      </c>
      <c r="X2">
        <f>AVERAGE(C2,E2,G2,I2,K2,M2,O2,Q2,S2,U2)</f>
        <v>6643.5</v>
      </c>
      <c r="AA2" s="1"/>
      <c r="AB2" s="1"/>
    </row>
    <row r="3" spans="1:29" x14ac:dyDescent="0.25">
      <c r="C3">
        <v>9337</v>
      </c>
      <c r="D3">
        <f>C3/C2</f>
        <v>1.4589062500000001</v>
      </c>
      <c r="E3">
        <v>9419</v>
      </c>
      <c r="F3">
        <f>E3/E2</f>
        <v>1.4236698911729142</v>
      </c>
      <c r="G3">
        <v>9590</v>
      </c>
      <c r="H3">
        <f>G3/G2</f>
        <v>1.4581116010339061</v>
      </c>
      <c r="I3">
        <v>9271</v>
      </c>
      <c r="J3">
        <f>I3/I2</f>
        <v>1.4646129541864139</v>
      </c>
      <c r="K3">
        <v>9840</v>
      </c>
      <c r="L3">
        <f>K3/K2</f>
        <v>1.4933980877219608</v>
      </c>
      <c r="M3">
        <v>10662</v>
      </c>
      <c r="N3">
        <f>M3/M2</f>
        <v>1.4008671659440284</v>
      </c>
      <c r="O3">
        <v>9501</v>
      </c>
      <c r="P3">
        <f>O3/O2</f>
        <v>1.5228401987497997</v>
      </c>
      <c r="Q3">
        <v>9176</v>
      </c>
      <c r="R3">
        <f>Q3/Q2</f>
        <v>1.4232976578253451</v>
      </c>
      <c r="S3">
        <v>9639</v>
      </c>
      <c r="T3">
        <f>S3/S2</f>
        <v>1.4004067993607439</v>
      </c>
      <c r="U3">
        <v>9898</v>
      </c>
      <c r="V3">
        <f>U3/U2</f>
        <v>1.4678926293934451</v>
      </c>
    </row>
    <row r="4" spans="1:29" x14ac:dyDescent="0.25">
      <c r="C4">
        <v>7974</v>
      </c>
      <c r="D4">
        <f>C4/C2</f>
        <v>1.2459374999999999</v>
      </c>
      <c r="E4">
        <v>7690</v>
      </c>
      <c r="F4">
        <f>E4/E2</f>
        <v>1.1623337363966142</v>
      </c>
      <c r="G4">
        <v>7697</v>
      </c>
      <c r="H4">
        <f>G4/G2</f>
        <v>1.1702904059601642</v>
      </c>
      <c r="I4">
        <v>6993</v>
      </c>
      <c r="J4">
        <f>I4/I2</f>
        <v>1.104739336492891</v>
      </c>
      <c r="K4">
        <v>8203</v>
      </c>
      <c r="L4">
        <f>K4/K2</f>
        <v>1.2449537107300046</v>
      </c>
      <c r="M4">
        <v>6936</v>
      </c>
      <c r="N4">
        <f>M4/M2</f>
        <v>0.91131257390618836</v>
      </c>
      <c r="O4">
        <v>8266</v>
      </c>
      <c r="P4">
        <f>O4/O2</f>
        <v>1.3248918095848694</v>
      </c>
      <c r="Q4">
        <v>7536</v>
      </c>
      <c r="R4">
        <f>Q4/Q2</f>
        <v>1.1689157747789669</v>
      </c>
      <c r="S4">
        <v>8221</v>
      </c>
      <c r="T4">
        <f>S4/S2</f>
        <v>1.194391980241174</v>
      </c>
      <c r="U4">
        <v>8115</v>
      </c>
      <c r="V4">
        <f>U4/U2</f>
        <v>1.2034702654604776</v>
      </c>
    </row>
    <row r="5" spans="1:29" x14ac:dyDescent="0.25">
      <c r="D5">
        <f>D3-D4</f>
        <v>0.21296875000000015</v>
      </c>
      <c r="F5">
        <f>F3-F4</f>
        <v>0.26133615477630001</v>
      </c>
      <c r="H5">
        <f>H3-H4</f>
        <v>0.28782119507374193</v>
      </c>
      <c r="J5">
        <f>J3-J4</f>
        <v>0.35987361769352288</v>
      </c>
      <c r="L5">
        <f>L3-L4</f>
        <v>0.24844437699195621</v>
      </c>
      <c r="N5">
        <f>N3-N4</f>
        <v>0.48955459203784002</v>
      </c>
      <c r="P5">
        <f>P3-P4</f>
        <v>0.19794838916493029</v>
      </c>
      <c r="R5">
        <f>R3-R4</f>
        <v>0.25438188304637821</v>
      </c>
      <c r="T5">
        <f>T3-T4</f>
        <v>0.20601481911956987</v>
      </c>
      <c r="V5">
        <f>V3-V4</f>
        <v>0.26442236393296747</v>
      </c>
      <c r="W5">
        <v>1</v>
      </c>
      <c r="X5">
        <f>AVERAGE(D5:V5)</f>
        <v>0.27827661418372068</v>
      </c>
    </row>
    <row r="7" spans="1:29" x14ac:dyDescent="0.25">
      <c r="C7" t="s">
        <v>21</v>
      </c>
      <c r="E7" t="s">
        <v>22</v>
      </c>
      <c r="G7" t="s">
        <v>23</v>
      </c>
      <c r="I7" t="s">
        <v>24</v>
      </c>
      <c r="K7" t="s">
        <v>3</v>
      </c>
    </row>
    <row r="8" spans="1:29" x14ac:dyDescent="0.25">
      <c r="B8" t="s">
        <v>19</v>
      </c>
      <c r="C8">
        <v>7134</v>
      </c>
      <c r="D8">
        <f>C8/C8</f>
        <v>1</v>
      </c>
      <c r="E8">
        <v>5282</v>
      </c>
      <c r="F8">
        <f>E8/E8</f>
        <v>1</v>
      </c>
      <c r="G8">
        <v>6859</v>
      </c>
      <c r="H8">
        <f>G8/G8</f>
        <v>1</v>
      </c>
      <c r="I8">
        <v>7112</v>
      </c>
      <c r="J8">
        <f>I8/I8</f>
        <v>1</v>
      </c>
      <c r="K8">
        <v>6160</v>
      </c>
      <c r="L8">
        <f>K8/K8</f>
        <v>1</v>
      </c>
      <c r="AA8" s="1">
        <v>1</v>
      </c>
      <c r="AB8" s="2">
        <f>X5</f>
        <v>0.27827661418372068</v>
      </c>
      <c r="AC8">
        <f>_xlfn.STDEV.P(D5,F5,H5,J5,L5,N5,P5,R5,T5,V5)</f>
        <v>8.3226739563681998E-2</v>
      </c>
    </row>
    <row r="9" spans="1:29" x14ac:dyDescent="0.25">
      <c r="C9">
        <v>9966</v>
      </c>
      <c r="D9">
        <f>C9/C8</f>
        <v>1.3969722455845248</v>
      </c>
      <c r="E9">
        <v>9354</v>
      </c>
      <c r="F9">
        <f>E9/E8</f>
        <v>1.7709201060204467</v>
      </c>
      <c r="G9">
        <v>9460</v>
      </c>
      <c r="H9">
        <f>G9/G8</f>
        <v>1.379209797346552</v>
      </c>
      <c r="I9">
        <v>9442</v>
      </c>
      <c r="J9">
        <f>I9/I8</f>
        <v>1.3276152980877389</v>
      </c>
      <c r="K9">
        <v>9005</v>
      </c>
      <c r="L9">
        <f>K9/K8</f>
        <v>1.4618506493506493</v>
      </c>
      <c r="AA9" s="1">
        <v>2</v>
      </c>
      <c r="AB9" s="2">
        <f>X11</f>
        <v>0.10543228475418705</v>
      </c>
      <c r="AC9">
        <f>_xlfn.STDEV.P(D11,F11,H11,J11,L11,N11,P11,R11,T11,V11)</f>
        <v>5.4486404405262166E-2</v>
      </c>
    </row>
    <row r="10" spans="1:29" x14ac:dyDescent="0.25">
      <c r="C10">
        <v>8460</v>
      </c>
      <c r="D10">
        <f>C10/C8</f>
        <v>1.185870479394449</v>
      </c>
      <c r="E10">
        <v>8988</v>
      </c>
      <c r="F10">
        <f>E10/E8</f>
        <v>1.7016281711472927</v>
      </c>
      <c r="G10">
        <v>8758</v>
      </c>
      <c r="H10">
        <f>G10/G8</f>
        <v>1.2768625164018079</v>
      </c>
      <c r="I10">
        <v>8991</v>
      </c>
      <c r="J10">
        <f>I10/I8</f>
        <v>1.2642013498312712</v>
      </c>
      <c r="K10">
        <v>8506</v>
      </c>
      <c r="L10">
        <f>K10/K8</f>
        <v>1.3808441558441558</v>
      </c>
      <c r="AA10" s="1">
        <v>3</v>
      </c>
      <c r="AB10" s="2" t="e">
        <f>X17</f>
        <v>#DIV/0!</v>
      </c>
      <c r="AC10" t="e">
        <f>_xlfn.STDEV.P(D17,F17,H17,J17,L17)</f>
        <v>#DIV/0!</v>
      </c>
    </row>
    <row r="11" spans="1:29" x14ac:dyDescent="0.25">
      <c r="D11">
        <f>D9-D10</f>
        <v>0.21110176619007581</v>
      </c>
      <c r="F11">
        <f>F9-F10</f>
        <v>6.9291934873153993E-2</v>
      </c>
      <c r="H11">
        <f>H9-H10</f>
        <v>0.1023472809447441</v>
      </c>
      <c r="J11">
        <f>J9-J10</f>
        <v>6.3413948256467734E-2</v>
      </c>
      <c r="L11">
        <f>L9-L10</f>
        <v>8.1006493506493582E-2</v>
      </c>
      <c r="W11">
        <v>1</v>
      </c>
      <c r="X11">
        <f>AVERAGE(D11:V11)</f>
        <v>0.10543228475418705</v>
      </c>
      <c r="AA11" s="1"/>
      <c r="AB11" s="2"/>
    </row>
    <row r="12" spans="1:29" x14ac:dyDescent="0.25">
      <c r="AA12" s="1"/>
      <c r="AB12" s="2"/>
    </row>
    <row r="13" spans="1:29" x14ac:dyDescent="0.25">
      <c r="C13" t="s">
        <v>25</v>
      </c>
      <c r="E13" t="s">
        <v>26</v>
      </c>
      <c r="G13" t="s">
        <v>27</v>
      </c>
      <c r="I13" t="s">
        <v>28</v>
      </c>
      <c r="K13" t="s">
        <v>18</v>
      </c>
      <c r="AA13" s="1"/>
      <c r="AB13" s="2"/>
    </row>
    <row r="14" spans="1:29" x14ac:dyDescent="0.25">
      <c r="B14" t="s">
        <v>20</v>
      </c>
      <c r="D14" t="e">
        <f>C14/C14</f>
        <v>#DIV/0!</v>
      </c>
      <c r="F14" t="e">
        <f>E14/E14</f>
        <v>#DIV/0!</v>
      </c>
      <c r="H14" t="e">
        <f>G14/G14</f>
        <v>#DIV/0!</v>
      </c>
      <c r="J14" t="e">
        <f>I14/I14</f>
        <v>#DIV/0!</v>
      </c>
      <c r="L14" t="e">
        <f>K14/K14</f>
        <v>#DIV/0!</v>
      </c>
      <c r="AA14" s="1"/>
      <c r="AB14" s="2"/>
    </row>
    <row r="15" spans="1:29" x14ac:dyDescent="0.25">
      <c r="D15" t="e">
        <f>C15/C14</f>
        <v>#DIV/0!</v>
      </c>
      <c r="F15" t="e">
        <f>E15/E14</f>
        <v>#DIV/0!</v>
      </c>
      <c r="H15" t="e">
        <f>G15/G14</f>
        <v>#DIV/0!</v>
      </c>
      <c r="J15" t="e">
        <f>I15/I14</f>
        <v>#DIV/0!</v>
      </c>
      <c r="L15" t="e">
        <f>K15/K14</f>
        <v>#DIV/0!</v>
      </c>
      <c r="AA15" s="1"/>
      <c r="AB15" s="2"/>
    </row>
    <row r="16" spans="1:29" x14ac:dyDescent="0.25">
      <c r="D16" t="e">
        <f>C16/C14</f>
        <v>#DIV/0!</v>
      </c>
      <c r="F16" t="e">
        <f>E16/E14</f>
        <v>#DIV/0!</v>
      </c>
      <c r="H16" t="e">
        <f>G16/G14</f>
        <v>#DIV/0!</v>
      </c>
      <c r="J16" t="e">
        <f>I16/I14</f>
        <v>#DIV/0!</v>
      </c>
      <c r="L16" t="e">
        <f>K16/K14</f>
        <v>#DIV/0!</v>
      </c>
      <c r="AA16" s="1"/>
      <c r="AB16" s="2"/>
    </row>
    <row r="17" spans="4:28" x14ac:dyDescent="0.25">
      <c r="D17" t="e">
        <f>D15-D16</f>
        <v>#DIV/0!</v>
      </c>
      <c r="F17" t="e">
        <f>F15-F16</f>
        <v>#DIV/0!</v>
      </c>
      <c r="H17" t="e">
        <f>H15-H16</f>
        <v>#DIV/0!</v>
      </c>
      <c r="J17" t="e">
        <f>J15-J16</f>
        <v>#DIV/0!</v>
      </c>
      <c r="L17" t="e">
        <f>L15-L16</f>
        <v>#DIV/0!</v>
      </c>
      <c r="W17">
        <v>2</v>
      </c>
      <c r="X17" t="e">
        <f>AVERAGE(D17:V17)</f>
        <v>#DIV/0!</v>
      </c>
      <c r="AA17" s="1"/>
      <c r="AB17" s="2"/>
    </row>
    <row r="18" spans="4:28" x14ac:dyDescent="0.25">
      <c r="AA18" s="1"/>
      <c r="AB18" s="2"/>
    </row>
    <row r="19" spans="4:28" x14ac:dyDescent="0.25">
      <c r="AA19" s="1"/>
      <c r="AB19" s="2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159A-8D18-4657-9EA8-CE6F32F88B4A}">
  <dimension ref="A1:AC19"/>
  <sheetViews>
    <sheetView zoomScale="85" zoomScaleNormal="85" workbookViewId="0">
      <selection activeCell="D46" sqref="D46"/>
    </sheetView>
  </sheetViews>
  <sheetFormatPr baseColWidth="10" defaultColWidth="8.7109375" defaultRowHeight="15" x14ac:dyDescent="0.25"/>
  <cols>
    <col min="28" max="28" width="15.140625" customWidth="1"/>
  </cols>
  <sheetData>
    <row r="1" spans="1:29" x14ac:dyDescent="0.25">
      <c r="B1" t="s">
        <v>29</v>
      </c>
      <c r="C1" t="s">
        <v>9</v>
      </c>
      <c r="E1" t="s">
        <v>11</v>
      </c>
      <c r="G1" t="s">
        <v>7</v>
      </c>
      <c r="I1" t="s">
        <v>5</v>
      </c>
      <c r="K1" t="s">
        <v>2</v>
      </c>
      <c r="M1" t="s">
        <v>10</v>
      </c>
      <c r="O1" t="s">
        <v>12</v>
      </c>
      <c r="Q1" t="s">
        <v>8</v>
      </c>
      <c r="S1" t="s">
        <v>6</v>
      </c>
      <c r="U1" t="s">
        <v>4</v>
      </c>
    </row>
    <row r="2" spans="1:29" x14ac:dyDescent="0.25">
      <c r="A2" t="s">
        <v>15</v>
      </c>
      <c r="B2" t="s">
        <v>1</v>
      </c>
      <c r="C2">
        <v>6159</v>
      </c>
      <c r="D2">
        <f>C2/C2</f>
        <v>1</v>
      </c>
      <c r="E2">
        <v>6266</v>
      </c>
      <c r="F2">
        <f>E2/E2</f>
        <v>1</v>
      </c>
      <c r="G2">
        <v>5174</v>
      </c>
      <c r="H2">
        <f>G2/G2</f>
        <v>1</v>
      </c>
      <c r="I2">
        <v>6197</v>
      </c>
      <c r="J2">
        <f>I2/I2</f>
        <v>1</v>
      </c>
      <c r="K2">
        <v>6201</v>
      </c>
      <c r="L2">
        <f>K2/K2</f>
        <v>1</v>
      </c>
      <c r="M2">
        <v>5607</v>
      </c>
      <c r="N2">
        <f>M2/M2</f>
        <v>1</v>
      </c>
      <c r="O2">
        <v>4882</v>
      </c>
      <c r="P2">
        <f>O2/O2</f>
        <v>1</v>
      </c>
      <c r="Q2">
        <v>5360</v>
      </c>
      <c r="R2">
        <f>Q2/Q2</f>
        <v>1</v>
      </c>
      <c r="S2">
        <v>4718</v>
      </c>
      <c r="T2">
        <f>S2/S2</f>
        <v>1</v>
      </c>
      <c r="U2">
        <v>5271</v>
      </c>
      <c r="V2">
        <f>U2/U2</f>
        <v>1</v>
      </c>
      <c r="X2">
        <f>AVERAGE(C2,E2,G2,I2,K2,M2,O2,Q2,S2,U2)</f>
        <v>5583.5</v>
      </c>
      <c r="AA2" s="1"/>
      <c r="AB2" s="1"/>
    </row>
    <row r="3" spans="1:29" x14ac:dyDescent="0.25">
      <c r="C3">
        <v>8488</v>
      </c>
      <c r="D3">
        <f>C3/C2</f>
        <v>1.3781458028900795</v>
      </c>
      <c r="E3">
        <v>8791</v>
      </c>
      <c r="F3">
        <f>E3/E2</f>
        <v>1.402968400893712</v>
      </c>
      <c r="G3">
        <v>8327</v>
      </c>
      <c r="H3">
        <f>G3/G2</f>
        <v>1.6093931194433706</v>
      </c>
      <c r="I3">
        <v>8591</v>
      </c>
      <c r="J3">
        <f>I3/I2</f>
        <v>1.3863159593351622</v>
      </c>
      <c r="K3">
        <v>8727</v>
      </c>
      <c r="L3">
        <f>K3/K2</f>
        <v>1.4073536526366714</v>
      </c>
      <c r="M3">
        <v>7784</v>
      </c>
      <c r="N3">
        <f>M3/M2</f>
        <v>1.3882646691635456</v>
      </c>
      <c r="O3">
        <v>7581</v>
      </c>
      <c r="P3">
        <f>O3/O2</f>
        <v>1.5528471937730439</v>
      </c>
      <c r="Q3">
        <v>7711</v>
      </c>
      <c r="R3">
        <f>Q3/Q2</f>
        <v>1.4386194029850747</v>
      </c>
      <c r="S3">
        <v>7657</v>
      </c>
      <c r="T3">
        <f>S3/S2</f>
        <v>1.6229334463755829</v>
      </c>
      <c r="U3">
        <v>7885</v>
      </c>
      <c r="V3">
        <f>U3/U2</f>
        <v>1.4959210775943843</v>
      </c>
    </row>
    <row r="4" spans="1:29" x14ac:dyDescent="0.25">
      <c r="C4">
        <v>7758</v>
      </c>
      <c r="D4">
        <f>C4/C2</f>
        <v>1.2596200681928884</v>
      </c>
      <c r="E4">
        <v>8254</v>
      </c>
      <c r="F4">
        <f>E4/E2</f>
        <v>1.3172677944462177</v>
      </c>
      <c r="G4">
        <v>7800</v>
      </c>
      <c r="H4">
        <f>G4/G2</f>
        <v>1.5075376884422111</v>
      </c>
      <c r="I4">
        <v>8049</v>
      </c>
      <c r="J4">
        <f>I4/I2</f>
        <v>1.2988542843311279</v>
      </c>
      <c r="K4">
        <v>7680</v>
      </c>
      <c r="L4">
        <f>K4/K2</f>
        <v>1.2385099177552008</v>
      </c>
      <c r="M4">
        <v>6978</v>
      </c>
      <c r="N4">
        <f>M4/M2</f>
        <v>1.2445157838416265</v>
      </c>
      <c r="O4">
        <v>7088</v>
      </c>
      <c r="P4">
        <f>O4/O2</f>
        <v>1.451863990167964</v>
      </c>
      <c r="Q4">
        <v>7388</v>
      </c>
      <c r="R4">
        <f>Q4/Q2</f>
        <v>1.378358208955224</v>
      </c>
      <c r="S4">
        <v>7198</v>
      </c>
      <c r="T4">
        <f>S4/S2</f>
        <v>1.5256464603645612</v>
      </c>
      <c r="U4">
        <v>7375</v>
      </c>
      <c r="V4">
        <f>U4/U2</f>
        <v>1.3991652437867577</v>
      </c>
    </row>
    <row r="5" spans="1:29" x14ac:dyDescent="0.25">
      <c r="D5">
        <f>D3-D4</f>
        <v>0.11852573469719108</v>
      </c>
      <c r="F5">
        <f>F3-F4</f>
        <v>8.5700606447494332E-2</v>
      </c>
      <c r="H5">
        <f>H3-H4</f>
        <v>0.10185543100115946</v>
      </c>
      <c r="J5">
        <f>J3-J4</f>
        <v>8.7461675004034234E-2</v>
      </c>
      <c r="L5">
        <f>L3-L4</f>
        <v>0.16884373488147064</v>
      </c>
      <c r="N5">
        <f>N3-N4</f>
        <v>0.1437488853219191</v>
      </c>
      <c r="P5">
        <f>P3-P4</f>
        <v>0.10098320360507995</v>
      </c>
      <c r="R5">
        <f>R3-R4</f>
        <v>6.0261194029850751E-2</v>
      </c>
      <c r="T5">
        <f>T3-T4</f>
        <v>9.7286986011021703E-2</v>
      </c>
      <c r="V5">
        <f>V3-V4</f>
        <v>9.6755833807626646E-2</v>
      </c>
      <c r="W5">
        <v>2</v>
      </c>
      <c r="X5">
        <f>AVERAGE(D5:V5)</f>
        <v>0.10614232848068479</v>
      </c>
    </row>
    <row r="7" spans="1:29" x14ac:dyDescent="0.25">
      <c r="C7" t="s">
        <v>21</v>
      </c>
      <c r="E7" t="s">
        <v>22</v>
      </c>
      <c r="G7" t="s">
        <v>23</v>
      </c>
      <c r="I7" t="s">
        <v>24</v>
      </c>
      <c r="K7" t="s">
        <v>3</v>
      </c>
    </row>
    <row r="8" spans="1:29" x14ac:dyDescent="0.25">
      <c r="B8" t="s">
        <v>19</v>
      </c>
      <c r="C8">
        <v>7763</v>
      </c>
      <c r="D8">
        <f>C8/C8</f>
        <v>1</v>
      </c>
      <c r="E8">
        <v>8231</v>
      </c>
      <c r="F8">
        <f>E8/E8</f>
        <v>1</v>
      </c>
      <c r="G8">
        <v>7880</v>
      </c>
      <c r="H8">
        <f>G8/G8</f>
        <v>1</v>
      </c>
      <c r="I8">
        <v>8101</v>
      </c>
      <c r="J8">
        <f>I8/I8</f>
        <v>1</v>
      </c>
      <c r="K8">
        <v>7763</v>
      </c>
      <c r="L8">
        <f>K8/K8</f>
        <v>1</v>
      </c>
      <c r="N8">
        <f>AVERAGE(C8,E8,G8,I8,K8)</f>
        <v>7947.6</v>
      </c>
      <c r="AA8" s="1">
        <v>1</v>
      </c>
      <c r="AB8" s="2">
        <f>X5</f>
        <v>0.10614232848068479</v>
      </c>
      <c r="AC8">
        <f>_xlfn.STDEV.P(D5,F5,H5,J5,L5,N5,P5,R5,T5,V5)</f>
        <v>2.9295895576154283E-2</v>
      </c>
    </row>
    <row r="9" spans="1:29" x14ac:dyDescent="0.25">
      <c r="C9">
        <v>10010</v>
      </c>
      <c r="D9">
        <f>C9/C8</f>
        <v>1.2894499549143372</v>
      </c>
      <c r="E9">
        <v>10630</v>
      </c>
      <c r="F9">
        <f>E9/E8</f>
        <v>1.291459117968655</v>
      </c>
      <c r="G9">
        <v>9861</v>
      </c>
      <c r="H9">
        <f>G9/G8</f>
        <v>1.2513959390862943</v>
      </c>
      <c r="I9">
        <v>9320</v>
      </c>
      <c r="J9">
        <f>I9/I8</f>
        <v>1.1504752499691395</v>
      </c>
      <c r="K9">
        <v>9642</v>
      </c>
      <c r="L9">
        <f>K9/K8</f>
        <v>1.2420456009274765</v>
      </c>
      <c r="AA9" s="1">
        <v>2</v>
      </c>
      <c r="AB9" s="2">
        <f>X11</f>
        <v>3.9924957958030881E-2</v>
      </c>
      <c r="AC9">
        <f>_xlfn.STDEV.P(D11,F11,H11,J11,L11,N11,P11,R11,T11,V11)</f>
        <v>5.0936831094450991E-2</v>
      </c>
    </row>
    <row r="10" spans="1:29" x14ac:dyDescent="0.25">
      <c r="C10">
        <v>9097</v>
      </c>
      <c r="D10">
        <f>C10/C8</f>
        <v>1.1718407832023703</v>
      </c>
      <c r="E10">
        <v>10173</v>
      </c>
      <c r="F10">
        <f>E10/E8</f>
        <v>1.2359373101688738</v>
      </c>
      <c r="G10">
        <v>9571</v>
      </c>
      <c r="H10">
        <f>G10/G8</f>
        <v>1.2145939086294417</v>
      </c>
      <c r="I10">
        <v>9655</v>
      </c>
      <c r="J10">
        <f>I10/I8</f>
        <v>1.1918281693618071</v>
      </c>
      <c r="K10">
        <v>9401</v>
      </c>
      <c r="L10">
        <f>K10/K8</f>
        <v>1.2110009017132553</v>
      </c>
      <c r="AA10" s="1">
        <v>3</v>
      </c>
      <c r="AB10" s="2" t="e">
        <f>X17</f>
        <v>#DIV/0!</v>
      </c>
      <c r="AC10" t="e">
        <f>_xlfn.STDEV.P(D17,F17,H17,J17,L17)</f>
        <v>#DIV/0!</v>
      </c>
    </row>
    <row r="11" spans="1:29" x14ac:dyDescent="0.25">
      <c r="D11">
        <f>D9-D10</f>
        <v>0.11760917171196694</v>
      </c>
      <c r="F11">
        <f>F9-F10</f>
        <v>5.552180779978122E-2</v>
      </c>
      <c r="H11">
        <f>H9-H10</f>
        <v>3.6802030456852597E-2</v>
      </c>
      <c r="J11">
        <f>J9-J10</f>
        <v>-4.1352919392667609E-2</v>
      </c>
      <c r="L11">
        <f>L9-L10</f>
        <v>3.1044699214221261E-2</v>
      </c>
      <c r="W11">
        <v>1</v>
      </c>
      <c r="X11">
        <f>AVERAGE(D11:V11)</f>
        <v>3.9924957958030881E-2</v>
      </c>
      <c r="AA11" s="1"/>
      <c r="AB11" s="2"/>
    </row>
    <row r="12" spans="1:29" x14ac:dyDescent="0.25">
      <c r="AA12" s="1"/>
      <c r="AB12" s="2"/>
    </row>
    <row r="13" spans="1:29" x14ac:dyDescent="0.25">
      <c r="C13" t="s">
        <v>25</v>
      </c>
      <c r="E13" t="s">
        <v>26</v>
      </c>
      <c r="G13" t="s">
        <v>27</v>
      </c>
      <c r="I13" t="s">
        <v>28</v>
      </c>
      <c r="K13" t="s">
        <v>18</v>
      </c>
      <c r="AA13" s="1"/>
      <c r="AB13" s="2"/>
    </row>
    <row r="14" spans="1:29" x14ac:dyDescent="0.25">
      <c r="B14" t="s">
        <v>20</v>
      </c>
      <c r="D14" t="e">
        <f>C14/C14</f>
        <v>#DIV/0!</v>
      </c>
      <c r="F14" t="e">
        <f>E14/E14</f>
        <v>#DIV/0!</v>
      </c>
      <c r="H14" t="e">
        <f>G14/G14</f>
        <v>#DIV/0!</v>
      </c>
      <c r="J14" t="e">
        <f>I14/I14</f>
        <v>#DIV/0!</v>
      </c>
      <c r="L14" t="e">
        <f>K14/K14</f>
        <v>#DIV/0!</v>
      </c>
      <c r="AA14" s="1"/>
      <c r="AB14" s="2"/>
    </row>
    <row r="15" spans="1:29" x14ac:dyDescent="0.25">
      <c r="D15" t="e">
        <f>C15/C14</f>
        <v>#DIV/0!</v>
      </c>
      <c r="F15" t="e">
        <f>E15/E14</f>
        <v>#DIV/0!</v>
      </c>
      <c r="H15" t="e">
        <f>G15/G14</f>
        <v>#DIV/0!</v>
      </c>
      <c r="J15" t="e">
        <f>I15/I14</f>
        <v>#DIV/0!</v>
      </c>
      <c r="L15" t="e">
        <f>K15/K14</f>
        <v>#DIV/0!</v>
      </c>
      <c r="AA15" s="1"/>
      <c r="AB15" s="2"/>
    </row>
    <row r="16" spans="1:29" x14ac:dyDescent="0.25">
      <c r="D16" t="e">
        <f>C16/C14</f>
        <v>#DIV/0!</v>
      </c>
      <c r="F16" t="e">
        <f>E16/E14</f>
        <v>#DIV/0!</v>
      </c>
      <c r="H16" t="e">
        <f>G16/G14</f>
        <v>#DIV/0!</v>
      </c>
      <c r="J16" t="e">
        <f>I16/I14</f>
        <v>#DIV/0!</v>
      </c>
      <c r="L16" t="e">
        <f>K16/K14</f>
        <v>#DIV/0!</v>
      </c>
      <c r="AA16" s="1"/>
      <c r="AB16" s="2"/>
    </row>
    <row r="17" spans="4:28" x14ac:dyDescent="0.25">
      <c r="D17" t="e">
        <f>D15-D16</f>
        <v>#DIV/0!</v>
      </c>
      <c r="F17" t="e">
        <f>F15-F16</f>
        <v>#DIV/0!</v>
      </c>
      <c r="H17" t="e">
        <f>H15-H16</f>
        <v>#DIV/0!</v>
      </c>
      <c r="J17" t="e">
        <f>J15-J16</f>
        <v>#DIV/0!</v>
      </c>
      <c r="L17" t="e">
        <f>L15-L16</f>
        <v>#DIV/0!</v>
      </c>
      <c r="W17">
        <v>2</v>
      </c>
      <c r="X17" t="e">
        <f>AVERAGE(D17:V17)</f>
        <v>#DIV/0!</v>
      </c>
      <c r="AA17" s="1"/>
      <c r="AB17" s="2"/>
    </row>
    <row r="18" spans="4:28" x14ac:dyDescent="0.25">
      <c r="AA18" s="1"/>
      <c r="AB18" s="2"/>
    </row>
    <row r="19" spans="4:28" x14ac:dyDescent="0.25">
      <c r="AA19" s="1"/>
      <c r="AB19" s="2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D758-0786-40BD-8B95-0535FD39B026}">
  <dimension ref="A1:AC19"/>
  <sheetViews>
    <sheetView tabSelected="1" zoomScale="85" zoomScaleNormal="85" workbookViewId="0">
      <selection activeCell="G12" sqref="G12"/>
    </sheetView>
  </sheetViews>
  <sheetFormatPr baseColWidth="10" defaultColWidth="8.7109375" defaultRowHeight="15" x14ac:dyDescent="0.25"/>
  <cols>
    <col min="28" max="28" width="15.140625" customWidth="1"/>
  </cols>
  <sheetData>
    <row r="1" spans="1:29" x14ac:dyDescent="0.25">
      <c r="B1" t="s">
        <v>29</v>
      </c>
      <c r="C1" t="s">
        <v>9</v>
      </c>
      <c r="E1" t="s">
        <v>11</v>
      </c>
      <c r="G1" t="s">
        <v>7</v>
      </c>
      <c r="I1" t="s">
        <v>5</v>
      </c>
      <c r="K1" t="s">
        <v>2</v>
      </c>
      <c r="M1" t="s">
        <v>10</v>
      </c>
      <c r="O1" t="s">
        <v>12</v>
      </c>
      <c r="Q1" t="s">
        <v>8</v>
      </c>
      <c r="S1" t="s">
        <v>6</v>
      </c>
      <c r="U1" t="s">
        <v>4</v>
      </c>
    </row>
    <row r="2" spans="1:29" x14ac:dyDescent="0.25">
      <c r="A2" t="s">
        <v>17</v>
      </c>
      <c r="B2" t="s">
        <v>1</v>
      </c>
      <c r="C2">
        <v>6992</v>
      </c>
      <c r="D2">
        <f>C2/C2</f>
        <v>1</v>
      </c>
      <c r="E2">
        <v>6526</v>
      </c>
      <c r="F2">
        <f>E2/E2</f>
        <v>1</v>
      </c>
      <c r="G2">
        <v>6102</v>
      </c>
      <c r="H2">
        <f>G2/G2</f>
        <v>1</v>
      </c>
      <c r="I2">
        <v>6616</v>
      </c>
      <c r="J2">
        <f>I2/I2</f>
        <v>1</v>
      </c>
      <c r="K2">
        <v>6859</v>
      </c>
      <c r="L2">
        <f>K2/K2</f>
        <v>1</v>
      </c>
      <c r="M2">
        <v>5501</v>
      </c>
      <c r="N2">
        <f>M2/M2</f>
        <v>1</v>
      </c>
      <c r="O2">
        <v>6104</v>
      </c>
      <c r="P2">
        <f>O2/O2</f>
        <v>1</v>
      </c>
      <c r="Q2">
        <v>5986</v>
      </c>
      <c r="R2">
        <f>Q2/Q2</f>
        <v>1</v>
      </c>
      <c r="S2">
        <v>6578</v>
      </c>
      <c r="T2">
        <f>S2/S2</f>
        <v>1</v>
      </c>
      <c r="U2">
        <v>6535</v>
      </c>
      <c r="V2">
        <f>U2/U2</f>
        <v>1</v>
      </c>
      <c r="X2">
        <f>AVERAGE(C2,E2,G2,I2,K2,M2,O2,Q2,S2,U2)</f>
        <v>6379.9</v>
      </c>
      <c r="AA2" s="1"/>
      <c r="AB2" s="1"/>
    </row>
    <row r="3" spans="1:29" x14ac:dyDescent="0.25">
      <c r="C3">
        <v>8158</v>
      </c>
      <c r="D3">
        <f>C3/C2</f>
        <v>1.166762013729977</v>
      </c>
      <c r="E3">
        <v>8142</v>
      </c>
      <c r="F3">
        <f>E3/E2</f>
        <v>1.2476248850750842</v>
      </c>
      <c r="G3">
        <v>8600</v>
      </c>
      <c r="H3">
        <f>G3/G2</f>
        <v>1.4093739757456571</v>
      </c>
      <c r="I3">
        <v>8376</v>
      </c>
      <c r="J3">
        <f>I3/I2</f>
        <v>1.2660217654171706</v>
      </c>
      <c r="K3">
        <v>9195</v>
      </c>
      <c r="L3">
        <f>K3/K2</f>
        <v>1.3405744277591485</v>
      </c>
      <c r="M3">
        <v>8982</v>
      </c>
      <c r="N3">
        <f>M3/M2</f>
        <v>1.6327940374477368</v>
      </c>
      <c r="O3">
        <v>8383</v>
      </c>
      <c r="P3">
        <f>O3/O2</f>
        <v>1.3733617300131062</v>
      </c>
      <c r="Q3">
        <v>8601</v>
      </c>
      <c r="R3">
        <f>Q3/Q2</f>
        <v>1.4368526561977948</v>
      </c>
      <c r="S3">
        <v>9074</v>
      </c>
      <c r="T3">
        <f>S3/S2</f>
        <v>1.3794466403162056</v>
      </c>
      <c r="U3">
        <v>8968</v>
      </c>
      <c r="V3">
        <f>U3/U2</f>
        <v>1.3723029839326701</v>
      </c>
    </row>
    <row r="4" spans="1:29" x14ac:dyDescent="0.25">
      <c r="C4">
        <v>5408</v>
      </c>
      <c r="D4">
        <f>C4/C2</f>
        <v>0.77345537757437066</v>
      </c>
      <c r="E4">
        <v>7602</v>
      </c>
      <c r="F4">
        <f>E4/E2</f>
        <v>1.1648789457554398</v>
      </c>
      <c r="G4">
        <v>7324</v>
      </c>
      <c r="H4">
        <f>G4/G2</f>
        <v>1.2002622091117667</v>
      </c>
      <c r="I4">
        <v>7982</v>
      </c>
      <c r="J4">
        <f>I4/I2</f>
        <v>1.2064691656590085</v>
      </c>
      <c r="K4">
        <v>8025</v>
      </c>
      <c r="L4">
        <f>K4/K2</f>
        <v>1.169995626184575</v>
      </c>
      <c r="M4">
        <v>7330</v>
      </c>
      <c r="N4">
        <f>M4/M2</f>
        <v>1.3324850027267769</v>
      </c>
      <c r="O4">
        <v>7755</v>
      </c>
      <c r="P4">
        <f>O4/O2</f>
        <v>1.270478374836173</v>
      </c>
      <c r="Q4">
        <v>7709</v>
      </c>
      <c r="R4">
        <f>Q4/Q2</f>
        <v>1.2878382893417974</v>
      </c>
      <c r="S4">
        <v>7621</v>
      </c>
      <c r="T4">
        <f>S4/S2</f>
        <v>1.1585588324718759</v>
      </c>
      <c r="U4">
        <v>7711</v>
      </c>
      <c r="V4">
        <f>U4/U2</f>
        <v>1.1799540933435348</v>
      </c>
    </row>
    <row r="5" spans="1:29" x14ac:dyDescent="0.25">
      <c r="D5">
        <f>D3-D4</f>
        <v>0.39330663615560635</v>
      </c>
      <c r="F5">
        <f>F3-F4</f>
        <v>8.2745939319644357E-2</v>
      </c>
      <c r="H5">
        <f>H3-H4</f>
        <v>0.20911176663389042</v>
      </c>
      <c r="J5">
        <f>J3-J4</f>
        <v>5.9552599758162073E-2</v>
      </c>
      <c r="L5">
        <f>L3-L4</f>
        <v>0.1705788015745735</v>
      </c>
      <c r="N5">
        <f>N3-N4</f>
        <v>0.30030903472095982</v>
      </c>
      <c r="P5">
        <f>P3-P4</f>
        <v>0.10288335517693326</v>
      </c>
      <c r="R5">
        <f>R3-R4</f>
        <v>0.14901436685599734</v>
      </c>
      <c r="T5">
        <f>T3-T4</f>
        <v>0.22088780784432971</v>
      </c>
      <c r="V5">
        <f>V3-V4</f>
        <v>0.19234889058913529</v>
      </c>
      <c r="W5">
        <v>4</v>
      </c>
      <c r="X5">
        <f>AVERAGE(D5:V5)</f>
        <v>0.18807391986292321</v>
      </c>
    </row>
    <row r="7" spans="1:29" x14ac:dyDescent="0.25">
      <c r="C7" t="s">
        <v>21</v>
      </c>
      <c r="E7" t="s">
        <v>22</v>
      </c>
      <c r="G7" t="s">
        <v>23</v>
      </c>
      <c r="I7" t="s">
        <v>24</v>
      </c>
      <c r="K7" t="s">
        <v>3</v>
      </c>
    </row>
    <row r="8" spans="1:29" x14ac:dyDescent="0.25">
      <c r="B8" t="s">
        <v>19</v>
      </c>
      <c r="C8">
        <v>9233</v>
      </c>
      <c r="D8">
        <f>C8/C8</f>
        <v>1</v>
      </c>
      <c r="E8">
        <v>9184</v>
      </c>
      <c r="F8">
        <f>E8/E8</f>
        <v>1</v>
      </c>
      <c r="G8">
        <v>8962</v>
      </c>
      <c r="H8">
        <f>G8/G8</f>
        <v>1</v>
      </c>
      <c r="I8">
        <v>9107</v>
      </c>
      <c r="J8">
        <f>I8/I8</f>
        <v>1</v>
      </c>
      <c r="K8">
        <v>9107</v>
      </c>
      <c r="L8">
        <f>K8/K8</f>
        <v>1</v>
      </c>
      <c r="N8">
        <f>AVERAGE(C8,E8,G8,I8,K8)</f>
        <v>9118.6</v>
      </c>
      <c r="AA8" s="1">
        <v>1</v>
      </c>
      <c r="AB8" s="2">
        <f>X5</f>
        <v>0.18807391986292321</v>
      </c>
      <c r="AC8">
        <f>_xlfn.STDEV.P(D5,F5,H5,J5,L5,N5,P5,R5,T5,V5)</f>
        <v>9.641352593040689E-2</v>
      </c>
    </row>
    <row r="9" spans="1:29" x14ac:dyDescent="0.25">
      <c r="C9">
        <v>10359</v>
      </c>
      <c r="D9">
        <f>C9/C8</f>
        <v>1.121953861150222</v>
      </c>
      <c r="E9">
        <v>10171</v>
      </c>
      <c r="F9">
        <f>E9/E8</f>
        <v>1.1074695121951219</v>
      </c>
      <c r="G9">
        <v>10338</v>
      </c>
      <c r="H9">
        <f>G9/G8</f>
        <v>1.153537156884624</v>
      </c>
      <c r="I9">
        <v>10842</v>
      </c>
      <c r="J9">
        <f>I9/I8</f>
        <v>1.1905127923575272</v>
      </c>
      <c r="K9">
        <v>10842</v>
      </c>
      <c r="L9">
        <f>K9/K8</f>
        <v>1.1905127923575272</v>
      </c>
      <c r="AA9" s="1">
        <v>2</v>
      </c>
      <c r="AB9" s="2">
        <f>X11</f>
        <v>2.1574353629874966E-2</v>
      </c>
      <c r="AC9">
        <f>_xlfn.STDEV.P(D11,F11,H11,J11,L11,N11,P11,R11,T11,V11)</f>
        <v>3.6188760670904846E-2</v>
      </c>
    </row>
    <row r="10" spans="1:29" x14ac:dyDescent="0.25">
      <c r="C10">
        <v>10290</v>
      </c>
      <c r="D10">
        <f>C10/C8</f>
        <v>1.1144806671721001</v>
      </c>
      <c r="E10">
        <v>10357</v>
      </c>
      <c r="F10">
        <f>E10/E8</f>
        <v>1.1277221254355401</v>
      </c>
      <c r="G10">
        <v>10414</v>
      </c>
      <c r="H10">
        <f>G10/G8</f>
        <v>1.1620174068288329</v>
      </c>
      <c r="I10">
        <v>10254</v>
      </c>
      <c r="J10">
        <f>I10/I8</f>
        <v>1.1259470736795871</v>
      </c>
      <c r="K10">
        <v>10254</v>
      </c>
      <c r="L10">
        <f>K10/K8</f>
        <v>1.1259470736795871</v>
      </c>
      <c r="AA10" s="1">
        <v>3</v>
      </c>
      <c r="AB10" s="2" t="e">
        <f>X17</f>
        <v>#DIV/0!</v>
      </c>
      <c r="AC10" t="e">
        <f>_xlfn.STDEV.P(D17,F17,H17,J17,L17)</f>
        <v>#DIV/0!</v>
      </c>
    </row>
    <row r="11" spans="1:29" x14ac:dyDescent="0.25">
      <c r="D11">
        <f>D9-D10</f>
        <v>7.4731939781218504E-3</v>
      </c>
      <c r="F11">
        <f>F9-F10</f>
        <v>-2.025261324041816E-2</v>
      </c>
      <c r="H11">
        <f>H9-H10</f>
        <v>-8.4802499442089285E-3</v>
      </c>
      <c r="J11">
        <f>J9-J10</f>
        <v>6.4565718677940032E-2</v>
      </c>
      <c r="L11">
        <f>L9-L10</f>
        <v>6.4565718677940032E-2</v>
      </c>
      <c r="W11">
        <v>1</v>
      </c>
      <c r="X11">
        <f>AVERAGE(D11:V11)</f>
        <v>2.1574353629874966E-2</v>
      </c>
      <c r="AA11" s="1"/>
      <c r="AB11" s="2"/>
    </row>
    <row r="12" spans="1:29" x14ac:dyDescent="0.25">
      <c r="AA12" s="1"/>
      <c r="AB12" s="2"/>
    </row>
    <row r="13" spans="1:29" x14ac:dyDescent="0.25">
      <c r="C13" t="s">
        <v>25</v>
      </c>
      <c r="E13" t="s">
        <v>26</v>
      </c>
      <c r="G13" t="s">
        <v>27</v>
      </c>
      <c r="I13" t="s">
        <v>28</v>
      </c>
      <c r="K13" t="s">
        <v>18</v>
      </c>
      <c r="AA13" s="1"/>
      <c r="AB13" s="2"/>
    </row>
    <row r="14" spans="1:29" x14ac:dyDescent="0.25">
      <c r="B14" t="s">
        <v>20</v>
      </c>
      <c r="D14" t="e">
        <f>C14/C14</f>
        <v>#DIV/0!</v>
      </c>
      <c r="F14" t="e">
        <f>E14/E14</f>
        <v>#DIV/0!</v>
      </c>
      <c r="H14" t="e">
        <f>G14/G14</f>
        <v>#DIV/0!</v>
      </c>
      <c r="J14" t="e">
        <f>I14/I14</f>
        <v>#DIV/0!</v>
      </c>
      <c r="L14" t="e">
        <f>K14/K14</f>
        <v>#DIV/0!</v>
      </c>
      <c r="AA14" s="1"/>
      <c r="AB14" s="2"/>
    </row>
    <row r="15" spans="1:29" x14ac:dyDescent="0.25">
      <c r="D15" t="e">
        <f>C15/C14</f>
        <v>#DIV/0!</v>
      </c>
      <c r="F15" t="e">
        <f>E15/E14</f>
        <v>#DIV/0!</v>
      </c>
      <c r="H15" t="e">
        <f>G15/G14</f>
        <v>#DIV/0!</v>
      </c>
      <c r="J15" t="e">
        <f>I15/I14</f>
        <v>#DIV/0!</v>
      </c>
      <c r="L15" t="e">
        <f>K15/K14</f>
        <v>#DIV/0!</v>
      </c>
      <c r="AA15" s="1"/>
      <c r="AB15" s="2"/>
    </row>
    <row r="16" spans="1:29" x14ac:dyDescent="0.25">
      <c r="D16" t="e">
        <f>C16/C14</f>
        <v>#DIV/0!</v>
      </c>
      <c r="F16" t="e">
        <f>E16/E14</f>
        <v>#DIV/0!</v>
      </c>
      <c r="H16" t="e">
        <f>G16/G14</f>
        <v>#DIV/0!</v>
      </c>
      <c r="J16" t="e">
        <f>I16/I14</f>
        <v>#DIV/0!</v>
      </c>
      <c r="L16" t="e">
        <f>K16/K14</f>
        <v>#DIV/0!</v>
      </c>
      <c r="AA16" s="1"/>
      <c r="AB16" s="2"/>
    </row>
    <row r="17" spans="4:28" x14ac:dyDescent="0.25">
      <c r="D17" t="e">
        <f>D15-D16</f>
        <v>#DIV/0!</v>
      </c>
      <c r="F17" t="e">
        <f>F15-F16</f>
        <v>#DIV/0!</v>
      </c>
      <c r="H17" t="e">
        <f>H15-H16</f>
        <v>#DIV/0!</v>
      </c>
      <c r="J17" t="e">
        <f>J15-J16</f>
        <v>#DIV/0!</v>
      </c>
      <c r="L17" t="e">
        <f>L15-L16</f>
        <v>#DIV/0!</v>
      </c>
      <c r="W17">
        <v>2</v>
      </c>
      <c r="X17" t="e">
        <f>AVERAGE(D17:V17)</f>
        <v>#DIV/0!</v>
      </c>
      <c r="AA17" s="1"/>
      <c r="AB17" s="2"/>
    </row>
    <row r="18" spans="4:28" x14ac:dyDescent="0.25">
      <c r="AA18" s="1"/>
      <c r="AB18" s="2"/>
    </row>
    <row r="19" spans="4:28" x14ac:dyDescent="0.25">
      <c r="AA19" s="1"/>
      <c r="AB19" s="2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Sheet1</vt:lpstr>
      <vt:lpstr>Split0</vt:lpstr>
      <vt:lpstr>Split1</vt:lpstr>
      <vt:lpstr>Split2</vt:lpstr>
      <vt:lpstr>Split4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Elias</dc:creator>
  <cp:lastModifiedBy>Maximilian Eiche</cp:lastModifiedBy>
  <dcterms:created xsi:type="dcterms:W3CDTF">2024-05-23T08:26:35Z</dcterms:created>
  <dcterms:modified xsi:type="dcterms:W3CDTF">2025-03-07T09:59:19Z</dcterms:modified>
</cp:coreProperties>
</file>