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Y:\Members\MaxE\Thesis\Data for Figures\Figure_4\"/>
    </mc:Choice>
  </mc:AlternateContent>
  <xr:revisionPtr revIDLastSave="0" documentId="13_ncr:1_{063B951B-0A60-44D6-8098-6699F4423A81}" xr6:coauthVersionLast="47" xr6:coauthVersionMax="47" xr10:uidLastSave="{00000000-0000-0000-0000-000000000000}"/>
  <bookViews>
    <workbookView xWindow="-28920" yWindow="-120" windowWidth="29040" windowHeight="17520" activeTab="1" xr2:uid="{842A3871-805F-4797-B5E5-D5E7795588DA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9" i="1" l="1"/>
  <c r="K8" i="1"/>
  <c r="K7" i="1"/>
  <c r="K6" i="1"/>
  <c r="AC11" i="1"/>
  <c r="AC10" i="1"/>
  <c r="AC9" i="1"/>
  <c r="AC8" i="1"/>
  <c r="AC7" i="1"/>
  <c r="AC6" i="1"/>
  <c r="K15" i="1" l="1"/>
  <c r="K14" i="1"/>
  <c r="K13" i="1"/>
  <c r="K12" i="1"/>
  <c r="J6" i="1"/>
  <c r="J7" i="1"/>
  <c r="J8" i="1"/>
  <c r="J9" i="1"/>
  <c r="J15" i="1"/>
  <c r="J14" i="1"/>
  <c r="J13" i="1"/>
  <c r="J12" i="1"/>
</calcChain>
</file>

<file path=xl/sharedStrings.xml><?xml version="1.0" encoding="utf-8"?>
<sst xmlns="http://schemas.openxmlformats.org/spreadsheetml/2006/main" count="82" uniqueCount="52">
  <si>
    <t>Height spheroid</t>
  </si>
  <si>
    <t>Distance to medium</t>
  </si>
  <si>
    <t>Height Mebiol</t>
  </si>
  <si>
    <t>C1</t>
  </si>
  <si>
    <t>C2</t>
  </si>
  <si>
    <t>x</t>
  </si>
  <si>
    <t>C4</t>
  </si>
  <si>
    <t>C5</t>
  </si>
  <si>
    <t>C7</t>
  </si>
  <si>
    <t>C8</t>
  </si>
  <si>
    <t>D1</t>
  </si>
  <si>
    <t>D2</t>
  </si>
  <si>
    <t>D4</t>
  </si>
  <si>
    <t>D5</t>
  </si>
  <si>
    <t>D7</t>
  </si>
  <si>
    <t>D8</t>
  </si>
  <si>
    <t>E1</t>
  </si>
  <si>
    <t>E2</t>
  </si>
  <si>
    <t>E4</t>
  </si>
  <si>
    <t>E5</t>
  </si>
  <si>
    <t>E7</t>
  </si>
  <si>
    <t>E8</t>
  </si>
  <si>
    <t>F1</t>
  </si>
  <si>
    <t>F2</t>
  </si>
  <si>
    <t>F4</t>
  </si>
  <si>
    <t>F5</t>
  </si>
  <si>
    <t>F7</t>
  </si>
  <si>
    <t>F8</t>
  </si>
  <si>
    <t xml:space="preserve">1 + 2 </t>
  </si>
  <si>
    <t>Masked silanization</t>
  </si>
  <si>
    <t>4 + 5</t>
  </si>
  <si>
    <t>Silanization</t>
  </si>
  <si>
    <t xml:space="preserve">7 + 8 </t>
  </si>
  <si>
    <t>Normal Plate</t>
  </si>
  <si>
    <t>Time cooled</t>
  </si>
  <si>
    <t>A7 (Extra drop)</t>
  </si>
  <si>
    <t>A8</t>
  </si>
  <si>
    <t>B7</t>
  </si>
  <si>
    <t>B8</t>
  </si>
  <si>
    <t>D7 (Extra drop)</t>
  </si>
  <si>
    <t>???</t>
  </si>
  <si>
    <t>F8 (Extra drop)</t>
  </si>
  <si>
    <t>Dropseed 21.03.2024</t>
  </si>
  <si>
    <t>Dropseed 19.03.2024</t>
  </si>
  <si>
    <t>A7</t>
  </si>
  <si>
    <t>B4</t>
  </si>
  <si>
    <t>D6</t>
  </si>
  <si>
    <t>F6</t>
  </si>
  <si>
    <t>Dropseed 22.03.24</t>
  </si>
  <si>
    <t>Cooling [min]</t>
  </si>
  <si>
    <t>Distance to medium [µm]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</si>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</sst>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42803543307086617"/>
                  <c:y val="-2.934492563429571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Tabelle1!$K$6:$K$9</c:f>
                <c:numCache>
                  <c:formatCode>General</c:formatCode>
                  <c:ptCount val="4"/>
                  <c:pt idx="0">
                    <c:v>7.0710678118654755</c:v>
                  </c:pt>
                  <c:pt idx="1">
                    <c:v>10.198039027185569</c:v>
                  </c:pt>
                  <c:pt idx="2">
                    <c:v>18.867962264113206</c:v>
                  </c:pt>
                  <c:pt idx="3">
                    <c:v>10.274023338281628</c:v>
                  </c:pt>
                </c:numCache>
              </c:numRef>
            </c:plus>
            <c:minus>
              <c:numRef>
                <c:f>Tabelle1!$K$6:$K$9</c:f>
                <c:numCache>
                  <c:formatCode>General</c:formatCode>
                  <c:ptCount val="4"/>
                  <c:pt idx="0">
                    <c:v>7.0710678118654755</c:v>
                  </c:pt>
                  <c:pt idx="1">
                    <c:v>10.198039027185569</c:v>
                  </c:pt>
                  <c:pt idx="2">
                    <c:v>18.867962264113206</c:v>
                  </c:pt>
                  <c:pt idx="3">
                    <c:v>10.274023338281628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Tabelle1!$I$6:$I$9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10</c:v>
                </c:pt>
                <c:pt idx="3">
                  <c:v>20</c:v>
                </c:pt>
              </c:numCache>
            </c:numRef>
          </c:xVal>
          <c:yVal>
            <c:numRef>
              <c:f>Tabelle1!$J$6:$J$9</c:f>
              <c:numCache>
                <c:formatCode>General</c:formatCode>
                <c:ptCount val="4"/>
                <c:pt idx="0">
                  <c:v>45</c:v>
                </c:pt>
                <c:pt idx="1">
                  <c:v>54</c:v>
                </c:pt>
                <c:pt idx="2">
                  <c:v>83</c:v>
                </c:pt>
                <c:pt idx="3">
                  <c:v>123.33333333333333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18-4F01-A276-594F96299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135480"/>
        <c:axId val="537132200"/>
      </c:scatterChart>
      <c:valAx>
        <c:axId val="537135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132200"/>
        <c:crosses val="autoZero"/>
        <c:crossBetween val="midCat"/>
      </c:valAx>
      <c:valAx>
        <c:axId val="537132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135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45215358718458065"/>
                  <c:y val="-0.327125655254096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Tabelle1!$K$12:$K$15</c:f>
                <c:numCache>
                  <c:formatCode>General</c:formatCode>
                  <c:ptCount val="4"/>
                  <c:pt idx="0">
                    <c:v>12.24744871391589</c:v>
                  </c:pt>
                  <c:pt idx="1">
                    <c:v>21.354156504062622</c:v>
                  </c:pt>
                  <c:pt idx="2">
                    <c:v>30.099833886584822</c:v>
                  </c:pt>
                  <c:pt idx="3">
                    <c:v>27.788886667555111</c:v>
                  </c:pt>
                </c:numCache>
              </c:numRef>
            </c:plus>
            <c:minus>
              <c:numRef>
                <c:f>Tabelle1!$K$12:$K$15</c:f>
                <c:numCache>
                  <c:formatCode>General</c:formatCode>
                  <c:ptCount val="4"/>
                  <c:pt idx="0">
                    <c:v>12.24744871391589</c:v>
                  </c:pt>
                  <c:pt idx="1">
                    <c:v>21.354156504062622</c:v>
                  </c:pt>
                  <c:pt idx="2">
                    <c:v>30.099833886584822</c:v>
                  </c:pt>
                  <c:pt idx="3">
                    <c:v>27.788886667555111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Tabelle1!$I$12:$I$15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10</c:v>
                </c:pt>
                <c:pt idx="3">
                  <c:v>20</c:v>
                </c:pt>
              </c:numCache>
            </c:numRef>
          </c:xVal>
          <c:yVal>
            <c:numRef>
              <c:f>Tabelle1!$J$12:$J$15</c:f>
              <c:numCache>
                <c:formatCode>General</c:formatCode>
                <c:ptCount val="4"/>
                <c:pt idx="0">
                  <c:v>200</c:v>
                </c:pt>
                <c:pt idx="1">
                  <c:v>198</c:v>
                </c:pt>
                <c:pt idx="2">
                  <c:v>218</c:v>
                </c:pt>
                <c:pt idx="3">
                  <c:v>143.33333333333334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2D-452A-AAFF-7BD4F427A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2671296"/>
        <c:axId val="542670968"/>
      </c:scatterChart>
      <c:valAx>
        <c:axId val="542671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670968"/>
        <c:crosses val="autoZero"/>
        <c:crossBetween val="midCat"/>
      </c:valAx>
      <c:valAx>
        <c:axId val="542670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671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52269685039370084"/>
                  <c:y val="-0.220360163312919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Tabelle1!$AB$6:$AB$11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11</c:v>
                </c:pt>
                <c:pt idx="4">
                  <c:v>21</c:v>
                </c:pt>
                <c:pt idx="5">
                  <c:v>31</c:v>
                </c:pt>
              </c:numCache>
            </c:numRef>
          </c:xVal>
          <c:yVal>
            <c:numRef>
              <c:f>Tabelle1!$AC$6:$AC$11</c:f>
              <c:numCache>
                <c:formatCode>General</c:formatCode>
                <c:ptCount val="6"/>
                <c:pt idx="0">
                  <c:v>57.5</c:v>
                </c:pt>
                <c:pt idx="1">
                  <c:v>105</c:v>
                </c:pt>
                <c:pt idx="2">
                  <c:v>107.5</c:v>
                </c:pt>
                <c:pt idx="3">
                  <c:v>70</c:v>
                </c:pt>
                <c:pt idx="4">
                  <c:v>100</c:v>
                </c:pt>
                <c:pt idx="5">
                  <c:v>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34-44B3-8C53-81B2DA263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217184"/>
        <c:axId val="532216200"/>
      </c:scatterChart>
      <c:valAx>
        <c:axId val="532217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216200"/>
        <c:crosses val="autoZero"/>
        <c:crossBetween val="midCat"/>
      </c:valAx>
      <c:valAx>
        <c:axId val="532216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217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Tabelle1!$Y$21</c:f>
              <c:strCache>
                <c:ptCount val="1"/>
                <c:pt idx="0">
                  <c:v>Distance to medium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52994906892138316"/>
                  <c:y val="-0.3506860371267150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Tabelle1!$W$22:$W$33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5</c:v>
                </c:pt>
                <c:pt idx="7">
                  <c:v>5</c:v>
                </c:pt>
                <c:pt idx="8">
                  <c:v>12</c:v>
                </c:pt>
                <c:pt idx="9">
                  <c:v>12</c:v>
                </c:pt>
                <c:pt idx="10">
                  <c:v>22</c:v>
                </c:pt>
                <c:pt idx="11">
                  <c:v>22</c:v>
                </c:pt>
              </c:numCache>
            </c:numRef>
          </c:xVal>
          <c:yVal>
            <c:numRef>
              <c:f>Tabelle1!$Y$22:$Y$33</c:f>
              <c:numCache>
                <c:formatCode>General</c:formatCode>
                <c:ptCount val="12"/>
                <c:pt idx="0">
                  <c:v>115</c:v>
                </c:pt>
                <c:pt idx="1">
                  <c:v>0</c:v>
                </c:pt>
                <c:pt idx="2">
                  <c:v>180</c:v>
                </c:pt>
                <c:pt idx="3">
                  <c:v>40</c:v>
                </c:pt>
                <c:pt idx="4">
                  <c:v>145</c:v>
                </c:pt>
                <c:pt idx="5">
                  <c:v>170</c:v>
                </c:pt>
                <c:pt idx="6">
                  <c:v>270</c:v>
                </c:pt>
                <c:pt idx="7">
                  <c:v>240</c:v>
                </c:pt>
                <c:pt idx="8">
                  <c:v>230</c:v>
                </c:pt>
                <c:pt idx="9">
                  <c:v>160</c:v>
                </c:pt>
                <c:pt idx="10">
                  <c:v>700</c:v>
                </c:pt>
                <c:pt idx="11">
                  <c:v>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62-4E04-A5EF-7B0395C89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681376"/>
        <c:axId val="503674160"/>
      </c:scatterChart>
      <c:valAx>
        <c:axId val="50368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674160"/>
        <c:crosses val="autoZero"/>
        <c:crossBetween val="midCat"/>
      </c:valAx>
      <c:valAx>
        <c:axId val="50367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681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233361</xdr:colOff>
      <xdr:row>1</xdr:row>
      <xdr:rowOff>0</xdr:rowOff>
    </xdr:from>
    <xdr:to>
      <xdr:col>19</xdr:col>
      <xdr:colOff>381000</xdr:colOff>
      <xdr:row>18</xdr:row>
      <xdr:rowOff>161926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8DD89FF-54F2-4809-9D04-02A8DB583F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209550</xdr:colOff>
      <xdr:row>19</xdr:row>
      <xdr:rowOff>95249</xdr:rowOff>
    </xdr:from>
    <xdr:to>
      <xdr:col>19</xdr:col>
      <xdr:colOff>381000</xdr:colOff>
      <xdr:row>37</xdr:row>
      <xdr:rowOff>85724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18724524-53C6-4ED4-B387-5E8A44D585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523874</xdr:colOff>
      <xdr:row>4</xdr:row>
      <xdr:rowOff>254453</xdr:rowOff>
    </xdr:from>
    <xdr:to>
      <xdr:col>35</xdr:col>
      <xdr:colOff>523874</xdr:colOff>
      <xdr:row>16</xdr:row>
      <xdr:rowOff>140153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DCE380AB-1C42-4A25-8620-E5A4032B11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387802</xdr:colOff>
      <xdr:row>17</xdr:row>
      <xdr:rowOff>172810</xdr:rowOff>
    </xdr:from>
    <xdr:to>
      <xdr:col>35</xdr:col>
      <xdr:colOff>639536</xdr:colOff>
      <xdr:row>32</xdr:row>
      <xdr:rowOff>95250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EDBFEAC6-0A18-4500-A406-611A666DA4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DF9-04C9-403E-82EC-4B159F9B5849}">
  <dimension ref="D5:AC35"/>
  <sheetViews>
    <sheetView topLeftCell="A4" zoomScale="70" zoomScaleNormal="70" workbookViewId="0">
      <selection activeCell="B59" sqref="B59"/>
    </sheetView>
  </sheetViews>
  <sheetFormatPr baseColWidth="10" defaultRowHeight="15" x14ac:dyDescent="0.25"/>
  <cols>
    <col min="4" max="4" width="12" bestFit="1" customWidth="1"/>
  </cols>
  <sheetData>
    <row r="5" spans="4:29" ht="30" x14ac:dyDescent="0.25">
      <c r="D5" s="1" t="s">
        <v>43</v>
      </c>
      <c r="E5" s="1" t="s">
        <v>0</v>
      </c>
      <c r="F5" s="1" t="s">
        <v>1</v>
      </c>
      <c r="G5" s="1" t="s">
        <v>2</v>
      </c>
      <c r="V5" s="1" t="s">
        <v>42</v>
      </c>
      <c r="W5" s="1" t="s">
        <v>34</v>
      </c>
      <c r="X5" s="1" t="s">
        <v>0</v>
      </c>
      <c r="Y5" s="1" t="s">
        <v>1</v>
      </c>
      <c r="Z5" s="1" t="s">
        <v>2</v>
      </c>
      <c r="AA5" s="1"/>
    </row>
    <row r="6" spans="4:29" ht="30" x14ac:dyDescent="0.25">
      <c r="D6" s="1" t="s">
        <v>3</v>
      </c>
      <c r="E6" s="1">
        <v>200</v>
      </c>
      <c r="F6" s="1">
        <v>55</v>
      </c>
      <c r="G6" s="1">
        <v>255</v>
      </c>
      <c r="I6" s="1">
        <v>1</v>
      </c>
      <c r="J6">
        <f>AVERAGE(F6:F10)</f>
        <v>45</v>
      </c>
      <c r="K6">
        <f>_xlfn.STDEV.P(F6:F10)</f>
        <v>7.0710678118654755</v>
      </c>
      <c r="V6" s="1" t="s">
        <v>35</v>
      </c>
      <c r="W6" s="1">
        <v>0</v>
      </c>
      <c r="X6" s="1">
        <v>970</v>
      </c>
      <c r="Y6" s="1">
        <v>0</v>
      </c>
      <c r="Z6" s="1">
        <v>970</v>
      </c>
      <c r="AA6" s="1"/>
      <c r="AB6" s="1">
        <v>0</v>
      </c>
      <c r="AC6">
        <f>AVERAGE(Y6:Y7)</f>
        <v>57.5</v>
      </c>
    </row>
    <row r="7" spans="4:29" x14ac:dyDescent="0.25">
      <c r="D7" s="1" t="s">
        <v>4</v>
      </c>
      <c r="E7" s="1" t="s">
        <v>5</v>
      </c>
      <c r="F7" s="1"/>
      <c r="G7" s="1"/>
      <c r="I7">
        <v>3</v>
      </c>
      <c r="J7">
        <f>AVERAGE(F12:F17)</f>
        <v>54</v>
      </c>
      <c r="K7">
        <f>_xlfn.STDEV.P(F12:F17)</f>
        <v>10.198039027185569</v>
      </c>
      <c r="V7" s="1" t="s">
        <v>36</v>
      </c>
      <c r="W7" s="1">
        <v>0</v>
      </c>
      <c r="X7" s="1">
        <v>930</v>
      </c>
      <c r="Y7" s="1">
        <v>115</v>
      </c>
      <c r="Z7" s="1">
        <v>1045</v>
      </c>
      <c r="AA7" s="1"/>
      <c r="AB7" s="1">
        <v>1</v>
      </c>
      <c r="AC7">
        <f>AVERAGE(Y8:Y9)</f>
        <v>105</v>
      </c>
    </row>
    <row r="8" spans="4:29" x14ac:dyDescent="0.25">
      <c r="D8" s="1" t="s">
        <v>6</v>
      </c>
      <c r="E8" s="1">
        <v>215</v>
      </c>
      <c r="F8" s="1">
        <v>40</v>
      </c>
      <c r="G8" s="1">
        <v>255</v>
      </c>
      <c r="I8" s="1">
        <v>10</v>
      </c>
      <c r="J8">
        <f>AVERAGE(F18:F23)</f>
        <v>83</v>
      </c>
      <c r="K8">
        <f>_xlfn.STDEV.P(F18:F23)</f>
        <v>18.867962264113206</v>
      </c>
      <c r="V8" s="1" t="s">
        <v>37</v>
      </c>
      <c r="W8" s="1">
        <v>1</v>
      </c>
      <c r="X8" s="1">
        <v>960</v>
      </c>
      <c r="Y8" s="1">
        <v>80</v>
      </c>
      <c r="Z8" s="1">
        <v>1040</v>
      </c>
      <c r="AA8" s="1"/>
      <c r="AB8" s="1">
        <v>4</v>
      </c>
      <c r="AC8">
        <f>AVERAGE(Y10:Y11)</f>
        <v>107.5</v>
      </c>
    </row>
    <row r="9" spans="4:29" x14ac:dyDescent="0.25">
      <c r="D9" s="1" t="s">
        <v>7</v>
      </c>
      <c r="E9" s="1" t="s">
        <v>5</v>
      </c>
      <c r="F9" s="1"/>
      <c r="G9" s="1"/>
      <c r="I9">
        <v>20</v>
      </c>
      <c r="J9">
        <f>AVERAGE(F24:F29)</f>
        <v>123.33333333333333</v>
      </c>
      <c r="K9">
        <f>_xlfn.STDEV.P(F24:F28)</f>
        <v>10.274023338281628</v>
      </c>
      <c r="V9" s="1" t="s">
        <v>38</v>
      </c>
      <c r="W9" s="1">
        <v>1</v>
      </c>
      <c r="X9" s="1">
        <v>900</v>
      </c>
      <c r="Y9" s="1">
        <v>130</v>
      </c>
      <c r="Z9" s="1">
        <v>1030</v>
      </c>
      <c r="AA9" s="1"/>
      <c r="AB9" s="1">
        <v>11</v>
      </c>
      <c r="AC9">
        <f>AVERAGE(Y12:Y13)</f>
        <v>70</v>
      </c>
    </row>
    <row r="10" spans="4:29" x14ac:dyDescent="0.25">
      <c r="D10" s="1" t="s">
        <v>8</v>
      </c>
      <c r="E10" s="1">
        <v>185</v>
      </c>
      <c r="F10" s="1">
        <v>40</v>
      </c>
      <c r="G10" s="1">
        <v>225</v>
      </c>
      <c r="V10" s="1" t="s">
        <v>8</v>
      </c>
      <c r="W10" s="1">
        <v>4</v>
      </c>
      <c r="X10" s="1">
        <v>990</v>
      </c>
      <c r="Y10" s="1">
        <v>120</v>
      </c>
      <c r="Z10" s="1">
        <v>1110</v>
      </c>
      <c r="AA10" s="1"/>
      <c r="AB10" s="1">
        <v>21</v>
      </c>
      <c r="AC10">
        <f>AVERAGE(Y14:Y15)</f>
        <v>100</v>
      </c>
    </row>
    <row r="11" spans="4:29" x14ac:dyDescent="0.25">
      <c r="D11" s="1" t="s">
        <v>9</v>
      </c>
      <c r="E11" s="1" t="s">
        <v>5</v>
      </c>
      <c r="F11" s="1"/>
      <c r="G11" s="1" t="s">
        <v>5</v>
      </c>
      <c r="V11" s="1" t="s">
        <v>9</v>
      </c>
      <c r="W11" s="1">
        <v>4</v>
      </c>
      <c r="X11" s="1">
        <v>910</v>
      </c>
      <c r="Y11" s="1">
        <v>95</v>
      </c>
      <c r="Z11" s="1">
        <v>1005</v>
      </c>
      <c r="AA11" s="1"/>
      <c r="AB11" s="1">
        <v>31</v>
      </c>
      <c r="AC11">
        <f>AVERAGE(Y16:Y17)</f>
        <v>95</v>
      </c>
    </row>
    <row r="12" spans="4:29" ht="30" x14ac:dyDescent="0.25">
      <c r="D12" s="1" t="s">
        <v>10</v>
      </c>
      <c r="E12" s="1">
        <v>225</v>
      </c>
      <c r="F12" s="1">
        <v>50</v>
      </c>
      <c r="G12" s="1">
        <v>275</v>
      </c>
      <c r="I12" s="1">
        <v>1</v>
      </c>
      <c r="J12">
        <f>AVERAGE(E6:E10)</f>
        <v>200</v>
      </c>
      <c r="K12">
        <f>_xlfn.STDEV.P(E6:E10)</f>
        <v>12.24744871391589</v>
      </c>
      <c r="V12" s="1" t="s">
        <v>39</v>
      </c>
      <c r="W12" s="1">
        <v>11</v>
      </c>
      <c r="X12" s="1">
        <v>890</v>
      </c>
      <c r="Y12" s="1">
        <v>50</v>
      </c>
      <c r="Z12" s="1">
        <v>940</v>
      </c>
      <c r="AA12" s="1"/>
    </row>
    <row r="13" spans="4:29" x14ac:dyDescent="0.25">
      <c r="D13" s="1" t="s">
        <v>11</v>
      </c>
      <c r="E13" s="1">
        <v>220</v>
      </c>
      <c r="F13" s="1">
        <v>60</v>
      </c>
      <c r="G13" s="1">
        <v>280</v>
      </c>
      <c r="I13">
        <v>3</v>
      </c>
      <c r="J13">
        <f>AVERAGE(E12:E17)</f>
        <v>198</v>
      </c>
      <c r="K13">
        <f>_xlfn.STDEV.P(E12:E17)</f>
        <v>21.354156504062622</v>
      </c>
      <c r="V13" s="1" t="s">
        <v>15</v>
      </c>
      <c r="W13" s="1">
        <v>11</v>
      </c>
      <c r="X13" s="1">
        <v>1050</v>
      </c>
      <c r="Y13" s="1">
        <v>90</v>
      </c>
      <c r="Z13" s="1">
        <v>1160</v>
      </c>
      <c r="AA13" s="1"/>
    </row>
    <row r="14" spans="4:29" x14ac:dyDescent="0.25">
      <c r="D14" s="1" t="s">
        <v>12</v>
      </c>
      <c r="E14" s="1" t="s">
        <v>5</v>
      </c>
      <c r="F14" s="1"/>
      <c r="G14" s="1"/>
      <c r="I14" s="1">
        <v>10</v>
      </c>
      <c r="J14">
        <f>AVERAGE(E18:E23)</f>
        <v>218</v>
      </c>
      <c r="K14">
        <f>_xlfn.STDEV.P(E18:E23)</f>
        <v>30.099833886584822</v>
      </c>
      <c r="V14" s="1" t="s">
        <v>20</v>
      </c>
      <c r="W14" s="1">
        <v>21</v>
      </c>
      <c r="X14" s="1">
        <v>1030</v>
      </c>
      <c r="Y14" s="1"/>
      <c r="Z14" s="1" t="s">
        <v>40</v>
      </c>
      <c r="AA14" s="1"/>
    </row>
    <row r="15" spans="4:29" x14ac:dyDescent="0.25">
      <c r="D15" s="1" t="s">
        <v>13</v>
      </c>
      <c r="E15" s="1">
        <v>195</v>
      </c>
      <c r="F15" s="1">
        <v>70</v>
      </c>
      <c r="G15" s="1">
        <v>265</v>
      </c>
      <c r="I15">
        <v>20</v>
      </c>
      <c r="J15">
        <f>AVERAGE(E24:E29)</f>
        <v>143.33333333333334</v>
      </c>
      <c r="K15">
        <f>_xlfn.STDEV.P(E24:E28)</f>
        <v>27.788886667555111</v>
      </c>
      <c r="V15" s="1" t="s">
        <v>21</v>
      </c>
      <c r="W15" s="1">
        <v>21</v>
      </c>
      <c r="X15" s="1">
        <v>890</v>
      </c>
      <c r="Y15" s="1">
        <v>100</v>
      </c>
      <c r="Z15" s="1">
        <v>990</v>
      </c>
      <c r="AA15" s="1"/>
    </row>
    <row r="16" spans="4:29" x14ac:dyDescent="0.25">
      <c r="D16" s="1" t="s">
        <v>14</v>
      </c>
      <c r="E16" s="1">
        <v>175</v>
      </c>
      <c r="F16" s="1">
        <v>40</v>
      </c>
      <c r="G16" s="1">
        <v>215</v>
      </c>
      <c r="V16" s="1" t="s">
        <v>26</v>
      </c>
      <c r="W16" s="1">
        <v>31</v>
      </c>
      <c r="X16" s="1">
        <v>890</v>
      </c>
      <c r="Y16" s="1">
        <v>80</v>
      </c>
      <c r="Z16" s="1">
        <v>970</v>
      </c>
      <c r="AA16" s="1"/>
    </row>
    <row r="17" spans="4:27" ht="30" x14ac:dyDescent="0.25">
      <c r="D17" s="1" t="s">
        <v>15</v>
      </c>
      <c r="E17" s="1">
        <v>175</v>
      </c>
      <c r="F17" s="1">
        <v>50</v>
      </c>
      <c r="G17" s="1">
        <v>225</v>
      </c>
      <c r="V17" s="1" t="s">
        <v>41</v>
      </c>
      <c r="W17" s="1">
        <v>31</v>
      </c>
      <c r="X17" s="1">
        <v>850</v>
      </c>
      <c r="Y17" s="1">
        <v>110</v>
      </c>
      <c r="Z17" s="1">
        <v>960</v>
      </c>
      <c r="AA17" s="1"/>
    </row>
    <row r="18" spans="4:27" x14ac:dyDescent="0.25">
      <c r="D18" s="1" t="s">
        <v>16</v>
      </c>
      <c r="E18" s="1">
        <v>235</v>
      </c>
      <c r="F18" s="1">
        <v>80</v>
      </c>
      <c r="G18" s="1">
        <v>315</v>
      </c>
      <c r="V18" s="1"/>
      <c r="W18" s="1"/>
      <c r="X18" s="1"/>
      <c r="Y18" s="1"/>
      <c r="Z18" s="1"/>
      <c r="AA18" s="1"/>
    </row>
    <row r="19" spans="4:27" x14ac:dyDescent="0.25">
      <c r="D19" s="1" t="s">
        <v>17</v>
      </c>
      <c r="E19" s="1">
        <v>245</v>
      </c>
      <c r="F19" s="1">
        <v>70</v>
      </c>
      <c r="G19" s="1">
        <v>315</v>
      </c>
    </row>
    <row r="20" spans="4:27" x14ac:dyDescent="0.25">
      <c r="D20" s="1" t="s">
        <v>18</v>
      </c>
      <c r="E20" s="1">
        <v>220</v>
      </c>
      <c r="F20" s="1">
        <v>90</v>
      </c>
      <c r="G20" s="1">
        <v>310</v>
      </c>
    </row>
    <row r="21" spans="4:27" ht="30" x14ac:dyDescent="0.25">
      <c r="D21" s="1" t="s">
        <v>19</v>
      </c>
      <c r="E21" s="1" t="s">
        <v>5</v>
      </c>
      <c r="F21" s="1"/>
      <c r="G21" s="1"/>
      <c r="V21" s="1" t="s">
        <v>48</v>
      </c>
      <c r="W21" s="1" t="s">
        <v>34</v>
      </c>
      <c r="X21" s="1" t="s">
        <v>0</v>
      </c>
      <c r="Y21" s="1" t="s">
        <v>1</v>
      </c>
      <c r="Z21" s="1" t="s">
        <v>2</v>
      </c>
    </row>
    <row r="22" spans="4:27" x14ac:dyDescent="0.25">
      <c r="D22" s="1" t="s">
        <v>20</v>
      </c>
      <c r="E22" s="1">
        <v>160</v>
      </c>
      <c r="F22" s="1">
        <v>115</v>
      </c>
      <c r="G22" s="1">
        <v>275</v>
      </c>
      <c r="V22" s="1" t="s">
        <v>44</v>
      </c>
      <c r="W22" s="1">
        <v>0</v>
      </c>
      <c r="X22" s="1">
        <v>865</v>
      </c>
      <c r="Y22" s="1">
        <v>115</v>
      </c>
      <c r="Z22" s="1">
        <v>1080</v>
      </c>
    </row>
    <row r="23" spans="4:27" x14ac:dyDescent="0.25">
      <c r="D23" s="1" t="s">
        <v>21</v>
      </c>
      <c r="E23" s="1">
        <v>230</v>
      </c>
      <c r="F23" s="1">
        <v>60</v>
      </c>
      <c r="G23" s="1">
        <v>290</v>
      </c>
      <c r="V23" s="1" t="s">
        <v>36</v>
      </c>
      <c r="W23" s="1">
        <v>0</v>
      </c>
      <c r="X23" s="1">
        <v>0</v>
      </c>
      <c r="Y23" s="1">
        <v>0</v>
      </c>
      <c r="Z23" s="1">
        <v>0</v>
      </c>
    </row>
    <row r="24" spans="4:27" x14ac:dyDescent="0.25">
      <c r="D24" s="1" t="s">
        <v>22</v>
      </c>
      <c r="E24" s="1">
        <v>170</v>
      </c>
      <c r="F24" s="1">
        <v>110</v>
      </c>
      <c r="G24" s="1">
        <v>280</v>
      </c>
      <c r="V24" s="1" t="s">
        <v>45</v>
      </c>
      <c r="W24" s="1">
        <v>1</v>
      </c>
      <c r="X24" s="1">
        <v>867</v>
      </c>
      <c r="Y24" s="1">
        <v>180</v>
      </c>
      <c r="Z24" s="1">
        <v>1050</v>
      </c>
    </row>
    <row r="25" spans="4:27" x14ac:dyDescent="0.25">
      <c r="D25" s="1" t="s">
        <v>23</v>
      </c>
      <c r="E25" s="1">
        <v>155</v>
      </c>
      <c r="F25" s="1">
        <v>125</v>
      </c>
      <c r="G25" s="1">
        <v>280</v>
      </c>
      <c r="V25" s="1" t="s">
        <v>37</v>
      </c>
      <c r="W25" s="1">
        <v>1</v>
      </c>
      <c r="X25" s="1">
        <v>1083</v>
      </c>
      <c r="Y25" s="1">
        <v>40</v>
      </c>
      <c r="Z25" s="1">
        <v>1120</v>
      </c>
    </row>
    <row r="26" spans="4:27" x14ac:dyDescent="0.25">
      <c r="D26" s="1" t="s">
        <v>24</v>
      </c>
      <c r="E26" s="1" t="s">
        <v>5</v>
      </c>
      <c r="F26" s="1"/>
      <c r="G26" s="1"/>
      <c r="V26" s="1" t="s">
        <v>7</v>
      </c>
      <c r="W26" s="1">
        <v>3</v>
      </c>
      <c r="X26" s="1">
        <v>973</v>
      </c>
      <c r="Y26" s="1">
        <v>145</v>
      </c>
      <c r="Z26" s="1">
        <v>1116</v>
      </c>
    </row>
    <row r="27" spans="4:27" x14ac:dyDescent="0.25">
      <c r="D27" s="1" t="s">
        <v>25</v>
      </c>
      <c r="E27" s="1" t="s">
        <v>5</v>
      </c>
      <c r="F27" s="1"/>
      <c r="G27" s="1"/>
      <c r="V27" s="1" t="s">
        <v>9</v>
      </c>
      <c r="W27" s="1">
        <v>3</v>
      </c>
      <c r="X27" s="1">
        <v>901</v>
      </c>
      <c r="Y27" s="1">
        <v>170</v>
      </c>
      <c r="Z27" s="1">
        <v>1068</v>
      </c>
    </row>
    <row r="28" spans="4:27" x14ac:dyDescent="0.25">
      <c r="D28" s="1" t="s">
        <v>26</v>
      </c>
      <c r="E28" s="1">
        <v>105</v>
      </c>
      <c r="F28" s="1">
        <v>135</v>
      </c>
      <c r="G28" s="1">
        <v>240</v>
      </c>
      <c r="V28" s="1" t="s">
        <v>13</v>
      </c>
      <c r="W28" s="1">
        <v>5</v>
      </c>
      <c r="X28" s="1">
        <v>866</v>
      </c>
      <c r="Y28" s="1">
        <v>270</v>
      </c>
      <c r="Z28" s="1">
        <v>1136</v>
      </c>
    </row>
    <row r="29" spans="4:27" x14ac:dyDescent="0.25">
      <c r="D29" s="1" t="s">
        <v>27</v>
      </c>
      <c r="E29" s="1" t="s">
        <v>5</v>
      </c>
      <c r="F29" s="1"/>
      <c r="G29" s="1" t="s">
        <v>5</v>
      </c>
      <c r="V29" s="1" t="s">
        <v>46</v>
      </c>
      <c r="W29" s="1">
        <v>5</v>
      </c>
      <c r="X29" s="1">
        <v>770</v>
      </c>
      <c r="Y29" s="1">
        <v>240</v>
      </c>
      <c r="Z29" s="1">
        <v>1005</v>
      </c>
    </row>
    <row r="30" spans="4:27" x14ac:dyDescent="0.25">
      <c r="V30" s="1" t="s">
        <v>20</v>
      </c>
      <c r="W30" s="1">
        <v>12</v>
      </c>
      <c r="X30" s="1">
        <v>884</v>
      </c>
      <c r="Y30" s="1">
        <v>230</v>
      </c>
      <c r="Z30" s="1">
        <v>1109</v>
      </c>
    </row>
    <row r="31" spans="4:27" x14ac:dyDescent="0.25">
      <c r="V31" s="1" t="s">
        <v>21</v>
      </c>
      <c r="W31" s="1">
        <v>12</v>
      </c>
      <c r="X31" s="1">
        <v>865</v>
      </c>
      <c r="Y31" s="1">
        <v>160</v>
      </c>
      <c r="Z31" s="1">
        <v>1028</v>
      </c>
    </row>
    <row r="32" spans="4:27" x14ac:dyDescent="0.25">
      <c r="V32" s="1" t="s">
        <v>47</v>
      </c>
      <c r="W32" s="1">
        <v>22</v>
      </c>
      <c r="X32" s="1">
        <v>385</v>
      </c>
      <c r="Y32" s="1">
        <v>700</v>
      </c>
      <c r="Z32" s="1">
        <v>1084</v>
      </c>
    </row>
    <row r="33" spans="5:26" x14ac:dyDescent="0.25">
      <c r="E33" t="s">
        <v>28</v>
      </c>
      <c r="F33" t="s">
        <v>29</v>
      </c>
      <c r="V33" s="1" t="s">
        <v>26</v>
      </c>
      <c r="W33" s="1">
        <v>22</v>
      </c>
      <c r="X33" s="1">
        <v>602</v>
      </c>
      <c r="Y33" s="1">
        <v>400</v>
      </c>
      <c r="Z33" s="1">
        <v>1008</v>
      </c>
    </row>
    <row r="34" spans="5:26" x14ac:dyDescent="0.25">
      <c r="E34" t="s">
        <v>30</v>
      </c>
      <c r="F34" t="s">
        <v>31</v>
      </c>
    </row>
    <row r="35" spans="5:26" x14ac:dyDescent="0.25">
      <c r="E35" t="s">
        <v>32</v>
      </c>
      <c r="F35" t="s">
        <v>33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8A44C-8A87-45A3-8084-D4664689E450}">
  <dimension ref="A1:C5"/>
  <sheetViews>
    <sheetView tabSelected="1" workbookViewId="0">
      <selection activeCell="I11" sqref="I11"/>
    </sheetView>
  </sheetViews>
  <sheetFormatPr baseColWidth="10" defaultRowHeight="15" x14ac:dyDescent="0.25"/>
  <cols>
    <col min="2" max="2" width="13" bestFit="1" customWidth="1"/>
    <col min="3" max="3" width="23.7109375" bestFit="1" customWidth="1"/>
  </cols>
  <sheetData>
    <row r="1" spans="1:3" x14ac:dyDescent="0.25">
      <c r="A1" t="s">
        <v>49</v>
      </c>
      <c r="B1" t="s">
        <v>50</v>
      </c>
      <c r="C1" t="s">
        <v>51</v>
      </c>
    </row>
    <row r="2" spans="1:3" x14ac:dyDescent="0.25">
      <c r="A2">
        <v>1</v>
      </c>
      <c r="B2">
        <v>45</v>
      </c>
      <c r="C2">
        <v>7.0710678118654755</v>
      </c>
    </row>
    <row r="3" spans="1:3" x14ac:dyDescent="0.25">
      <c r="A3">
        <v>3</v>
      </c>
      <c r="B3">
        <v>54</v>
      </c>
      <c r="C3">
        <v>10.198039027185569</v>
      </c>
    </row>
    <row r="4" spans="1:3" x14ac:dyDescent="0.25">
      <c r="A4">
        <v>10</v>
      </c>
      <c r="B4">
        <v>83</v>
      </c>
      <c r="C4">
        <v>18.867962264113206</v>
      </c>
    </row>
    <row r="5" spans="1:3" x14ac:dyDescent="0.25">
      <c r="A5">
        <v>20</v>
      </c>
      <c r="B5">
        <v>123.33333333333333</v>
      </c>
      <c r="C5">
        <v>10.274023338281628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Eiche</dc:creator>
  <cp:lastModifiedBy>Maximilian Eiche</cp:lastModifiedBy>
  <dcterms:created xsi:type="dcterms:W3CDTF">2024-03-20T15:24:43Z</dcterms:created>
  <dcterms:modified xsi:type="dcterms:W3CDTF">2025-11-03T13:19:11Z</dcterms:modified>
</cp:coreProperties>
</file>