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embers\MaxE\ME_A Mammalian Adaptive Therapy\ME_A2 Adaptive Therapy Experiments\ME_A2_4\Analysis Pipeline\"/>
    </mc:Choice>
  </mc:AlternateContent>
  <xr:revisionPtr revIDLastSave="0" documentId="13_ncr:1_{F0693E29-7ECD-4C0B-A4F8-40C02C2C36E8}" xr6:coauthVersionLast="36" xr6:coauthVersionMax="47" xr10:uidLastSave="{00000000-0000-0000-0000-000000000000}"/>
  <bookViews>
    <workbookView xWindow="0" yWindow="7800" windowWidth="28800" windowHeight="13710" activeTab="1" xr2:uid="{97E027CB-5584-42B2-BD5F-9323B366F012}"/>
  </bookViews>
  <sheets>
    <sheet name="Data" sheetId="17" r:id="rId1"/>
    <sheet name="Treatment" sheetId="23" r:id="rId2"/>
    <sheet name="Correction factor" sheetId="1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4" l="1"/>
  <c r="D8" i="14"/>
  <c r="H8" i="14"/>
  <c r="H9" i="14" s="1"/>
  <c r="I8" i="14"/>
  <c r="BS40" i="17"/>
  <c r="IG40" i="17"/>
  <c r="EZ40" i="17"/>
  <c r="HR40" i="17"/>
  <c r="Z40" i="17"/>
  <c r="EK40" i="17"/>
  <c r="BS39" i="17"/>
  <c r="K39" i="17"/>
  <c r="CR39" i="17"/>
  <c r="GN39" i="17"/>
  <c r="FJ39" i="17"/>
  <c r="EK39" i="17"/>
  <c r="AE40" i="17"/>
  <c r="GS40" i="17"/>
  <c r="BX40" i="17"/>
  <c r="GD40" i="17"/>
  <c r="CW40" i="17"/>
  <c r="DV40" i="17"/>
  <c r="AE39" i="17"/>
  <c r="AF39" i="17" s="1"/>
  <c r="FT39" i="17"/>
  <c r="CM39" i="17"/>
  <c r="CH39" i="17"/>
  <c r="GI39" i="17"/>
  <c r="AY39" i="17"/>
  <c r="AT39" i="17"/>
  <c r="HH40" i="17"/>
  <c r="FE40" i="17"/>
  <c r="DQ40" i="17"/>
  <c r="EP40" i="17"/>
  <c r="HC40" i="17"/>
  <c r="BI40" i="17"/>
  <c r="HH39" i="17"/>
  <c r="IB39" i="17"/>
  <c r="BI39" i="17"/>
  <c r="DG39" i="17"/>
  <c r="HC39" i="17"/>
  <c r="HD39" i="17"/>
  <c r="FT40" i="17"/>
  <c r="CC40" i="17"/>
  <c r="AO40" i="17"/>
  <c r="FO40" i="17"/>
  <c r="U40" i="17"/>
  <c r="CH40" i="17"/>
  <c r="EP39" i="17"/>
  <c r="EQ39" i="17"/>
  <c r="GX39" i="17"/>
  <c r="EA39" i="17"/>
  <c r="GS39" i="17"/>
  <c r="BD39" i="17"/>
  <c r="FY39" i="17"/>
  <c r="BX39" i="17"/>
  <c r="HW40" i="17"/>
  <c r="EF40" i="17"/>
  <c r="EA40" i="17"/>
  <c r="EB40" i="17" s="1"/>
  <c r="DB40" i="17"/>
  <c r="GN40" i="17"/>
  <c r="HX40" i="17"/>
  <c r="BT40" i="17"/>
  <c r="FE39" i="17"/>
  <c r="IC39" i="17"/>
  <c r="AO39" i="17"/>
  <c r="F39" i="17"/>
  <c r="G39" i="17" s="1"/>
  <c r="EZ39" i="17"/>
  <c r="IG39" i="17"/>
  <c r="BT39" i="17"/>
  <c r="DH39" i="17"/>
  <c r="GI40" i="17"/>
  <c r="CR40" i="17"/>
  <c r="CM40" i="17"/>
  <c r="BY40" i="17"/>
  <c r="CN40" i="17"/>
  <c r="AJ40" i="17"/>
  <c r="GX40" i="17"/>
  <c r="AT40" i="17"/>
  <c r="FO39" i="17"/>
  <c r="EF39" i="17"/>
  <c r="HR39" i="17"/>
  <c r="EU39" i="17"/>
  <c r="EV39" i="17"/>
  <c r="CC39" i="17"/>
  <c r="AJ39" i="17"/>
  <c r="EU40" i="17"/>
  <c r="EV40" i="17" s="1"/>
  <c r="BD40" i="17"/>
  <c r="AY40" i="17"/>
  <c r="K40" i="17"/>
  <c r="L40" i="17" s="1"/>
  <c r="BN40" i="17"/>
  <c r="HM40" i="17"/>
  <c r="GJ40" i="17"/>
  <c r="AF40" i="17"/>
  <c r="DV39" i="17"/>
  <c r="DW39" i="17" s="1"/>
  <c r="DL39" i="17"/>
  <c r="HW39" i="17"/>
  <c r="AP39" i="17"/>
  <c r="GD39" i="17"/>
  <c r="GE39" i="17" s="1"/>
  <c r="HM39" i="17"/>
  <c r="P39" i="17"/>
  <c r="DG40" i="17"/>
  <c r="DH40" i="17" s="1"/>
  <c r="P40" i="17"/>
  <c r="IB40" i="17"/>
  <c r="IC40" i="17" s="1"/>
  <c r="DL40" i="17"/>
  <c r="AZ40" i="17"/>
  <c r="FY40" i="17"/>
  <c r="FJ40" i="17"/>
  <c r="F40" i="17"/>
  <c r="CW39" i="17"/>
  <c r="DQ39" i="17"/>
  <c r="DB39" i="17"/>
  <c r="DC39" i="17" s="1"/>
  <c r="HS39" i="17"/>
  <c r="Z39" i="17"/>
  <c r="U39" i="17"/>
  <c r="BN39" i="17"/>
  <c r="C9" i="14" l="1"/>
  <c r="C13" i="14" s="1"/>
  <c r="G40" i="17"/>
  <c r="BO40" i="17"/>
  <c r="DC40" i="17"/>
  <c r="BJ40" i="17"/>
  <c r="CI39" i="17"/>
  <c r="FA40" i="17"/>
  <c r="DL23" i="17"/>
  <c r="Z27" i="17"/>
  <c r="EF34" i="17"/>
  <c r="BS25" i="17"/>
  <c r="HR38" i="17"/>
  <c r="EF17" i="17"/>
  <c r="DQ30" i="17"/>
  <c r="HW25" i="17"/>
  <c r="CC30" i="17"/>
  <c r="HM18" i="17"/>
  <c r="EA23" i="17"/>
  <c r="EU34" i="17"/>
  <c r="EK33" i="17"/>
  <c r="HH8" i="17"/>
  <c r="GD34" i="17"/>
  <c r="AY15" i="17"/>
  <c r="EZ31" i="17"/>
  <c r="GD15" i="17"/>
  <c r="DL31" i="17"/>
  <c r="CR16" i="17"/>
  <c r="GD26" i="17"/>
  <c r="EA33" i="17"/>
  <c r="FJ33" i="17"/>
  <c r="GS32" i="17"/>
  <c r="BX13" i="17"/>
  <c r="HM38" i="17"/>
  <c r="HW6" i="17"/>
  <c r="AJ31" i="17"/>
  <c r="DL6" i="17"/>
  <c r="BE39" i="17"/>
  <c r="HH36" i="17"/>
  <c r="IG17" i="17"/>
  <c r="CC20" i="17"/>
  <c r="DB30" i="17"/>
  <c r="U26" i="17"/>
  <c r="GI29" i="17"/>
  <c r="DL34" i="17"/>
  <c r="GD36" i="17"/>
  <c r="DV14" i="17"/>
  <c r="AO37" i="17"/>
  <c r="AJ22" i="17"/>
  <c r="DV25" i="17"/>
  <c r="GS30" i="17"/>
  <c r="GS17" i="17"/>
  <c r="BI21" i="17"/>
  <c r="AY31" i="17"/>
  <c r="U32" i="17"/>
  <c r="AY35" i="17"/>
  <c r="DG10" i="17"/>
  <c r="DB36" i="17"/>
  <c r="DQ35" i="17"/>
  <c r="IB15" i="17"/>
  <c r="DB28" i="17"/>
  <c r="DG26" i="17"/>
  <c r="GN19" i="17"/>
  <c r="CH23" i="17"/>
  <c r="HC34" i="17"/>
  <c r="EU31" i="17"/>
  <c r="CI23" i="17"/>
  <c r="K28" i="17"/>
  <c r="U28" i="17"/>
  <c r="K21" i="17"/>
  <c r="DG21" i="17"/>
  <c r="HW38" i="17"/>
  <c r="DQ27" i="17"/>
  <c r="EA22" i="17"/>
  <c r="GN17" i="17"/>
  <c r="AO33" i="17"/>
  <c r="HR13" i="17"/>
  <c r="EA18" i="17"/>
  <c r="EF22" i="17"/>
  <c r="AE18" i="17"/>
  <c r="HM34" i="17"/>
  <c r="EU9" i="17"/>
  <c r="EU24" i="17"/>
  <c r="CM16" i="17"/>
  <c r="HM31" i="17"/>
  <c r="HM12" i="17"/>
  <c r="HM6" i="17"/>
  <c r="HM20" i="17"/>
  <c r="EP24" i="17"/>
  <c r="HW28" i="17"/>
  <c r="DV21" i="17"/>
  <c r="GX27" i="17"/>
  <c r="GN37" i="17"/>
  <c r="AE9" i="17"/>
  <c r="BN36" i="17"/>
  <c r="BS21" i="17"/>
  <c r="BI31" i="17"/>
  <c r="DG19" i="17"/>
  <c r="HC17" i="17"/>
  <c r="GS22" i="17"/>
  <c r="CM27" i="17"/>
  <c r="FE5" i="17"/>
  <c r="EK11" i="17"/>
  <c r="CC8" i="17"/>
  <c r="EP25" i="17"/>
  <c r="EU33" i="17"/>
  <c r="FJ30" i="17"/>
  <c r="CC10" i="17"/>
  <c r="FJ24" i="17"/>
  <c r="CM36" i="17"/>
  <c r="AJ9" i="17"/>
  <c r="FY8" i="17"/>
  <c r="BD32" i="17"/>
  <c r="EA7" i="17"/>
  <c r="GI9" i="17"/>
  <c r="FY23" i="17"/>
  <c r="FE22" i="17"/>
  <c r="K16" i="17"/>
  <c r="AK22" i="17"/>
  <c r="EU28" i="17"/>
  <c r="AJ7" i="17"/>
  <c r="HM19" i="17"/>
  <c r="EF32" i="17"/>
  <c r="EF23" i="17"/>
  <c r="BI16" i="17"/>
  <c r="CH9" i="17"/>
  <c r="FK40" i="17"/>
  <c r="BE40" i="17"/>
  <c r="EG40" i="17"/>
  <c r="HD40" i="17"/>
  <c r="DW40" i="17"/>
  <c r="IH40" i="17"/>
  <c r="FT32" i="17"/>
  <c r="AE12" i="17"/>
  <c r="CW30" i="17"/>
  <c r="HC23" i="17"/>
  <c r="FY19" i="17"/>
  <c r="AO30" i="17"/>
  <c r="IB16" i="17"/>
  <c r="CM35" i="17"/>
  <c r="AO13" i="17"/>
  <c r="AO31" i="17"/>
  <c r="GI35" i="17"/>
  <c r="IG24" i="17"/>
  <c r="CM19" i="17"/>
  <c r="DQ28" i="17"/>
  <c r="BS22" i="17"/>
  <c r="BD28" i="17"/>
  <c r="HR36" i="17"/>
  <c r="GD23" i="17"/>
  <c r="DB31" i="17"/>
  <c r="GS31" i="17"/>
  <c r="BX36" i="17"/>
  <c r="HW23" i="17"/>
  <c r="BD21" i="17"/>
  <c r="BI27" i="17"/>
  <c r="F22" i="17"/>
  <c r="BS24" i="17"/>
  <c r="CR19" i="17"/>
  <c r="F11" i="17"/>
  <c r="HM13" i="17"/>
  <c r="BJ39" i="17"/>
  <c r="BI37" i="17"/>
  <c r="DG31" i="17"/>
  <c r="CR23" i="17"/>
  <c r="BD33" i="17"/>
  <c r="CM26" i="17"/>
  <c r="AJ35" i="17"/>
  <c r="AY22" i="17"/>
  <c r="DB25" i="17"/>
  <c r="CW18" i="17"/>
  <c r="GN27" i="17"/>
  <c r="EZ35" i="17"/>
  <c r="DG37" i="17"/>
  <c r="HM22" i="17"/>
  <c r="AY7" i="17"/>
  <c r="EK22" i="17"/>
  <c r="FJ32" i="17"/>
  <c r="GS16" i="17"/>
  <c r="HR37" i="17"/>
  <c r="GI18" i="17"/>
  <c r="BD13" i="17"/>
  <c r="U31" i="17"/>
  <c r="BD22" i="17"/>
  <c r="GN32" i="17"/>
  <c r="EZ15" i="17"/>
  <c r="FE28" i="17"/>
  <c r="U35" i="17"/>
  <c r="DQ32" i="17"/>
  <c r="CW29" i="17"/>
  <c r="BX6" i="17"/>
  <c r="BI26" i="17"/>
  <c r="EA35" i="17"/>
  <c r="CC27" i="17"/>
  <c r="EK37" i="17"/>
  <c r="GD37" i="17"/>
  <c r="K32" i="17"/>
  <c r="FO35" i="17"/>
  <c r="BI34" i="17"/>
  <c r="DL26" i="17"/>
  <c r="CW21" i="17"/>
  <c r="FO31" i="17"/>
  <c r="AO28" i="17"/>
  <c r="CC31" i="17"/>
  <c r="CW33" i="17"/>
  <c r="AE22" i="17"/>
  <c r="P22" i="17"/>
  <c r="FJ36" i="17"/>
  <c r="GI34" i="17"/>
  <c r="GX35" i="17"/>
  <c r="DL22" i="17"/>
  <c r="FT8" i="17"/>
  <c r="FJ22" i="17"/>
  <c r="CR30" i="17"/>
  <c r="CW24" i="17"/>
  <c r="EK34" i="17"/>
  <c r="FT17" i="17"/>
  <c r="EP36" i="17"/>
  <c r="P24" i="17"/>
  <c r="AY24" i="17"/>
  <c r="GX36" i="17"/>
  <c r="F18" i="17"/>
  <c r="HR31" i="17"/>
  <c r="CM30" i="17"/>
  <c r="CN30" i="17" s="1"/>
  <c r="CH28" i="17"/>
  <c r="AT13" i="17"/>
  <c r="HH7" i="17"/>
  <c r="BY39" i="17"/>
  <c r="F29" i="17"/>
  <c r="BX14" i="17"/>
  <c r="Z9" i="17"/>
  <c r="DV15" i="17"/>
  <c r="EA13" i="17"/>
  <c r="AE11" i="17"/>
  <c r="U18" i="17"/>
  <c r="CC26" i="17"/>
  <c r="BD19" i="17"/>
  <c r="HC10" i="17"/>
  <c r="CC5" i="17"/>
  <c r="GI11" i="17"/>
  <c r="GX29" i="17"/>
  <c r="EZ36" i="17"/>
  <c r="BI15" i="17"/>
  <c r="HR20" i="17"/>
  <c r="HM8" i="17"/>
  <c r="HW9" i="17"/>
  <c r="F10" i="17"/>
  <c r="HW12" i="17"/>
  <c r="BD8" i="17"/>
  <c r="FZ40" i="17"/>
  <c r="AK39" i="17"/>
  <c r="CI40" i="17"/>
  <c r="EQ40" i="17"/>
  <c r="CX40" i="17"/>
  <c r="BN38" i="17"/>
  <c r="IB22" i="17"/>
  <c r="GS23" i="17"/>
  <c r="CC23" i="17"/>
  <c r="CC33" i="17"/>
  <c r="FT34" i="17"/>
  <c r="FO24" i="17"/>
  <c r="BN24" i="17"/>
  <c r="AO26" i="17"/>
  <c r="GX30" i="17"/>
  <c r="HC20" i="17"/>
  <c r="EA20" i="17"/>
  <c r="FY36" i="17"/>
  <c r="CW26" i="17"/>
  <c r="CR26" i="17"/>
  <c r="IG36" i="17"/>
  <c r="GI33" i="17"/>
  <c r="DL16" i="17"/>
  <c r="IB35" i="17"/>
  <c r="EU35" i="17"/>
  <c r="FE17" i="17"/>
  <c r="GS28" i="17"/>
  <c r="FE14" i="17"/>
  <c r="DV28" i="17"/>
  <c r="BS8" i="17"/>
  <c r="GI25" i="17"/>
  <c r="AT18" i="17"/>
  <c r="EK23" i="17"/>
  <c r="U29" i="17"/>
  <c r="FF39" i="17"/>
  <c r="U37" i="17"/>
  <c r="FT38" i="17"/>
  <c r="P27" i="17"/>
  <c r="P28" i="17"/>
  <c r="AO14" i="17"/>
  <c r="BS36" i="17"/>
  <c r="AE25" i="17"/>
  <c r="AJ33" i="17"/>
  <c r="IB36" i="17"/>
  <c r="FJ16" i="17"/>
  <c r="EA28" i="17"/>
  <c r="AT26" i="17"/>
  <c r="IG9" i="17"/>
  <c r="BX7" i="17"/>
  <c r="FZ39" i="17"/>
  <c r="AT28" i="17"/>
  <c r="AY33" i="17"/>
  <c r="IB27" i="17"/>
  <c r="AE30" i="17"/>
  <c r="P32" i="17"/>
  <c r="AT31" i="17"/>
  <c r="EA38" i="17"/>
  <c r="CM25" i="17"/>
  <c r="FY22" i="17"/>
  <c r="GS33" i="17"/>
  <c r="P14" i="17"/>
  <c r="DG36" i="17"/>
  <c r="CR28" i="17"/>
  <c r="IB8" i="17"/>
  <c r="AJ37" i="17"/>
  <c r="IB20" i="17"/>
  <c r="Z14" i="17"/>
  <c r="HH37" i="17"/>
  <c r="FE16" i="17"/>
  <c r="BN16" i="17"/>
  <c r="FK39" i="17"/>
  <c r="BN34" i="17"/>
  <c r="BS38" i="17"/>
  <c r="FE38" i="17"/>
  <c r="FE32" i="17"/>
  <c r="HM16" i="17"/>
  <c r="BS35" i="17"/>
  <c r="DQ14" i="17"/>
  <c r="HR28" i="17"/>
  <c r="DV36" i="17"/>
  <c r="IG38" i="17"/>
  <c r="BD17" i="17"/>
  <c r="AY34" i="17"/>
  <c r="FE11" i="17"/>
  <c r="AT11" i="17"/>
  <c r="F25" i="17"/>
  <c r="FY25" i="17"/>
  <c r="DV32" i="17"/>
  <c r="EK36" i="17"/>
  <c r="BN25" i="17"/>
  <c r="CH31" i="17"/>
  <c r="IB38" i="17"/>
  <c r="AJ21" i="17"/>
  <c r="EU23" i="17"/>
  <c r="IG37" i="17"/>
  <c r="HH24" i="17"/>
  <c r="FE9" i="17"/>
  <c r="AT8" i="17"/>
  <c r="HH35" i="17"/>
  <c r="EZ20" i="17"/>
  <c r="GI5" i="17"/>
  <c r="DG13" i="17"/>
  <c r="EZ29" i="17"/>
  <c r="P5" i="17"/>
  <c r="IG13" i="17"/>
  <c r="DL8" i="17"/>
  <c r="FO19" i="17"/>
  <c r="EA27" i="17"/>
  <c r="AO8" i="17"/>
  <c r="CX29" i="17"/>
  <c r="CH36" i="17"/>
  <c r="AO36" i="17"/>
  <c r="EZ24" i="17"/>
  <c r="GI15" i="17"/>
  <c r="CW23" i="17"/>
  <c r="EU10" i="17"/>
  <c r="EK17" i="17"/>
  <c r="GD14" i="17"/>
  <c r="Z25" i="17"/>
  <c r="DV9" i="17"/>
  <c r="DM40" i="17"/>
  <c r="AU40" i="17"/>
  <c r="V40" i="17"/>
  <c r="DR40" i="17"/>
  <c r="GE40" i="17"/>
  <c r="EL39" i="17"/>
  <c r="AE35" i="17"/>
  <c r="IG35" i="17"/>
  <c r="FE34" i="17"/>
  <c r="CM38" i="17"/>
  <c r="IG21" i="17"/>
  <c r="GS26" i="17"/>
  <c r="AT16" i="17"/>
  <c r="AY29" i="17"/>
  <c r="FO14" i="17"/>
  <c r="GS34" i="17"/>
  <c r="EF25" i="17"/>
  <c r="DL19" i="17"/>
  <c r="K25" i="17"/>
  <c r="F12" i="17"/>
  <c r="BX35" i="17"/>
  <c r="DV22" i="17"/>
  <c r="BD27" i="17"/>
  <c r="U30" i="17"/>
  <c r="V30" i="17" s="1"/>
  <c r="EU20" i="17"/>
  <c r="GN31" i="17"/>
  <c r="EP27" i="17"/>
  <c r="CR33" i="17"/>
  <c r="BS26" i="17"/>
  <c r="GI20" i="17"/>
  <c r="FT20" i="17"/>
  <c r="FE29" i="17"/>
  <c r="BS32" i="17"/>
  <c r="EK19" i="17"/>
  <c r="DG22" i="17"/>
  <c r="BD29" i="17"/>
  <c r="K20" i="17"/>
  <c r="P25" i="17"/>
  <c r="DB19" i="17"/>
  <c r="BX31" i="17"/>
  <c r="FO30" i="17"/>
  <c r="CW37" i="17"/>
  <c r="AY17" i="17"/>
  <c r="U36" i="17"/>
  <c r="GN26" i="17"/>
  <c r="EF19" i="17"/>
  <c r="FT31" i="17"/>
  <c r="FO21" i="17"/>
  <c r="EZ27" i="17"/>
  <c r="AT7" i="17"/>
  <c r="AA39" i="17"/>
  <c r="AO32" i="17"/>
  <c r="BN15" i="17"/>
  <c r="BI17" i="17"/>
  <c r="EP28" i="17"/>
  <c r="HR15" i="17"/>
  <c r="EK21" i="17"/>
  <c r="DQ20" i="17"/>
  <c r="DG28" i="17"/>
  <c r="GX14" i="17"/>
  <c r="CC25" i="17"/>
  <c r="DQ23" i="17"/>
  <c r="HW26" i="17"/>
  <c r="GS36" i="17"/>
  <c r="BN22" i="17"/>
  <c r="AE17" i="17"/>
  <c r="FY38" i="17"/>
  <c r="IG25" i="17"/>
  <c r="HM24" i="17"/>
  <c r="Z33" i="17"/>
  <c r="FE24" i="17"/>
  <c r="GT39" i="17"/>
  <c r="DQ34" i="17"/>
  <c r="FE25" i="17"/>
  <c r="BN17" i="17"/>
  <c r="GD25" i="17"/>
  <c r="EZ22" i="17"/>
  <c r="BN32" i="17"/>
  <c r="HC28" i="17"/>
  <c r="EU29" i="17"/>
  <c r="EA21" i="17"/>
  <c r="GS27" i="17"/>
  <c r="EF30" i="17"/>
  <c r="EP29" i="17"/>
  <c r="U25" i="17"/>
  <c r="GD29" i="17"/>
  <c r="CR10" i="17"/>
  <c r="DG24" i="17"/>
  <c r="BI24" i="17"/>
  <c r="BX37" i="17"/>
  <c r="HW36" i="17"/>
  <c r="HM15" i="17"/>
  <c r="EP22" i="17"/>
  <c r="IG15" i="17"/>
  <c r="IG29" i="17"/>
  <c r="GN38" i="17"/>
  <c r="AO24" i="17"/>
  <c r="DV19" i="17"/>
  <c r="BD38" i="17"/>
  <c r="CR35" i="17"/>
  <c r="DB16" i="17"/>
  <c r="EP31" i="17"/>
  <c r="BI22" i="17"/>
  <c r="FJ21" i="17"/>
  <c r="EZ26" i="17"/>
  <c r="DQ13" i="17"/>
  <c r="BX24" i="17"/>
  <c r="U14" i="17"/>
  <c r="HR22" i="17"/>
  <c r="HM28" i="17"/>
  <c r="FT18" i="17"/>
  <c r="CR18" i="17"/>
  <c r="K33" i="17"/>
  <c r="GI24" i="17"/>
  <c r="K27" i="17"/>
  <c r="BS19" i="17"/>
  <c r="AO38" i="17"/>
  <c r="GD20" i="17"/>
  <c r="EU18" i="17"/>
  <c r="DV24" i="17"/>
  <c r="BS12" i="17"/>
  <c r="P11" i="17"/>
  <c r="FE23" i="17"/>
  <c r="FT33" i="17"/>
  <c r="HM23" i="17"/>
  <c r="Q40" i="17"/>
  <c r="GY40" i="17"/>
  <c r="FP40" i="17"/>
  <c r="FF40" i="17"/>
  <c r="GT40" i="17"/>
  <c r="CD39" i="17"/>
  <c r="AO25" i="17"/>
  <c r="CW31" i="17"/>
  <c r="EF14" i="17"/>
  <c r="FO29" i="17"/>
  <c r="F32" i="17"/>
  <c r="F38" i="17"/>
  <c r="EZ33" i="17"/>
  <c r="IB31" i="17"/>
  <c r="FT28" i="17"/>
  <c r="HR29" i="17"/>
  <c r="BD36" i="17"/>
  <c r="FJ17" i="17"/>
  <c r="HH18" i="17"/>
  <c r="BO39" i="17"/>
  <c r="CC36" i="17"/>
  <c r="F33" i="17"/>
  <c r="HH29" i="17"/>
  <c r="GX38" i="17"/>
  <c r="HR34" i="17"/>
  <c r="Z37" i="17"/>
  <c r="BI14" i="17"/>
  <c r="DQ25" i="17"/>
  <c r="FO17" i="17"/>
  <c r="U33" i="17"/>
  <c r="GD16" i="17"/>
  <c r="GS35" i="17"/>
  <c r="EP16" i="17"/>
  <c r="EF20" i="17"/>
  <c r="FT10" i="17"/>
  <c r="AE34" i="17"/>
  <c r="GX19" i="17"/>
  <c r="IB33" i="17"/>
  <c r="HC19" i="17"/>
  <c r="FJ35" i="17"/>
  <c r="BS34" i="17"/>
  <c r="EP13" i="17"/>
  <c r="DL30" i="17"/>
  <c r="CM20" i="17"/>
  <c r="HR32" i="17"/>
  <c r="IB34" i="17"/>
  <c r="BD37" i="17"/>
  <c r="IB30" i="17"/>
  <c r="HR27" i="17"/>
  <c r="K37" i="17"/>
  <c r="CN39" i="17"/>
  <c r="EK26" i="17"/>
  <c r="BI35" i="17"/>
  <c r="FO22" i="17"/>
  <c r="BX30" i="17"/>
  <c r="AE23" i="17"/>
  <c r="FY34" i="17"/>
  <c r="HW27" i="17"/>
  <c r="GN33" i="17"/>
  <c r="AT21" i="17"/>
  <c r="GO32" i="17"/>
  <c r="CW16" i="17"/>
  <c r="FJ37" i="17"/>
  <c r="HR14" i="17"/>
  <c r="AO20" i="17"/>
  <c r="HR16" i="17"/>
  <c r="BS33" i="17"/>
  <c r="HM14" i="17"/>
  <c r="EU12" i="17"/>
  <c r="CR37" i="17"/>
  <c r="GD19" i="17"/>
  <c r="DR39" i="17"/>
  <c r="HH15" i="17"/>
  <c r="AF34" i="17"/>
  <c r="DL25" i="17"/>
  <c r="F34" i="17"/>
  <c r="DB33" i="17"/>
  <c r="DB34" i="17"/>
  <c r="AJ23" i="17"/>
  <c r="BS37" i="17"/>
  <c r="DG30" i="17"/>
  <c r="GI38" i="17"/>
  <c r="DG35" i="17"/>
  <c r="EP20" i="17"/>
  <c r="GX11" i="17"/>
  <c r="EV12" i="17"/>
  <c r="V39" i="17"/>
  <c r="HR33" i="17"/>
  <c r="GN18" i="17"/>
  <c r="GI22" i="17"/>
  <c r="AE26" i="17"/>
  <c r="U21" i="17"/>
  <c r="EK35" i="17"/>
  <c r="CM28" i="17"/>
  <c r="HW33" i="17"/>
  <c r="EA25" i="17"/>
  <c r="FJ29" i="17"/>
  <c r="GI27" i="17"/>
  <c r="CW38" i="17"/>
  <c r="BD20" i="17"/>
  <c r="GX5" i="17"/>
  <c r="AE8" i="17"/>
  <c r="AF8" i="17" s="1"/>
  <c r="GD33" i="17"/>
  <c r="FO34" i="17"/>
  <c r="AT38" i="17"/>
  <c r="AY20" i="17"/>
  <c r="CC15" i="17"/>
  <c r="GN9" i="17"/>
  <c r="EU27" i="17"/>
  <c r="Z10" i="17"/>
  <c r="EZ11" i="17"/>
  <c r="DL29" i="17"/>
  <c r="FJ12" i="17"/>
  <c r="CH21" i="17"/>
  <c r="BS11" i="17"/>
  <c r="BT38" i="17"/>
  <c r="IG22" i="17"/>
  <c r="U8" i="17"/>
  <c r="AY27" i="17"/>
  <c r="CW27" i="17"/>
  <c r="FY20" i="17"/>
  <c r="F17" i="17"/>
  <c r="CH8" i="17"/>
  <c r="EK38" i="17"/>
  <c r="GS18" i="17"/>
  <c r="HX39" i="17"/>
  <c r="AK40" i="17"/>
  <c r="AP40" i="17"/>
  <c r="HI40" i="17"/>
  <c r="EL40" i="17"/>
  <c r="CS39" i="17"/>
  <c r="P34" i="17"/>
  <c r="IB32" i="17"/>
  <c r="IC32" i="17" s="1"/>
  <c r="P33" i="17"/>
  <c r="HW29" i="17"/>
  <c r="DB14" i="17"/>
  <c r="FT35" i="17"/>
  <c r="HH14" i="17"/>
  <c r="CH22" i="17"/>
  <c r="EF37" i="17"/>
  <c r="HC16" i="17"/>
  <c r="BD25" i="17"/>
  <c r="GX21" i="17"/>
  <c r="AJ36" i="17"/>
  <c r="IH39" i="17"/>
  <c r="FO28" i="17"/>
  <c r="DB20" i="17"/>
  <c r="EP17" i="17"/>
  <c r="FJ25" i="17"/>
  <c r="GX24" i="17"/>
  <c r="FY27" i="17"/>
  <c r="BI19" i="17"/>
  <c r="CH37" i="17"/>
  <c r="CI37" i="17" s="1"/>
  <c r="IB26" i="17"/>
  <c r="BS28" i="17"/>
  <c r="EA26" i="17"/>
  <c r="HM35" i="17"/>
  <c r="GS38" i="17"/>
  <c r="DV7" i="17"/>
  <c r="EU26" i="17"/>
  <c r="EZ28" i="17"/>
  <c r="DV30" i="17"/>
  <c r="IG34" i="17"/>
  <c r="AJ25" i="17"/>
  <c r="IG20" i="17"/>
  <c r="HM30" i="17"/>
  <c r="EK24" i="17"/>
  <c r="GD35" i="17"/>
  <c r="GD24" i="17"/>
  <c r="EF38" i="17"/>
  <c r="CM22" i="17"/>
  <c r="CN22" i="17" s="1"/>
  <c r="IG23" i="17"/>
  <c r="IH23" i="17" s="1"/>
  <c r="DB15" i="17"/>
  <c r="EZ5" i="17"/>
  <c r="BX17" i="17"/>
  <c r="HI39" i="17"/>
  <c r="Z34" i="17"/>
  <c r="IG33" i="17"/>
  <c r="CW32" i="17"/>
  <c r="EP35" i="17"/>
  <c r="DG9" i="17"/>
  <c r="EP33" i="17"/>
  <c r="FT13" i="17"/>
  <c r="HW34" i="17"/>
  <c r="EU14" i="17"/>
  <c r="CM37" i="17"/>
  <c r="EF21" i="17"/>
  <c r="DV26" i="17"/>
  <c r="BX16" i="17"/>
  <c r="EK6" i="17"/>
  <c r="AZ39" i="17"/>
  <c r="GX23" i="17"/>
  <c r="AJ27" i="17"/>
  <c r="Z20" i="17"/>
  <c r="AY30" i="17"/>
  <c r="BX23" i="17"/>
  <c r="HH34" i="17"/>
  <c r="EZ19" i="17"/>
  <c r="FA19" i="17" s="1"/>
  <c r="GD38" i="17"/>
  <c r="FE33" i="17"/>
  <c r="CM18" i="17"/>
  <c r="HH33" i="17"/>
  <c r="U20" i="17"/>
  <c r="GI32" i="17"/>
  <c r="EF13" i="17"/>
  <c r="HH19" i="17"/>
  <c r="AJ28" i="17"/>
  <c r="FT26" i="17"/>
  <c r="FJ15" i="17"/>
  <c r="GX10" i="17"/>
  <c r="GO39" i="17"/>
  <c r="EZ38" i="17"/>
  <c r="EF33" i="17"/>
  <c r="GJ33" i="17"/>
  <c r="GN36" i="17"/>
  <c r="DV13" i="17"/>
  <c r="DQ36" i="17"/>
  <c r="FE19" i="17"/>
  <c r="CM29" i="17"/>
  <c r="HC33" i="17"/>
  <c r="DB35" i="17"/>
  <c r="HR17" i="17"/>
  <c r="FE13" i="17"/>
  <c r="DL24" i="17"/>
  <c r="CC37" i="17"/>
  <c r="BD23" i="17"/>
  <c r="GN30" i="17"/>
  <c r="HH20" i="17"/>
  <c r="BX19" i="17"/>
  <c r="CW19" i="17"/>
  <c r="IG19" i="17"/>
  <c r="P8" i="17"/>
  <c r="EZ23" i="17"/>
  <c r="AO23" i="17"/>
  <c r="DB38" i="17"/>
  <c r="AO22" i="17"/>
  <c r="DG38" i="17"/>
  <c r="FJ7" i="17"/>
  <c r="AT12" i="17"/>
  <c r="HM29" i="17"/>
  <c r="EA31" i="17"/>
  <c r="GD13" i="17"/>
  <c r="HC35" i="17"/>
  <c r="GN10" i="17"/>
  <c r="BX12" i="17"/>
  <c r="F9" i="17"/>
  <c r="FE31" i="17"/>
  <c r="AO12" i="17"/>
  <c r="HC26" i="17"/>
  <c r="HW5" i="17"/>
  <c r="DM39" i="17"/>
  <c r="CS40" i="17"/>
  <c r="CD40" i="17"/>
  <c r="AU39" i="17"/>
  <c r="AA40" i="17"/>
  <c r="CX39" i="17"/>
  <c r="EP18" i="17"/>
  <c r="FY21" i="17"/>
  <c r="FT37" i="17"/>
  <c r="AT20" i="17"/>
  <c r="EK18" i="17"/>
  <c r="P26" i="17"/>
  <c r="FY35" i="17"/>
  <c r="GN35" i="17"/>
  <c r="EF26" i="17"/>
  <c r="DL21" i="17"/>
  <c r="BX22" i="17"/>
  <c r="HW32" i="17"/>
  <c r="CW34" i="17"/>
  <c r="GY39" i="17"/>
  <c r="CR32" i="17"/>
  <c r="AT34" i="17"/>
  <c r="AU34" i="17" s="1"/>
  <c r="AT23" i="17"/>
  <c r="K35" i="17"/>
  <c r="DQ24" i="17"/>
  <c r="HM33" i="17"/>
  <c r="IB24" i="17"/>
  <c r="CR34" i="17"/>
  <c r="FY17" i="17"/>
  <c r="HW35" i="17"/>
  <c r="EP38" i="17"/>
  <c r="CH15" i="17"/>
  <c r="GI7" i="17"/>
  <c r="EA19" i="17"/>
  <c r="EZ21" i="17"/>
  <c r="CH35" i="17"/>
  <c r="HC18" i="17"/>
  <c r="EF35" i="17"/>
  <c r="DV33" i="17"/>
  <c r="EF29" i="17"/>
  <c r="AJ34" i="17"/>
  <c r="HW10" i="17"/>
  <c r="CM34" i="17"/>
  <c r="AJ14" i="17"/>
  <c r="F27" i="17"/>
  <c r="P31" i="17"/>
  <c r="FY37" i="17"/>
  <c r="EK28" i="17"/>
  <c r="CM12" i="17"/>
  <c r="IB14" i="17"/>
  <c r="BN29" i="17"/>
  <c r="CH16" i="17"/>
  <c r="AT27" i="17"/>
  <c r="CW15" i="17"/>
  <c r="EF28" i="17"/>
  <c r="GD18" i="17"/>
  <c r="DQ37" i="17"/>
  <c r="EP23" i="17"/>
  <c r="Z32" i="17"/>
  <c r="CH24" i="17"/>
  <c r="AJ18" i="17"/>
  <c r="AK18" i="17" s="1"/>
  <c r="DV35" i="17"/>
  <c r="AT37" i="17"/>
  <c r="EP7" i="17"/>
  <c r="DQ11" i="17"/>
  <c r="FA39" i="17"/>
  <c r="AO27" i="17"/>
  <c r="AJ38" i="17"/>
  <c r="GN24" i="17"/>
  <c r="EZ32" i="17"/>
  <c r="EA37" i="17"/>
  <c r="IG26" i="17"/>
  <c r="Z17" i="17"/>
  <c r="EF31" i="17"/>
  <c r="DQ21" i="17"/>
  <c r="BD34" i="17"/>
  <c r="AJ24" i="17"/>
  <c r="GN21" i="17"/>
  <c r="BX38" i="17"/>
  <c r="EZ14" i="17"/>
  <c r="HH31" i="17"/>
  <c r="GI31" i="17"/>
  <c r="F36" i="17"/>
  <c r="K15" i="17"/>
  <c r="FT11" i="17"/>
  <c r="EK9" i="17"/>
  <c r="EG39" i="17"/>
  <c r="BN19" i="17"/>
  <c r="BN23" i="17"/>
  <c r="BD18" i="17"/>
  <c r="FY26" i="17"/>
  <c r="AY19" i="17"/>
  <c r="HM27" i="17"/>
  <c r="DL28" i="17"/>
  <c r="EP32" i="17"/>
  <c r="HH22" i="17"/>
  <c r="Z24" i="17"/>
  <c r="EP30" i="17"/>
  <c r="HH26" i="17"/>
  <c r="FY30" i="17"/>
  <c r="BN9" i="17"/>
  <c r="CH5" i="17"/>
  <c r="AF26" i="17"/>
  <c r="CC18" i="17"/>
  <c r="DM21" i="17"/>
  <c r="BI12" i="17"/>
  <c r="HX36" i="17"/>
  <c r="DG5" i="17"/>
  <c r="BI36" i="17"/>
  <c r="K5" i="17"/>
  <c r="GN7" i="17"/>
  <c r="CC17" i="17"/>
  <c r="EF16" i="17"/>
  <c r="HR8" i="17"/>
  <c r="HD33" i="17"/>
  <c r="HW30" i="17"/>
  <c r="CH38" i="17"/>
  <c r="FJ14" i="17"/>
  <c r="HR7" i="17"/>
  <c r="AY21" i="17"/>
  <c r="DM30" i="17"/>
  <c r="CM13" i="17"/>
  <c r="GI28" i="17"/>
  <c r="HC27" i="17"/>
  <c r="HN40" i="17"/>
  <c r="GD31" i="17"/>
  <c r="HW18" i="17"/>
  <c r="HW37" i="17"/>
  <c r="HX37" i="17" s="1"/>
  <c r="F20" i="17"/>
  <c r="GX18" i="17"/>
  <c r="GD21" i="17"/>
  <c r="BX29" i="17"/>
  <c r="CH26" i="17"/>
  <c r="GD32" i="17"/>
  <c r="GN22" i="17"/>
  <c r="AT24" i="17"/>
  <c r="HR30" i="17"/>
  <c r="AY38" i="17"/>
  <c r="FT29" i="17"/>
  <c r="HC22" i="17"/>
  <c r="FO25" i="17"/>
  <c r="DL35" i="17"/>
  <c r="DH26" i="17"/>
  <c r="IC26" i="17"/>
  <c r="EB39" i="17"/>
  <c r="BN13" i="17"/>
  <c r="BX21" i="17"/>
  <c r="BN21" i="17"/>
  <c r="GN23" i="17"/>
  <c r="IG6" i="17"/>
  <c r="U19" i="17"/>
  <c r="Z28" i="17"/>
  <c r="FE20" i="17"/>
  <c r="HC21" i="17"/>
  <c r="FY14" i="17"/>
  <c r="CW10" i="17"/>
  <c r="G34" i="17"/>
  <c r="U38" i="17"/>
  <c r="EZ25" i="17"/>
  <c r="EK27" i="17"/>
  <c r="EF7" i="17"/>
  <c r="EZ37" i="17"/>
  <c r="FJ13" i="17"/>
  <c r="DL9" i="17"/>
  <c r="EF9" i="17"/>
  <c r="AF35" i="17"/>
  <c r="FO26" i="17"/>
  <c r="EG14" i="17"/>
  <c r="HH6" i="17"/>
  <c r="HH27" i="17"/>
  <c r="AZ35" i="17"/>
  <c r="AO17" i="17"/>
  <c r="HC15" i="17"/>
  <c r="HM26" i="17"/>
  <c r="DL15" i="17"/>
  <c r="P19" i="17"/>
  <c r="Z8" i="17"/>
  <c r="AO10" i="17"/>
  <c r="HR5" i="17"/>
  <c r="CC19" i="17"/>
  <c r="CM6" i="17"/>
  <c r="IB29" i="17"/>
  <c r="IG11" i="17"/>
  <c r="AY6" i="17"/>
  <c r="AF25" i="17"/>
  <c r="FY16" i="17"/>
  <c r="FY28" i="17"/>
  <c r="EA34" i="17"/>
  <c r="AY32" i="17"/>
  <c r="CW6" i="17"/>
  <c r="FO9" i="17"/>
  <c r="AO29" i="17"/>
  <c r="HC11" i="17"/>
  <c r="FA21" i="17"/>
  <c r="FE6" i="17"/>
  <c r="Z19" i="17"/>
  <c r="FE30" i="17"/>
  <c r="FU38" i="17"/>
  <c r="K6" i="17"/>
  <c r="AU11" i="17"/>
  <c r="AE33" i="17"/>
  <c r="DH31" i="17"/>
  <c r="GO26" i="17"/>
  <c r="P37" i="17"/>
  <c r="BI6" i="17"/>
  <c r="F35" i="17"/>
  <c r="GE31" i="17"/>
  <c r="CN34" i="17"/>
  <c r="FY13" i="17"/>
  <c r="BE33" i="17"/>
  <c r="FZ22" i="17"/>
  <c r="IB13" i="17"/>
  <c r="DG7" i="17"/>
  <c r="CS30" i="17"/>
  <c r="AZ33" i="17"/>
  <c r="EL6" i="17"/>
  <c r="Q34" i="17"/>
  <c r="V19" i="17"/>
  <c r="F26" i="17"/>
  <c r="IB19" i="17"/>
  <c r="GO40" i="17"/>
  <c r="EF18" i="17"/>
  <c r="GS29" i="17"/>
  <c r="AO18" i="17"/>
  <c r="P12" i="17"/>
  <c r="BX28" i="17"/>
  <c r="BY22" i="17"/>
  <c r="GI26" i="17"/>
  <c r="EF12" i="17"/>
  <c r="DB26" i="17"/>
  <c r="GI36" i="17"/>
  <c r="BS31" i="17"/>
  <c r="DQ18" i="17"/>
  <c r="FO5" i="17"/>
  <c r="DL5" i="17"/>
  <c r="P9" i="17"/>
  <c r="DL13" i="17"/>
  <c r="EP14" i="17"/>
  <c r="G12" i="17"/>
  <c r="FZ8" i="17"/>
  <c r="EU25" i="17"/>
  <c r="DQ19" i="17"/>
  <c r="EA14" i="17"/>
  <c r="EB14" i="17" s="1"/>
  <c r="BI32" i="17"/>
  <c r="GN8" i="17"/>
  <c r="FO20" i="17"/>
  <c r="BS20" i="17"/>
  <c r="F24" i="17"/>
  <c r="DV27" i="17"/>
  <c r="EP6" i="17"/>
  <c r="HM5" i="17"/>
  <c r="BX10" i="17"/>
  <c r="BE21" i="17"/>
  <c r="FP28" i="17"/>
  <c r="CC38" i="17"/>
  <c r="FT23" i="17"/>
  <c r="L32" i="17"/>
  <c r="FY29" i="17"/>
  <c r="BI29" i="17"/>
  <c r="GS20" i="17"/>
  <c r="BD15" i="17"/>
  <c r="EU5" i="17"/>
  <c r="DR18" i="17"/>
  <c r="FT15" i="17"/>
  <c r="FT30" i="17"/>
  <c r="FE18" i="17"/>
  <c r="FO12" i="17"/>
  <c r="AE24" i="17"/>
  <c r="FF16" i="17"/>
  <c r="U27" i="17"/>
  <c r="AE27" i="17"/>
  <c r="HC30" i="17"/>
  <c r="F30" i="17"/>
  <c r="HC36" i="17"/>
  <c r="DL37" i="17"/>
  <c r="AF9" i="17"/>
  <c r="DB12" i="17"/>
  <c r="Z30" i="17"/>
  <c r="HW7" i="17"/>
  <c r="EV24" i="17"/>
  <c r="EF27" i="17"/>
  <c r="CH12" i="17"/>
  <c r="IB9" i="17"/>
  <c r="DV6" i="17"/>
  <c r="EV5" i="17"/>
  <c r="BI30" i="17"/>
  <c r="AT32" i="17"/>
  <c r="DG33" i="17"/>
  <c r="EZ30" i="17"/>
  <c r="DV11" i="17"/>
  <c r="CR17" i="17"/>
  <c r="F16" i="17"/>
  <c r="P23" i="17"/>
  <c r="FF5" i="17"/>
  <c r="BN31" i="17"/>
  <c r="F23" i="17"/>
  <c r="EZ17" i="17"/>
  <c r="EU16" i="17"/>
  <c r="L16" i="17"/>
  <c r="AU18" i="17"/>
  <c r="P30" i="17"/>
  <c r="BN5" i="17"/>
  <c r="P10" i="17"/>
  <c r="HC12" i="17"/>
  <c r="HI24" i="17"/>
  <c r="U17" i="17"/>
  <c r="K26" i="17"/>
  <c r="FE10" i="17"/>
  <c r="EV16" i="17"/>
  <c r="BT20" i="17"/>
  <c r="IH15" i="17"/>
  <c r="FP31" i="17"/>
  <c r="DL10" i="17"/>
  <c r="FU23" i="17"/>
  <c r="HH5" i="17"/>
  <c r="BN20" i="17"/>
  <c r="BE28" i="17"/>
  <c r="FF19" i="17"/>
  <c r="GS9" i="17"/>
  <c r="BN26" i="17"/>
  <c r="Q23" i="17"/>
  <c r="GD12" i="17"/>
  <c r="Z31" i="17"/>
  <c r="DB21" i="17"/>
  <c r="AT22" i="17"/>
  <c r="CH25" i="17"/>
  <c r="HW16" i="17"/>
  <c r="DQ16" i="17"/>
  <c r="BE34" i="17"/>
  <c r="HS22" i="17"/>
  <c r="CN12" i="17"/>
  <c r="EL18" i="17"/>
  <c r="CN18" i="17"/>
  <c r="FU37" i="17"/>
  <c r="CS10" i="17"/>
  <c r="FT9" i="17"/>
  <c r="IH13" i="17"/>
  <c r="V28" i="17"/>
  <c r="FU40" i="17"/>
  <c r="CR31" i="17"/>
  <c r="Z21" i="17"/>
  <c r="Z38" i="17"/>
  <c r="EZ12" i="17"/>
  <c r="AE20" i="17"/>
  <c r="FE8" i="17"/>
  <c r="FF8" i="17" s="1"/>
  <c r="HH38" i="17"/>
  <c r="L39" i="17"/>
  <c r="EA32" i="17"/>
  <c r="EB32" i="17" s="1"/>
  <c r="CC13" i="17"/>
  <c r="HH23" i="17"/>
  <c r="FE36" i="17"/>
  <c r="CR7" i="17"/>
  <c r="IB21" i="17"/>
  <c r="FY10" i="17"/>
  <c r="IB28" i="17"/>
  <c r="IG28" i="17"/>
  <c r="GS10" i="17"/>
  <c r="HI20" i="17"/>
  <c r="F21" i="17"/>
  <c r="CM33" i="17"/>
  <c r="EP34" i="17"/>
  <c r="AJ12" i="17"/>
  <c r="GD6" i="17"/>
  <c r="GE6" i="17" s="1"/>
  <c r="HI15" i="17"/>
  <c r="CW35" i="17"/>
  <c r="BS5" i="17"/>
  <c r="AY10" i="17"/>
  <c r="EU17" i="17"/>
  <c r="GX26" i="17"/>
  <c r="CW25" i="17"/>
  <c r="FT24" i="17"/>
  <c r="FP34" i="17"/>
  <c r="BS27" i="17"/>
  <c r="IB37" i="17"/>
  <c r="CW14" i="17"/>
  <c r="FO23" i="17"/>
  <c r="EZ7" i="17"/>
  <c r="GS5" i="17"/>
  <c r="K17" i="17"/>
  <c r="EZ8" i="17"/>
  <c r="HR18" i="17"/>
  <c r="EK10" i="17"/>
  <c r="EL10" i="17" s="1"/>
  <c r="K9" i="17"/>
  <c r="BS13" i="17"/>
  <c r="BT13" i="17" s="1"/>
  <c r="GJ9" i="17"/>
  <c r="GN14" i="17"/>
  <c r="AY28" i="17"/>
  <c r="BX33" i="17"/>
  <c r="IG14" i="17"/>
  <c r="CM23" i="17"/>
  <c r="FE26" i="17"/>
  <c r="DQ33" i="17"/>
  <c r="GN34" i="17"/>
  <c r="GX6" i="17"/>
  <c r="AT25" i="17"/>
  <c r="P15" i="17"/>
  <c r="FE7" i="17"/>
  <c r="K18" i="17"/>
  <c r="GS19" i="17"/>
  <c r="DQ9" i="17"/>
  <c r="CH29" i="17"/>
  <c r="IG7" i="17"/>
  <c r="EL21" i="17"/>
  <c r="IC24" i="17"/>
  <c r="DQ15" i="17"/>
  <c r="HR24" i="17"/>
  <c r="DB29" i="17"/>
  <c r="AY25" i="17"/>
  <c r="EK14" i="17"/>
  <c r="IG18" i="17"/>
  <c r="EF6" i="17"/>
  <c r="EV10" i="17"/>
  <c r="FY33" i="17"/>
  <c r="HH32" i="17"/>
  <c r="BX20" i="17"/>
  <c r="CC11" i="17"/>
  <c r="CM10" i="17"/>
  <c r="P36" i="17"/>
  <c r="CN36" i="17"/>
  <c r="DG25" i="17"/>
  <c r="AO5" i="17"/>
  <c r="GJ11" i="17"/>
  <c r="DH10" i="17"/>
  <c r="FJ38" i="17"/>
  <c r="AT30" i="17"/>
  <c r="CR5" i="17"/>
  <c r="AO7" i="17"/>
  <c r="HN33" i="17"/>
  <c r="AA10" i="17"/>
  <c r="FA31" i="17"/>
  <c r="DM31" i="17"/>
  <c r="G21" i="17"/>
  <c r="HW22" i="17"/>
  <c r="AJ11" i="17"/>
  <c r="FE21" i="17"/>
  <c r="EV17" i="17"/>
  <c r="GX12" i="17"/>
  <c r="GS15" i="17"/>
  <c r="FT25" i="17"/>
  <c r="GS12" i="17"/>
  <c r="EK13" i="17"/>
  <c r="CN25" i="17"/>
  <c r="BY19" i="17"/>
  <c r="BE17" i="17"/>
  <c r="GJ39" i="17"/>
  <c r="CH30" i="17"/>
  <c r="HR12" i="17"/>
  <c r="FT21" i="17"/>
  <c r="Q39" i="17"/>
  <c r="F31" i="17"/>
  <c r="G31" i="17" s="1"/>
  <c r="CC35" i="17"/>
  <c r="CC16" i="17"/>
  <c r="AE37" i="17"/>
  <c r="AF37" i="17" s="1"/>
  <c r="HC32" i="17"/>
  <c r="HC37" i="17"/>
  <c r="EU32" i="17"/>
  <c r="EA16" i="17"/>
  <c r="F13" i="17"/>
  <c r="CS18" i="17"/>
  <c r="DG32" i="17"/>
  <c r="HX10" i="17"/>
  <c r="BS15" i="17"/>
  <c r="AE28" i="17"/>
  <c r="CC22" i="17"/>
  <c r="FO38" i="17"/>
  <c r="EA15" i="17"/>
  <c r="GN11" i="17"/>
  <c r="GT32" i="17"/>
  <c r="IG8" i="17"/>
  <c r="EA11" i="17"/>
  <c r="DV16" i="17"/>
  <c r="FT22" i="17"/>
  <c r="F7" i="17"/>
  <c r="U11" i="17"/>
  <c r="EK31" i="17"/>
  <c r="EL31" i="17" s="1"/>
  <c r="P13" i="17"/>
  <c r="HN35" i="17"/>
  <c r="EU38" i="17"/>
  <c r="FJ20" i="17"/>
  <c r="Q14" i="17"/>
  <c r="CH11" i="17"/>
  <c r="FO13" i="17"/>
  <c r="AE16" i="17"/>
  <c r="DL33" i="17"/>
  <c r="IG27" i="17"/>
  <c r="AO19" i="17"/>
  <c r="EF10" i="17"/>
  <c r="GS14" i="17"/>
  <c r="GN28" i="17"/>
  <c r="BI8" i="17"/>
  <c r="EK29" i="17"/>
  <c r="BX27" i="17"/>
  <c r="GI17" i="17"/>
  <c r="GJ17" i="17" s="1"/>
  <c r="CC29" i="17"/>
  <c r="BS7" i="17"/>
  <c r="GJ26" i="17"/>
  <c r="EK32" i="17"/>
  <c r="BD35" i="17"/>
  <c r="BE35" i="17" s="1"/>
  <c r="AO21" i="17"/>
  <c r="BN14" i="17"/>
  <c r="CR27" i="17"/>
  <c r="HM9" i="17"/>
  <c r="DL7" i="17"/>
  <c r="CM31" i="17"/>
  <c r="U22" i="17"/>
  <c r="EP10" i="17"/>
  <c r="BY16" i="17"/>
  <c r="EF36" i="17"/>
  <c r="CR20" i="17"/>
  <c r="DL20" i="17"/>
  <c r="BT8" i="17"/>
  <c r="EZ13" i="17"/>
  <c r="GN5" i="17"/>
  <c r="FO32" i="17"/>
  <c r="EA5" i="17"/>
  <c r="HC9" i="17"/>
  <c r="FO33" i="17"/>
  <c r="FJ23" i="17"/>
  <c r="HM36" i="17"/>
  <c r="BS10" i="17"/>
  <c r="IB25" i="17"/>
  <c r="P29" i="17"/>
  <c r="AJ19" i="17"/>
  <c r="HX9" i="17"/>
  <c r="HW19" i="17"/>
  <c r="AO15" i="17"/>
  <c r="EP5" i="17"/>
  <c r="CI5" i="17"/>
  <c r="HR10" i="17"/>
  <c r="HI7" i="17"/>
  <c r="CD38" i="17"/>
  <c r="GT29" i="17"/>
  <c r="AP7" i="17"/>
  <c r="GT35" i="17"/>
  <c r="CN35" i="17"/>
  <c r="Z18" i="17"/>
  <c r="HS40" i="17"/>
  <c r="CH34" i="17"/>
  <c r="FP39" i="17"/>
  <c r="EA29" i="17"/>
  <c r="EA36" i="17"/>
  <c r="IB18" i="17"/>
  <c r="HC25" i="17"/>
  <c r="AT36" i="17"/>
  <c r="BI28" i="17"/>
  <c r="GN29" i="17"/>
  <c r="BD24" i="17"/>
  <c r="AJ29" i="17"/>
  <c r="FT19" i="17"/>
  <c r="EG17" i="17"/>
  <c r="HN39" i="17"/>
  <c r="HC38" i="17"/>
  <c r="GI19" i="17"/>
  <c r="GD22" i="17"/>
  <c r="FJ8" i="17"/>
  <c r="CC24" i="17"/>
  <c r="GX28" i="17"/>
  <c r="CR36" i="17"/>
  <c r="AT15" i="17"/>
  <c r="GI21" i="17"/>
  <c r="EZ18" i="17"/>
  <c r="FJ19" i="17"/>
  <c r="AK14" i="17"/>
  <c r="AY18" i="17"/>
  <c r="AZ18" i="17" s="1"/>
  <c r="CH33" i="17"/>
  <c r="U23" i="17"/>
  <c r="AZ34" i="17"/>
  <c r="DQ31" i="17"/>
  <c r="HC8" i="17"/>
  <c r="FU39" i="17"/>
  <c r="DV31" i="17"/>
  <c r="HR19" i="17"/>
  <c r="AO9" i="17"/>
  <c r="GS13" i="17"/>
  <c r="EA12" i="17"/>
  <c r="FO8" i="17"/>
  <c r="CM8" i="17"/>
  <c r="GS24" i="17"/>
  <c r="Z7" i="17"/>
  <c r="CC12" i="17"/>
  <c r="AF12" i="17"/>
  <c r="EV9" i="17"/>
  <c r="FF20" i="17"/>
  <c r="BX11" i="17"/>
  <c r="AY14" i="17"/>
  <c r="CC21" i="17"/>
  <c r="K30" i="17"/>
  <c r="K34" i="17"/>
  <c r="L34" i="17" s="1"/>
  <c r="DB32" i="17"/>
  <c r="DV34" i="17"/>
  <c r="EP21" i="17"/>
  <c r="BD16" i="17"/>
  <c r="AY5" i="17"/>
  <c r="HC6" i="17"/>
  <c r="IB10" i="17"/>
  <c r="AO11" i="17"/>
  <c r="AJ26" i="17"/>
  <c r="CW28" i="17"/>
  <c r="EU13" i="17"/>
  <c r="IC30" i="17"/>
  <c r="GT28" i="17"/>
  <c r="Q28" i="17"/>
  <c r="DV23" i="17"/>
  <c r="CH20" i="17"/>
  <c r="BE13" i="17"/>
  <c r="IB12" i="17"/>
  <c r="CC7" i="17"/>
  <c r="GS8" i="17"/>
  <c r="AY11" i="17"/>
  <c r="Z6" i="17"/>
  <c r="EZ16" i="17"/>
  <c r="DG34" i="17"/>
  <c r="F8" i="17"/>
  <c r="HC29" i="17"/>
  <c r="DG6" i="17"/>
  <c r="BI7" i="17"/>
  <c r="FY32" i="17"/>
  <c r="EP15" i="17"/>
  <c r="BS9" i="17"/>
  <c r="EV28" i="17"/>
  <c r="EG12" i="17"/>
  <c r="HH9" i="17"/>
  <c r="AK9" i="17"/>
  <c r="V11" i="17"/>
  <c r="BS30" i="17"/>
  <c r="HD29" i="17"/>
  <c r="AA7" i="17"/>
  <c r="GY11" i="17"/>
  <c r="EQ33" i="17"/>
  <c r="AU16" i="17"/>
  <c r="BD14" i="17"/>
  <c r="GX9" i="17"/>
  <c r="CW7" i="17"/>
  <c r="GO14" i="17"/>
  <c r="G8" i="17"/>
  <c r="G9" i="17"/>
  <c r="FO10" i="17"/>
  <c r="EK5" i="17"/>
  <c r="Z23" i="17"/>
  <c r="AE38" i="17"/>
  <c r="P38" i="17"/>
  <c r="GI23" i="17"/>
  <c r="HH30" i="17"/>
  <c r="HI30" i="17" s="1"/>
  <c r="IG30" i="17"/>
  <c r="FJ34" i="17"/>
  <c r="HW13" i="17"/>
  <c r="GI10" i="17"/>
  <c r="GJ10" i="17" s="1"/>
  <c r="DV37" i="17"/>
  <c r="GN20" i="17"/>
  <c r="GD28" i="17"/>
  <c r="HM25" i="17"/>
  <c r="AE32" i="17"/>
  <c r="GX25" i="17"/>
  <c r="GY25" i="17" s="1"/>
  <c r="BI18" i="17"/>
  <c r="K14" i="17"/>
  <c r="GX34" i="17"/>
  <c r="GY34" i="17" s="1"/>
  <c r="CH32" i="17"/>
  <c r="CR38" i="17"/>
  <c r="AF18" i="17"/>
  <c r="AO6" i="17"/>
  <c r="GI30" i="17"/>
  <c r="DG29" i="17"/>
  <c r="DV10" i="17"/>
  <c r="EF8" i="17"/>
  <c r="GX7" i="17"/>
  <c r="U12" i="17"/>
  <c r="FJ26" i="17"/>
  <c r="CH10" i="17"/>
  <c r="IG32" i="17"/>
  <c r="FO11" i="17"/>
  <c r="HC24" i="17"/>
  <c r="EV31" i="17"/>
  <c r="DV29" i="17"/>
  <c r="FE27" i="17"/>
  <c r="BY33" i="17"/>
  <c r="DG14" i="17"/>
  <c r="DW36" i="17"/>
  <c r="HM7" i="17"/>
  <c r="BN30" i="17"/>
  <c r="BX9" i="17"/>
  <c r="EZ10" i="17"/>
  <c r="P35" i="17"/>
  <c r="GX33" i="17"/>
  <c r="DC29" i="17"/>
  <c r="EF11" i="17"/>
  <c r="EQ29" i="17"/>
  <c r="AP8" i="17"/>
  <c r="GE25" i="17"/>
  <c r="CN27" i="17"/>
  <c r="HW14" i="17"/>
  <c r="EU22" i="17"/>
  <c r="BJ12" i="17"/>
  <c r="AZ29" i="17"/>
  <c r="BD26" i="17"/>
  <c r="DL14" i="17"/>
  <c r="CW11" i="17"/>
  <c r="F28" i="17"/>
  <c r="HR6" i="17"/>
  <c r="FZ33" i="17"/>
  <c r="GY10" i="17"/>
  <c r="GO8" i="17"/>
  <c r="DR21" i="17"/>
  <c r="FU34" i="17"/>
  <c r="L35" i="17"/>
  <c r="CD17" i="17"/>
  <c r="AY8" i="17"/>
  <c r="FF26" i="17"/>
  <c r="EU30" i="17"/>
  <c r="AJ30" i="17"/>
  <c r="CH17" i="17"/>
  <c r="DM15" i="17"/>
  <c r="HH11" i="17"/>
  <c r="L20" i="17"/>
  <c r="FU26" i="17"/>
  <c r="CX19" i="17"/>
  <c r="DM24" i="17"/>
  <c r="DC35" i="17"/>
  <c r="CD33" i="17"/>
  <c r="FJ27" i="17"/>
  <c r="GO38" i="17"/>
  <c r="GY9" i="17"/>
  <c r="HX32" i="17"/>
  <c r="FA35" i="17"/>
  <c r="FF34" i="17"/>
  <c r="DB10" i="17"/>
  <c r="GE26" i="17"/>
  <c r="HN22" i="17"/>
  <c r="DL17" i="17"/>
  <c r="AT6" i="17"/>
  <c r="BY36" i="17"/>
  <c r="CI16" i="17"/>
  <c r="BT15" i="17"/>
  <c r="G7" i="17"/>
  <c r="GT19" i="17"/>
  <c r="K8" i="17"/>
  <c r="EQ28" i="17"/>
  <c r="FT16" i="17"/>
  <c r="BI25" i="17"/>
  <c r="GX31" i="17"/>
  <c r="IC16" i="17"/>
  <c r="DB7" i="17"/>
  <c r="AA27" i="17"/>
  <c r="DC26" i="17"/>
  <c r="HD35" i="17"/>
  <c r="DQ6" i="17"/>
  <c r="AA6" i="17"/>
  <c r="FU9" i="17"/>
  <c r="FF6" i="17"/>
  <c r="DM7" i="17"/>
  <c r="AF28" i="17"/>
  <c r="EB36" i="17"/>
  <c r="L18" i="17"/>
  <c r="EG33" i="17"/>
  <c r="HS8" i="17"/>
  <c r="BY10" i="17"/>
  <c r="FF25" i="17"/>
  <c r="AO34" i="17"/>
  <c r="GX20" i="17"/>
  <c r="EV32" i="17"/>
  <c r="HI23" i="17"/>
  <c r="DR30" i="17"/>
  <c r="FO18" i="17"/>
  <c r="CW20" i="17"/>
  <c r="AJ15" i="17"/>
  <c r="DG27" i="17"/>
  <c r="BN8" i="17"/>
  <c r="CC6" i="17"/>
  <c r="HH28" i="17"/>
  <c r="EU11" i="17"/>
  <c r="CW12" i="17"/>
  <c r="AE10" i="17"/>
  <c r="AE13" i="17"/>
  <c r="BI20" i="17"/>
  <c r="F5" i="17"/>
  <c r="G5" i="17" s="1"/>
  <c r="HH25" i="17"/>
  <c r="CR24" i="17"/>
  <c r="Z16" i="17"/>
  <c r="AA16" i="17" s="1"/>
  <c r="HS7" i="17"/>
  <c r="EK30" i="17"/>
  <c r="IG16" i="17"/>
  <c r="GN25" i="17"/>
  <c r="GI13" i="17"/>
  <c r="DW13" i="17"/>
  <c r="EA9" i="17"/>
  <c r="Z22" i="17"/>
  <c r="CR12" i="17"/>
  <c r="EP37" i="17"/>
  <c r="EQ37" i="17" s="1"/>
  <c r="AT29" i="17"/>
  <c r="FJ11" i="17"/>
  <c r="FP19" i="17"/>
  <c r="K23" i="17"/>
  <c r="GS6" i="17"/>
  <c r="EB20" i="17"/>
  <c r="CN19" i="17"/>
  <c r="EB22" i="17"/>
  <c r="FY15" i="17"/>
  <c r="IG10" i="17"/>
  <c r="GO27" i="17"/>
  <c r="FK26" i="17"/>
  <c r="IC36" i="17"/>
  <c r="HW8" i="17"/>
  <c r="EP11" i="17"/>
  <c r="BN33" i="17"/>
  <c r="GN13" i="17"/>
  <c r="GT17" i="17"/>
  <c r="HI36" i="17"/>
  <c r="GX8" i="17"/>
  <c r="L15" i="17"/>
  <c r="EQ6" i="17"/>
  <c r="HI34" i="17"/>
  <c r="EQ20" i="17"/>
  <c r="DR13" i="17"/>
  <c r="CI32" i="17"/>
  <c r="BT22" i="17"/>
  <c r="CM21" i="17"/>
  <c r="CR29" i="17"/>
  <c r="FF28" i="17"/>
  <c r="EB7" i="17"/>
  <c r="BJ14" i="17"/>
  <c r="DB11" i="17"/>
  <c r="BY29" i="17"/>
  <c r="BO17" i="17"/>
  <c r="FF33" i="17"/>
  <c r="CS37" i="17"/>
  <c r="IH33" i="17"/>
  <c r="HD24" i="17"/>
  <c r="AP13" i="17"/>
  <c r="FJ10" i="17"/>
  <c r="IC8" i="17"/>
  <c r="AZ14" i="17"/>
  <c r="BD5" i="17"/>
  <c r="CN6" i="17"/>
  <c r="GE14" i="17"/>
  <c r="BO25" i="17"/>
  <c r="CN20" i="17"/>
  <c r="AU25" i="17"/>
  <c r="CW36" i="17"/>
  <c r="EG23" i="17"/>
  <c r="EV11" i="17"/>
  <c r="DR14" i="17"/>
  <c r="GS7" i="17"/>
  <c r="GE13" i="17"/>
  <c r="AP12" i="17"/>
  <c r="EG28" i="17"/>
  <c r="BO22" i="17"/>
  <c r="HS18" i="17"/>
  <c r="GT15" i="17"/>
  <c r="BI33" i="17"/>
  <c r="HC7" i="17"/>
  <c r="EK7" i="17"/>
  <c r="GO23" i="17"/>
  <c r="BN11" i="17"/>
  <c r="AY26" i="17"/>
  <c r="AP17" i="17"/>
  <c r="GT10" i="17"/>
  <c r="IH11" i="17"/>
  <c r="HR26" i="17"/>
  <c r="HI38" i="17"/>
  <c r="BY38" i="17"/>
  <c r="F14" i="17"/>
  <c r="L33" i="17"/>
  <c r="BE23" i="17"/>
  <c r="DM8" i="17"/>
  <c r="EV23" i="17"/>
  <c r="BJ20" i="17"/>
  <c r="FP18" i="17"/>
  <c r="FY7" i="17"/>
  <c r="EV13" i="17"/>
  <c r="GE35" i="17"/>
  <c r="FZ21" i="17"/>
  <c r="HX18" i="17"/>
  <c r="AU20" i="17"/>
  <c r="HN8" i="17"/>
  <c r="HH16" i="17"/>
  <c r="HI16" i="17" s="1"/>
  <c r="AZ22" i="17"/>
  <c r="EU8" i="17"/>
  <c r="CH6" i="17"/>
  <c r="CI6" i="17" s="1"/>
  <c r="AO16" i="17"/>
  <c r="CX32" i="17"/>
  <c r="DB37" i="17"/>
  <c r="BT11" i="17"/>
  <c r="BX25" i="17"/>
  <c r="BD6" i="17"/>
  <c r="DQ29" i="17"/>
  <c r="CM32" i="17"/>
  <c r="F6" i="17"/>
  <c r="DG20" i="17"/>
  <c r="CC32" i="17"/>
  <c r="BX15" i="17"/>
  <c r="EK25" i="17"/>
  <c r="BT25" i="17"/>
  <c r="GX17" i="17"/>
  <c r="HH10" i="17"/>
  <c r="DG15" i="17"/>
  <c r="P16" i="17"/>
  <c r="DB8" i="17"/>
  <c r="BI38" i="17"/>
  <c r="DL38" i="17"/>
  <c r="DM38" i="17" s="1"/>
  <c r="HD20" i="17"/>
  <c r="EA10" i="17"/>
  <c r="BD10" i="17"/>
  <c r="DQ26" i="17"/>
  <c r="EU37" i="17"/>
  <c r="DC20" i="17"/>
  <c r="FP26" i="17"/>
  <c r="HS19" i="17"/>
  <c r="FP11" i="17"/>
  <c r="EK12" i="17"/>
  <c r="FT14" i="17"/>
  <c r="FU14" i="17" s="1"/>
  <c r="CM15" i="17"/>
  <c r="BS16" i="17"/>
  <c r="AZ17" i="17"/>
  <c r="AJ16" i="17"/>
  <c r="L17" i="17"/>
  <c r="HC5" i="17"/>
  <c r="HR9" i="17"/>
  <c r="CD11" i="17"/>
  <c r="DW23" i="17"/>
  <c r="BY6" i="17"/>
  <c r="CI15" i="17"/>
  <c r="EA8" i="17"/>
  <c r="AA14" i="17"/>
  <c r="K12" i="17"/>
  <c r="AK16" i="17"/>
  <c r="CS36" i="17"/>
  <c r="GE38" i="17"/>
  <c r="HR23" i="17"/>
  <c r="GS25" i="17"/>
  <c r="GT25" i="17" s="1"/>
  <c r="AZ19" i="17"/>
  <c r="HM21" i="17"/>
  <c r="BN18" i="17"/>
  <c r="DH22" i="17"/>
  <c r="CM5" i="17"/>
  <c r="HW11" i="17"/>
  <c r="BJ35" i="17"/>
  <c r="FK16" i="17"/>
  <c r="AK29" i="17"/>
  <c r="FZ36" i="17"/>
  <c r="GT16" i="17"/>
  <c r="HD6" i="17"/>
  <c r="BN6" i="17"/>
  <c r="HW17" i="17"/>
  <c r="AA34" i="17"/>
  <c r="GE16" i="17"/>
  <c r="AJ6" i="17"/>
  <c r="DH27" i="17"/>
  <c r="CD7" i="17"/>
  <c r="HN16" i="17"/>
  <c r="AA32" i="17"/>
  <c r="EQ34" i="17"/>
  <c r="HS24" i="17"/>
  <c r="DG11" i="17"/>
  <c r="EL23" i="17"/>
  <c r="FT6" i="17"/>
  <c r="CM14" i="17"/>
  <c r="EG10" i="17"/>
  <c r="AY9" i="17"/>
  <c r="GY23" i="17"/>
  <c r="HI5" i="17"/>
  <c r="EQ35" i="17"/>
  <c r="EL12" i="17"/>
  <c r="CC14" i="17"/>
  <c r="U9" i="17"/>
  <c r="HN5" i="17"/>
  <c r="HM10" i="17"/>
  <c r="CD21" i="17"/>
  <c r="CD15" i="17"/>
  <c r="EB29" i="17"/>
  <c r="EB9" i="17"/>
  <c r="Q15" i="17"/>
  <c r="BO32" i="17"/>
  <c r="AE7" i="17"/>
  <c r="EQ32" i="17"/>
  <c r="IH6" i="17"/>
  <c r="BE27" i="17"/>
  <c r="EV30" i="17"/>
  <c r="CS20" i="17"/>
  <c r="FP14" i="17"/>
  <c r="AA21" i="17"/>
  <c r="AZ9" i="17"/>
  <c r="IC28" i="17"/>
  <c r="AF38" i="17"/>
  <c r="K36" i="17"/>
  <c r="L36" i="17" s="1"/>
  <c r="FT27" i="17"/>
  <c r="DG8" i="17"/>
  <c r="HI14" i="17"/>
  <c r="HW21" i="17"/>
  <c r="HX21" i="17" s="1"/>
  <c r="GD30" i="17"/>
  <c r="DB9" i="17"/>
  <c r="K19" i="17"/>
  <c r="GD11" i="17"/>
  <c r="GE11" i="17" s="1"/>
  <c r="EZ6" i="17"/>
  <c r="FA6" i="17" s="1"/>
  <c r="CH27" i="17"/>
  <c r="EU36" i="17"/>
  <c r="Z15" i="17"/>
  <c r="FE15" i="17"/>
  <c r="FJ31" i="17"/>
  <c r="F15" i="17"/>
  <c r="AY37" i="17"/>
  <c r="P20" i="17"/>
  <c r="U13" i="17"/>
  <c r="EP12" i="17"/>
  <c r="DB6" i="17"/>
  <c r="EK16" i="17"/>
  <c r="FO27" i="17"/>
  <c r="GD7" i="17"/>
  <c r="GE7" i="17" s="1"/>
  <c r="FY5" i="17"/>
  <c r="BN10" i="17"/>
  <c r="DH34" i="17"/>
  <c r="FE35" i="17"/>
  <c r="FF35" i="17" s="1"/>
  <c r="CX16" i="17"/>
  <c r="DR15" i="17"/>
  <c r="HD34" i="17"/>
  <c r="BY23" i="17"/>
  <c r="HN12" i="17"/>
  <c r="AP27" i="17"/>
  <c r="K13" i="17"/>
  <c r="AZ11" i="17"/>
  <c r="GI37" i="17"/>
  <c r="CR8" i="17"/>
  <c r="CC28" i="17"/>
  <c r="GS21" i="17"/>
  <c r="GT21" i="17" s="1"/>
  <c r="HR11" i="17"/>
  <c r="GJ21" i="17"/>
  <c r="FP25" i="17"/>
  <c r="GD27" i="17"/>
  <c r="GE27" i="17" s="1"/>
  <c r="CW8" i="17"/>
  <c r="FZ19" i="17"/>
  <c r="EV20" i="17"/>
  <c r="HI10" i="17"/>
  <c r="GE19" i="17"/>
  <c r="EQ10" i="17"/>
  <c r="BX34" i="17"/>
  <c r="AE19" i="17"/>
  <c r="AF19" i="17" s="1"/>
  <c r="GY7" i="17"/>
  <c r="HN6" i="17"/>
  <c r="AZ24" i="17"/>
  <c r="DV18" i="17"/>
  <c r="CI24" i="17"/>
  <c r="U5" i="17"/>
  <c r="BE32" i="17"/>
  <c r="BJ34" i="17"/>
  <c r="CX21" i="17"/>
  <c r="CX38" i="17"/>
  <c r="FZ16" i="17"/>
  <c r="Q25" i="17"/>
  <c r="CH13" i="17"/>
  <c r="DW16" i="17"/>
  <c r="DB23" i="17"/>
  <c r="FU21" i="17"/>
  <c r="IB11" i="17"/>
  <c r="HX14" i="17"/>
  <c r="FK21" i="17"/>
  <c r="FZ34" i="17"/>
  <c r="CD31" i="17"/>
  <c r="EL14" i="17"/>
  <c r="U24" i="17"/>
  <c r="BN28" i="17"/>
  <c r="AJ17" i="17"/>
  <c r="CX10" i="17"/>
  <c r="BO36" i="17"/>
  <c r="BJ38" i="17"/>
  <c r="HN38" i="17"/>
  <c r="GE34" i="17"/>
  <c r="AA30" i="17"/>
  <c r="AU24" i="17"/>
  <c r="CW9" i="17"/>
  <c r="BS29" i="17"/>
  <c r="HD10" i="17"/>
  <c r="GJ32" i="17"/>
  <c r="CR13" i="17"/>
  <c r="HN7" i="17"/>
  <c r="GD8" i="17"/>
  <c r="HX12" i="17"/>
  <c r="HW15" i="17"/>
  <c r="AE36" i="17"/>
  <c r="EP26" i="17"/>
  <c r="AJ5" i="17"/>
  <c r="U7" i="17"/>
  <c r="GO37" i="17"/>
  <c r="GT30" i="17"/>
  <c r="IH35" i="17"/>
  <c r="FA11" i="17"/>
  <c r="IC38" i="17"/>
  <c r="FK24" i="17"/>
  <c r="EQ18" i="17"/>
  <c r="FO37" i="17"/>
  <c r="HN36" i="17"/>
  <c r="FU22" i="17"/>
  <c r="HD9" i="17"/>
  <c r="IH19" i="17"/>
  <c r="FU6" i="17"/>
  <c r="GT14" i="17"/>
  <c r="BI9" i="17"/>
  <c r="V20" i="17"/>
  <c r="GY19" i="17"/>
  <c r="CD26" i="17"/>
  <c r="HW20" i="17"/>
  <c r="HX20" i="17" s="1"/>
  <c r="EK20" i="17"/>
  <c r="EF24" i="17"/>
  <c r="CM24" i="17"/>
  <c r="DG23" i="17"/>
  <c r="HW31" i="17"/>
  <c r="EB21" i="17"/>
  <c r="GD9" i="17"/>
  <c r="GE9" i="17" s="1"/>
  <c r="DV12" i="17"/>
  <c r="DQ5" i="17"/>
  <c r="FE37" i="17"/>
  <c r="FO16" i="17"/>
  <c r="FY12" i="17"/>
  <c r="U10" i="17"/>
  <c r="AP36" i="17"/>
  <c r="BX18" i="17"/>
  <c r="FO36" i="17"/>
  <c r="AY16" i="17"/>
  <c r="CH14" i="17"/>
  <c r="CR14" i="17"/>
  <c r="IG31" i="17"/>
  <c r="BI10" i="17"/>
  <c r="BJ10" i="17" s="1"/>
  <c r="EF15" i="17"/>
  <c r="CR25" i="17"/>
  <c r="CS25" i="17" s="1"/>
  <c r="AT33" i="17"/>
  <c r="FY24" i="17"/>
  <c r="CS24" i="17"/>
  <c r="FT36" i="17"/>
  <c r="FU36" i="17" s="1"/>
  <c r="EG36" i="17"/>
  <c r="BJ37" i="17"/>
  <c r="BY27" i="17"/>
  <c r="GO36" i="17"/>
  <c r="CD25" i="17"/>
  <c r="DQ7" i="17"/>
  <c r="DR7" i="17" s="1"/>
  <c r="EQ22" i="17"/>
  <c r="EL9" i="17"/>
  <c r="CX37" i="17"/>
  <c r="CC34" i="17"/>
  <c r="CD34" i="17" s="1"/>
  <c r="AY36" i="17"/>
  <c r="AJ32" i="17"/>
  <c r="AE15" i="17"/>
  <c r="FO6" i="17"/>
  <c r="HI29" i="17"/>
  <c r="EQ12" i="17"/>
  <c r="FZ37" i="17"/>
  <c r="FT12" i="17"/>
  <c r="FU12" i="17" s="1"/>
  <c r="BT5" i="17"/>
  <c r="DC9" i="17"/>
  <c r="DM28" i="17"/>
  <c r="EG38" i="17"/>
  <c r="FP16" i="17"/>
  <c r="HX27" i="17"/>
  <c r="EA30" i="17"/>
  <c r="P6" i="17"/>
  <c r="HS17" i="17"/>
  <c r="AT9" i="17"/>
  <c r="AU23" i="17"/>
  <c r="BD7" i="17"/>
  <c r="BJ21" i="17"/>
  <c r="FJ6" i="17"/>
  <c r="AA9" i="17"/>
  <c r="BE38" i="17"/>
  <c r="AP33" i="17"/>
  <c r="DH19" i="17"/>
  <c r="GE21" i="17"/>
  <c r="EL19" i="17"/>
  <c r="GJ18" i="17"/>
  <c r="HI35" i="17"/>
  <c r="HX5" i="17"/>
  <c r="CM17" i="17"/>
  <c r="FK13" i="17"/>
  <c r="BS23" i="17"/>
  <c r="HX29" i="17"/>
  <c r="HN27" i="17"/>
  <c r="GY14" i="17"/>
  <c r="EQ30" i="17"/>
  <c r="DV17" i="17"/>
  <c r="CC9" i="17"/>
  <c r="AU12" i="17"/>
  <c r="BO28" i="17"/>
  <c r="DV5" i="17"/>
  <c r="CX31" i="17"/>
  <c r="FP23" i="17"/>
  <c r="FP12" i="17"/>
  <c r="CX12" i="17"/>
  <c r="DL27" i="17"/>
  <c r="DL18" i="17"/>
  <c r="GX15" i="17"/>
  <c r="DB24" i="17"/>
  <c r="AP20" i="17"/>
  <c r="K29" i="17"/>
  <c r="DL12" i="17"/>
  <c r="Z5" i="17"/>
  <c r="Z13" i="17"/>
  <c r="HM17" i="17"/>
  <c r="HR35" i="17"/>
  <c r="BN35" i="17"/>
  <c r="BO35" i="17" s="1"/>
  <c r="GX37" i="17"/>
  <c r="FA20" i="17"/>
  <c r="AE31" i="17"/>
  <c r="HD27" i="17"/>
  <c r="AJ20" i="17"/>
  <c r="Z35" i="17"/>
  <c r="CW5" i="17"/>
  <c r="CX5" i="17" s="1"/>
  <c r="FJ18" i="17"/>
  <c r="FK18" i="17" s="1"/>
  <c r="AE14" i="17"/>
  <c r="FZ35" i="17"/>
  <c r="GD5" i="17"/>
  <c r="Z36" i="17"/>
  <c r="EZ34" i="17"/>
  <c r="DG18" i="17"/>
  <c r="EB11" i="17"/>
  <c r="BI23" i="17"/>
  <c r="BJ23" i="17" s="1"/>
  <c r="HD19" i="17"/>
  <c r="GJ5" i="17"/>
  <c r="EG20" i="17"/>
  <c r="FU30" i="17"/>
  <c r="DR36" i="17"/>
  <c r="BI5" i="17"/>
  <c r="EB5" i="17"/>
  <c r="GI12" i="17"/>
  <c r="GJ12" i="17" s="1"/>
  <c r="DG17" i="17"/>
  <c r="GI16" i="17"/>
  <c r="BD31" i="17"/>
  <c r="BT36" i="17"/>
  <c r="FA5" i="17"/>
  <c r="EQ17" i="17"/>
  <c r="AF11" i="17"/>
  <c r="GI8" i="17"/>
  <c r="BT9" i="17"/>
  <c r="IB23" i="17"/>
  <c r="AZ36" i="17"/>
  <c r="IH20" i="17"/>
  <c r="V38" i="17"/>
  <c r="BT28" i="17"/>
  <c r="AK15" i="17"/>
  <c r="BY12" i="17"/>
  <c r="AY12" i="17"/>
  <c r="AP37" i="17"/>
  <c r="HH12" i="17"/>
  <c r="HI12" i="17" s="1"/>
  <c r="CW17" i="17"/>
  <c r="CH19" i="17"/>
  <c r="HX28" i="17"/>
  <c r="HX7" i="17"/>
  <c r="CN37" i="17"/>
  <c r="GE33" i="17"/>
  <c r="FU33" i="17"/>
  <c r="EL20" i="17"/>
  <c r="GE32" i="17"/>
  <c r="U15" i="17"/>
  <c r="V15" i="17" s="1"/>
  <c r="BX32" i="17"/>
  <c r="EK8" i="17"/>
  <c r="GE20" i="17"/>
  <c r="CM11" i="17"/>
  <c r="BO19" i="17"/>
  <c r="BO29" i="17"/>
  <c r="EL26" i="17"/>
  <c r="HM37" i="17"/>
  <c r="BJ7" i="17"/>
  <c r="GT36" i="17"/>
  <c r="EG34" i="17"/>
  <c r="GD17" i="17"/>
  <c r="BS18" i="17"/>
  <c r="GT27" i="17"/>
  <c r="BX5" i="17"/>
  <c r="HS15" i="17"/>
  <c r="DR34" i="17"/>
  <c r="EQ15" i="17"/>
  <c r="HI28" i="17"/>
  <c r="G24" i="17"/>
  <c r="L6" i="17"/>
  <c r="G16" i="17"/>
  <c r="HN13" i="17"/>
  <c r="FO15" i="17"/>
  <c r="CS28" i="17"/>
  <c r="FF37" i="17"/>
  <c r="BY11" i="17"/>
  <c r="BJ32" i="17"/>
  <c r="HD12" i="17"/>
  <c r="FJ9" i="17"/>
  <c r="DH9" i="17"/>
  <c r="AA5" i="17"/>
  <c r="DM20" i="17"/>
  <c r="V17" i="17"/>
  <c r="CN33" i="17"/>
  <c r="HD17" i="17"/>
  <c r="EV27" i="17"/>
  <c r="HI32" i="17"/>
  <c r="V31" i="17"/>
  <c r="CS23" i="17"/>
  <c r="HI25" i="17"/>
  <c r="GF11" i="17"/>
  <c r="AT35" i="17"/>
  <c r="AU35" i="17" s="1"/>
  <c r="HD28" i="17"/>
  <c r="CR21" i="17"/>
  <c r="CR6" i="17"/>
  <c r="AO35" i="17"/>
  <c r="AT5" i="17"/>
  <c r="DB13" i="17"/>
  <c r="DC13" i="17" s="1"/>
  <c r="CX23" i="17"/>
  <c r="FZ28" i="17"/>
  <c r="GO17" i="17"/>
  <c r="BN7" i="17"/>
  <c r="EG24" i="17"/>
  <c r="CX30" i="17"/>
  <c r="FF29" i="17"/>
  <c r="EZ9" i="17"/>
  <c r="DW15" i="17"/>
  <c r="GT34" i="17"/>
  <c r="EU15" i="17"/>
  <c r="AP16" i="17"/>
  <c r="IH18" i="17"/>
  <c r="DW26" i="17"/>
  <c r="CX28" i="17"/>
  <c r="FF27" i="17"/>
  <c r="AE21" i="17"/>
  <c r="EU7" i="17"/>
  <c r="CS8" i="17"/>
  <c r="AY13" i="17"/>
  <c r="CS27" i="17"/>
  <c r="L9" i="17"/>
  <c r="EL35" i="17"/>
  <c r="GI6" i="17"/>
  <c r="GE37" i="17"/>
  <c r="IH9" i="17"/>
  <c r="AK24" i="17"/>
  <c r="Q37" i="17"/>
  <c r="V36" i="17"/>
  <c r="FB5" i="17"/>
  <c r="AA23" i="17"/>
  <c r="CN26" i="17"/>
  <c r="AF20" i="17"/>
  <c r="EL22" i="17"/>
  <c r="FZ15" i="17"/>
  <c r="L37" i="17"/>
  <c r="HE34" i="17"/>
  <c r="M6" i="17"/>
  <c r="FB19" i="17"/>
  <c r="HS32" i="17"/>
  <c r="CM7" i="17"/>
  <c r="DH14" i="17"/>
  <c r="G25" i="17"/>
  <c r="BY35" i="17"/>
  <c r="FA10" i="17"/>
  <c r="CS6" i="17"/>
  <c r="DM12" i="17"/>
  <c r="DM27" i="17"/>
  <c r="IH17" i="17"/>
  <c r="CI20" i="17"/>
  <c r="G23" i="17"/>
  <c r="HN31" i="17"/>
  <c r="BY28" i="17"/>
  <c r="HS14" i="17"/>
  <c r="FV23" i="17"/>
  <c r="ER15" i="17"/>
  <c r="CI34" i="17"/>
  <c r="II11" i="17"/>
  <c r="BD9" i="17"/>
  <c r="U6" i="17"/>
  <c r="DC36" i="17"/>
  <c r="L30" i="17"/>
  <c r="L14" i="17"/>
  <c r="BT12" i="17"/>
  <c r="HN19" i="17"/>
  <c r="DC37" i="17"/>
  <c r="EL27" i="17"/>
  <c r="CI19" i="17"/>
  <c r="EG25" i="17"/>
  <c r="AB6" i="17"/>
  <c r="BO16" i="17"/>
  <c r="EQ38" i="17"/>
  <c r="BZ33" i="17"/>
  <c r="BE22" i="17"/>
  <c r="EQ14" i="17"/>
  <c r="FY6" i="17"/>
  <c r="CS38" i="17"/>
  <c r="EL11" i="17"/>
  <c r="IH26" i="17"/>
  <c r="AP30" i="17"/>
  <c r="HS10" i="17"/>
  <c r="CO34" i="17"/>
  <c r="BE29" i="17"/>
  <c r="CT23" i="17"/>
  <c r="Q5" i="17"/>
  <c r="G13" i="17"/>
  <c r="CJ37" i="17"/>
  <c r="AB9" i="17"/>
  <c r="G32" i="17"/>
  <c r="HR25" i="17"/>
  <c r="HS25" i="17" s="1"/>
  <c r="G22" i="17"/>
  <c r="GX22" i="17"/>
  <c r="GY22" i="17" s="1"/>
  <c r="Z29" i="17"/>
  <c r="CR15" i="17"/>
  <c r="CS15" i="17" s="1"/>
  <c r="FE12" i="17"/>
  <c r="FF12" i="17" s="1"/>
  <c r="GN6" i="17"/>
  <c r="GX32" i="17"/>
  <c r="V23" i="17"/>
  <c r="GD10" i="17"/>
  <c r="CD24" i="17"/>
  <c r="CW13" i="17"/>
  <c r="IH7" i="17"/>
  <c r="FA36" i="17"/>
  <c r="DL36" i="17"/>
  <c r="DM36" i="17" s="1"/>
  <c r="BO24" i="17"/>
  <c r="FZ14" i="17"/>
  <c r="BJ26" i="17"/>
  <c r="AA35" i="17"/>
  <c r="FU35" i="17"/>
  <c r="BO30" i="17"/>
  <c r="AK17" i="17"/>
  <c r="FA16" i="17"/>
  <c r="EQ25" i="17"/>
  <c r="V37" i="17"/>
  <c r="AZ25" i="17"/>
  <c r="EV8" i="17"/>
  <c r="BS6" i="17"/>
  <c r="BT6" i="17" s="1"/>
  <c r="DM37" i="17"/>
  <c r="EQ36" i="17"/>
  <c r="AZ32" i="17"/>
  <c r="GY17" i="17"/>
  <c r="P7" i="17"/>
  <c r="Q26" i="17"/>
  <c r="HI11" i="17"/>
  <c r="EL5" i="17"/>
  <c r="FB35" i="17"/>
  <c r="DW24" i="17"/>
  <c r="HD38" i="17"/>
  <c r="GJ7" i="17"/>
  <c r="HN23" i="17"/>
  <c r="CD10" i="17"/>
  <c r="AA8" i="17"/>
  <c r="HS11" i="17"/>
  <c r="FB31" i="17"/>
  <c r="IH14" i="17"/>
  <c r="CO19" i="17"/>
  <c r="GF20" i="17"/>
  <c r="CX20" i="17"/>
  <c r="BE31" i="17"/>
  <c r="CN14" i="17"/>
  <c r="CD14" i="17"/>
  <c r="FP35" i="17"/>
  <c r="HI22" i="17"/>
  <c r="L28" i="17"/>
  <c r="P17" i="17"/>
  <c r="BI13" i="17"/>
  <c r="AU15" i="17"/>
  <c r="AA17" i="17"/>
  <c r="AK30" i="17"/>
  <c r="AZ30" i="17"/>
  <c r="HS35" i="17"/>
  <c r="M9" i="17"/>
  <c r="AA13" i="17"/>
  <c r="EM6" i="17"/>
  <c r="AA22" i="17"/>
  <c r="AK36" i="17"/>
  <c r="BE20" i="17"/>
  <c r="AA20" i="17"/>
  <c r="AF16" i="17"/>
  <c r="CI12" i="17"/>
  <c r="BJ8" i="17"/>
  <c r="L13" i="17"/>
  <c r="HD25" i="17"/>
  <c r="BJ22" i="17"/>
  <c r="GO6" i="17"/>
  <c r="IH34" i="17"/>
  <c r="GE29" i="17"/>
  <c r="ER29" i="17"/>
  <c r="BT24" i="17"/>
  <c r="EM18" i="17"/>
  <c r="GF26" i="17"/>
  <c r="CT10" i="17"/>
  <c r="L26" i="17"/>
  <c r="AF14" i="17"/>
  <c r="CN31" i="17"/>
  <c r="EB30" i="17"/>
  <c r="BS17" i="17"/>
  <c r="ER32" i="17"/>
  <c r="CS12" i="17"/>
  <c r="EQ7" i="17"/>
  <c r="AA18" i="17"/>
  <c r="P18" i="17"/>
  <c r="Q10" i="17"/>
  <c r="CO18" i="17"/>
  <c r="M36" i="17"/>
  <c r="IC14" i="17"/>
  <c r="AZ31" i="17"/>
  <c r="ER34" i="17"/>
  <c r="EM23" i="17"/>
  <c r="CJ32" i="17"/>
  <c r="AT14" i="17"/>
  <c r="GJ27" i="17"/>
  <c r="Q32" i="17"/>
  <c r="DQ22" i="17"/>
  <c r="DR22" i="17" s="1"/>
  <c r="FY31" i="17"/>
  <c r="DB17" i="17"/>
  <c r="DC17" i="17" s="1"/>
  <c r="AJ8" i="17"/>
  <c r="K24" i="17"/>
  <c r="IC33" i="17"/>
  <c r="IB5" i="17"/>
  <c r="IC5" i="17" s="1"/>
  <c r="AK38" i="17"/>
  <c r="DR11" i="17"/>
  <c r="IH10" i="17"/>
  <c r="II10" i="17" s="1"/>
  <c r="GX16" i="17"/>
  <c r="GY16" i="17" s="1"/>
  <c r="DM13" i="17"/>
  <c r="EV14" i="17"/>
  <c r="EA17" i="17"/>
  <c r="Z26" i="17"/>
  <c r="BO21" i="17"/>
  <c r="HI26" i="17"/>
  <c r="GO5" i="17"/>
  <c r="EL17" i="17"/>
  <c r="HS34" i="17"/>
  <c r="HX22" i="17"/>
  <c r="CS5" i="17"/>
  <c r="GO10" i="17"/>
  <c r="HN28" i="17"/>
  <c r="DW6" i="17"/>
  <c r="EP8" i="17"/>
  <c r="EA6" i="17"/>
  <c r="CD28" i="17"/>
  <c r="GE22" i="17"/>
  <c r="BE37" i="17"/>
  <c r="EL29" i="17"/>
  <c r="DW19" i="17"/>
  <c r="EQ13" i="17"/>
  <c r="ER13" i="17" s="1"/>
  <c r="GJ31" i="17"/>
  <c r="HC13" i="17"/>
  <c r="AK12" i="17"/>
  <c r="FJ28" i="17"/>
  <c r="FA9" i="17"/>
  <c r="DH29" i="17"/>
  <c r="FK19" i="17"/>
  <c r="EB26" i="17"/>
  <c r="GJ28" i="17"/>
  <c r="FZ20" i="17"/>
  <c r="BJ36" i="17"/>
  <c r="BO11" i="17"/>
  <c r="CD8" i="17"/>
  <c r="HE10" i="17"/>
  <c r="EG13" i="17"/>
  <c r="DL11" i="17"/>
  <c r="V32" i="17"/>
  <c r="L29" i="17"/>
  <c r="BT23" i="17"/>
  <c r="DW32" i="17"/>
  <c r="DX32" i="17" s="1"/>
  <c r="AP19" i="17"/>
  <c r="BJ5" i="17"/>
  <c r="HD37" i="17"/>
  <c r="IC22" i="17"/>
  <c r="DM17" i="17"/>
  <c r="CO25" i="17"/>
  <c r="CO12" i="17"/>
  <c r="FB21" i="17"/>
  <c r="BO38" i="17"/>
  <c r="FT5" i="17"/>
  <c r="FG26" i="17"/>
  <c r="FZ29" i="17"/>
  <c r="AK20" i="17"/>
  <c r="BT21" i="17"/>
  <c r="EQ27" i="17"/>
  <c r="CD13" i="17"/>
  <c r="GN12" i="17"/>
  <c r="GO13" i="17"/>
  <c r="GP13" i="17" s="1"/>
  <c r="V33" i="17"/>
  <c r="FK14" i="17"/>
  <c r="DX26" i="17"/>
  <c r="BE25" i="17"/>
  <c r="BY25" i="17"/>
  <c r="HE24" i="17"/>
  <c r="AZ38" i="17"/>
  <c r="BO15" i="17"/>
  <c r="CX33" i="17"/>
  <c r="II19" i="17"/>
  <c r="EM29" i="17"/>
  <c r="BO13" i="17"/>
  <c r="AA19" i="17"/>
  <c r="L27" i="17"/>
  <c r="DB22" i="17"/>
  <c r="DB27" i="17"/>
  <c r="DC27" i="17" s="1"/>
  <c r="HC31" i="17"/>
  <c r="HD31" i="17" s="1"/>
  <c r="AY23" i="17"/>
  <c r="AZ23" i="17" s="1"/>
  <c r="DL32" i="17"/>
  <c r="HC14" i="17"/>
  <c r="BN27" i="17"/>
  <c r="CX26" i="17"/>
  <c r="K22" i="17"/>
  <c r="L22" i="17" s="1"/>
  <c r="M22" i="17" s="1"/>
  <c r="Z12" i="17"/>
  <c r="DM33" i="17"/>
  <c r="FY9" i="17"/>
  <c r="FZ9" i="17" s="1"/>
  <c r="FF11" i="17"/>
  <c r="K31" i="17"/>
  <c r="HD30" i="17"/>
  <c r="HN34" i="17"/>
  <c r="DR27" i="17"/>
  <c r="HH21" i="17"/>
  <c r="DH15" i="17"/>
  <c r="EB15" i="17"/>
  <c r="GN15" i="17"/>
  <c r="HN30" i="17"/>
  <c r="Q31" i="17"/>
  <c r="G17" i="17"/>
  <c r="AZ20" i="17"/>
  <c r="HS36" i="17"/>
  <c r="BO14" i="17"/>
  <c r="FP33" i="17"/>
  <c r="EL28" i="17"/>
  <c r="IC15" i="17"/>
  <c r="BY14" i="17"/>
  <c r="EB35" i="17"/>
  <c r="BY7" i="17"/>
  <c r="IH25" i="17"/>
  <c r="II25" i="17" s="1"/>
  <c r="HE28" i="17"/>
  <c r="CN11" i="17"/>
  <c r="AU27" i="17"/>
  <c r="GS37" i="17"/>
  <c r="G10" i="17"/>
  <c r="HN9" i="17"/>
  <c r="BJ27" i="17"/>
  <c r="HS33" i="17"/>
  <c r="BT32" i="17"/>
  <c r="DH13" i="17"/>
  <c r="EQ26" i="17"/>
  <c r="G26" i="17"/>
  <c r="GY26" i="17"/>
  <c r="HW24" i="17"/>
  <c r="CS7" i="17"/>
  <c r="CD36" i="17"/>
  <c r="FG6" i="17"/>
  <c r="DH32" i="17"/>
  <c r="DM35" i="17"/>
  <c r="EM17" i="17"/>
  <c r="BD11" i="17"/>
  <c r="CD18" i="17"/>
  <c r="FP13" i="17"/>
  <c r="FK6" i="17"/>
  <c r="EB31" i="17"/>
  <c r="GY20" i="17"/>
  <c r="CN38" i="17"/>
  <c r="M34" i="17"/>
  <c r="ER37" i="17"/>
  <c r="HE12" i="17"/>
  <c r="AB7" i="17"/>
  <c r="HS31" i="17"/>
  <c r="GF16" i="17"/>
  <c r="BZ7" i="17"/>
  <c r="FZ5" i="17"/>
  <c r="DC21" i="17"/>
  <c r="AF15" i="17"/>
  <c r="CS21" i="17"/>
  <c r="AU26" i="17"/>
  <c r="DR29" i="17"/>
  <c r="AZ10" i="17"/>
  <c r="EG35" i="17"/>
  <c r="HS16" i="17"/>
  <c r="EL7" i="17"/>
  <c r="CN32" i="17"/>
  <c r="HX19" i="17"/>
  <c r="GI14" i="17"/>
  <c r="EQ8" i="17"/>
  <c r="GY12" i="17"/>
  <c r="DV38" i="17"/>
  <c r="FG5" i="17"/>
  <c r="EM5" i="17"/>
  <c r="CO14" i="17"/>
  <c r="CI22" i="17"/>
  <c r="DM16" i="17"/>
  <c r="GP32" i="17"/>
  <c r="AK28" i="17"/>
  <c r="G11" i="17"/>
  <c r="IC20" i="17"/>
  <c r="AE29" i="17"/>
  <c r="GO35" i="17"/>
  <c r="DQ12" i="17"/>
  <c r="DG16" i="17"/>
  <c r="DC33" i="17"/>
  <c r="HS29" i="17"/>
  <c r="FF7" i="17"/>
  <c r="FK35" i="17"/>
  <c r="FL35" i="17" s="1"/>
  <c r="BX8" i="17"/>
  <c r="BY8" i="17" s="1"/>
  <c r="DW7" i="17"/>
  <c r="AP38" i="17"/>
  <c r="FU18" i="17"/>
  <c r="DR16" i="17"/>
  <c r="Q20" i="17"/>
  <c r="K10" i="17"/>
  <c r="BT31" i="17"/>
  <c r="DC38" i="17"/>
  <c r="HR21" i="17"/>
  <c r="HS21" i="17" s="1"/>
  <c r="EQ24" i="17"/>
  <c r="GE10" i="17"/>
  <c r="GS11" i="17"/>
  <c r="HM11" i="17"/>
  <c r="HN11" i="17" s="1"/>
  <c r="HO11" i="17" s="1"/>
  <c r="BJ33" i="17"/>
  <c r="CM9" i="17"/>
  <c r="CN9" i="17" s="1"/>
  <c r="EG7" i="17"/>
  <c r="DR28" i="17"/>
  <c r="L25" i="17"/>
  <c r="M25" i="17" s="1"/>
  <c r="CN23" i="17"/>
  <c r="CX6" i="17"/>
  <c r="GY24" i="17"/>
  <c r="FZ23" i="17"/>
  <c r="DC30" i="17"/>
  <c r="DH18" i="17"/>
  <c r="EL30" i="17"/>
  <c r="M17" i="17"/>
  <c r="AF32" i="17"/>
  <c r="CX14" i="17"/>
  <c r="DM10" i="17"/>
  <c r="AP21" i="17"/>
  <c r="HN20" i="17"/>
  <c r="EG26" i="17"/>
  <c r="HD8" i="17"/>
  <c r="BZ19" i="17"/>
  <c r="CJ23" i="17"/>
  <c r="EB12" i="17"/>
  <c r="FU25" i="17"/>
  <c r="CD19" i="17"/>
  <c r="HX6" i="17"/>
  <c r="EP19" i="17"/>
  <c r="G18" i="17"/>
  <c r="DC23" i="17"/>
  <c r="DC14" i="17"/>
  <c r="AU7" i="17"/>
  <c r="HH13" i="17"/>
  <c r="BO7" i="17"/>
  <c r="V9" i="17"/>
  <c r="IH30" i="17"/>
  <c r="FP8" i="17"/>
  <c r="CX13" i="17"/>
  <c r="BY17" i="17"/>
  <c r="BE10" i="17"/>
  <c r="CN10" i="17"/>
  <c r="CN13" i="17"/>
  <c r="CX7" i="17"/>
  <c r="AZ16" i="17"/>
  <c r="AB30" i="17"/>
  <c r="IG5" i="17"/>
  <c r="EP9" i="17"/>
  <c r="AF30" i="17"/>
  <c r="FA24" i="17"/>
  <c r="FB24" i="17" s="1"/>
  <c r="AK37" i="17"/>
  <c r="F19" i="17"/>
  <c r="FU11" i="17"/>
  <c r="DM22" i="17"/>
  <c r="EG31" i="17"/>
  <c r="GT38" i="17"/>
  <c r="DM26" i="17"/>
  <c r="HS30" i="17"/>
  <c r="FV14" i="17"/>
  <c r="FK23" i="17"/>
  <c r="BT33" i="17"/>
  <c r="FZ7" i="17"/>
  <c r="CS29" i="17"/>
  <c r="HN18" i="17"/>
  <c r="EL16" i="17"/>
  <c r="HI9" i="17"/>
  <c r="FK15" i="17"/>
  <c r="FF14" i="17"/>
  <c r="GP27" i="17"/>
  <c r="HD26" i="17"/>
  <c r="HE26" i="17" s="1"/>
  <c r="CT7" i="17"/>
  <c r="AU13" i="17"/>
  <c r="Z11" i="17"/>
  <c r="AA11" i="17" s="1"/>
  <c r="IG12" i="17"/>
  <c r="CD22" i="17"/>
  <c r="HH17" i="17"/>
  <c r="DQ17" i="17"/>
  <c r="DR17" i="17" s="1"/>
  <c r="CS35" i="17"/>
  <c r="AP29" i="17"/>
  <c r="IH36" i="17"/>
  <c r="IB7" i="17"/>
  <c r="IB6" i="17"/>
  <c r="EG18" i="17"/>
  <c r="IC35" i="17"/>
  <c r="CH7" i="17"/>
  <c r="EU6" i="17"/>
  <c r="Q30" i="17"/>
  <c r="AT17" i="17"/>
  <c r="BE36" i="17"/>
  <c r="DC34" i="17"/>
  <c r="FP38" i="17"/>
  <c r="FK32" i="17"/>
  <c r="EG8" i="17"/>
  <c r="FT7" i="17"/>
  <c r="BI11" i="17"/>
  <c r="FF36" i="17"/>
  <c r="BD12" i="17"/>
  <c r="EQ21" i="17"/>
  <c r="AZ15" i="17"/>
  <c r="EG6" i="17"/>
  <c r="BE18" i="17"/>
  <c r="DV8" i="17"/>
  <c r="DW8" i="17" s="1"/>
  <c r="FA15" i="17"/>
  <c r="FB15" i="17" s="1"/>
  <c r="FZ32" i="17"/>
  <c r="EB13" i="17"/>
  <c r="M15" i="17"/>
  <c r="BX26" i="17"/>
  <c r="HS13" i="17"/>
  <c r="CI11" i="17"/>
  <c r="BT29" i="17"/>
  <c r="FZ30" i="17"/>
  <c r="CY23" i="17"/>
  <c r="FA17" i="17"/>
  <c r="FB17" i="17" s="1"/>
  <c r="FF15" i="17"/>
  <c r="EB37" i="17"/>
  <c r="CD16" i="17"/>
  <c r="FA37" i="17"/>
  <c r="DC28" i="17"/>
  <c r="IH29" i="17"/>
  <c r="AZ21" i="17"/>
  <c r="BN12" i="17"/>
  <c r="FK20" i="17"/>
  <c r="FL20" i="17" s="1"/>
  <c r="DR26" i="17"/>
  <c r="IC37" i="17"/>
  <c r="AF22" i="17"/>
  <c r="V12" i="17"/>
  <c r="DW18" i="17"/>
  <c r="GE17" i="17"/>
  <c r="CN16" i="17"/>
  <c r="CI21" i="17"/>
  <c r="AU33" i="17"/>
  <c r="ER36" i="17"/>
  <c r="CH18" i="17"/>
  <c r="CI18" i="17" s="1"/>
  <c r="CS32" i="17"/>
  <c r="HI37" i="17"/>
  <c r="Q22" i="17"/>
  <c r="EG9" i="17"/>
  <c r="EH9" i="17" s="1"/>
  <c r="GJ35" i="17"/>
  <c r="AZ12" i="17"/>
  <c r="HD23" i="17"/>
  <c r="HI6" i="17"/>
  <c r="GO7" i="17"/>
  <c r="GP7" i="17" s="1"/>
  <c r="HS9" i="17"/>
  <c r="DW14" i="17"/>
  <c r="HE27" i="17"/>
  <c r="CO35" i="17"/>
  <c r="EV29" i="17"/>
  <c r="EL34" i="17"/>
  <c r="CO37" i="17"/>
  <c r="EM9" i="17"/>
  <c r="GY21" i="17"/>
  <c r="BZ28" i="17"/>
  <c r="BN37" i="17"/>
  <c r="BO37" i="17" s="1"/>
  <c r="U16" i="17"/>
  <c r="K38" i="17"/>
  <c r="CD5" i="17"/>
  <c r="BD30" i="17"/>
  <c r="AJ13" i="17"/>
  <c r="DR19" i="17"/>
  <c r="FU32" i="17"/>
  <c r="CD37" i="17"/>
  <c r="AF31" i="17"/>
  <c r="BJ24" i="17"/>
  <c r="GJ22" i="17"/>
  <c r="AP15" i="17"/>
  <c r="FB9" i="17"/>
  <c r="DC25" i="17"/>
  <c r="FF23" i="17"/>
  <c r="CD9" i="17"/>
  <c r="FF18" i="17"/>
  <c r="HE17" i="17"/>
  <c r="FG28" i="17"/>
  <c r="V35" i="17"/>
  <c r="GY6" i="17"/>
  <c r="EH23" i="17"/>
  <c r="AB11" i="17"/>
  <c r="DM11" i="17"/>
  <c r="V8" i="17"/>
  <c r="HE23" i="17"/>
  <c r="AK25" i="17"/>
  <c r="AK31" i="17"/>
  <c r="AB20" i="17"/>
  <c r="FA23" i="17"/>
  <c r="DV20" i="17"/>
  <c r="DW20" i="17" s="1"/>
  <c r="AU22" i="17"/>
  <c r="FZ38" i="17"/>
  <c r="DX16" i="17"/>
  <c r="CJ12" i="17"/>
  <c r="CO31" i="17"/>
  <c r="FG34" i="17"/>
  <c r="HY18" i="17"/>
  <c r="GZ17" i="17"/>
  <c r="FA29" i="17"/>
  <c r="DW38" i="17"/>
  <c r="IC29" i="17"/>
  <c r="AA33" i="17"/>
  <c r="EB38" i="17"/>
  <c r="BE6" i="17"/>
  <c r="CO22" i="17"/>
  <c r="FP9" i="17"/>
  <c r="HS27" i="17"/>
  <c r="CT29" i="17"/>
  <c r="AP9" i="17"/>
  <c r="IC10" i="17"/>
  <c r="DC10" i="17"/>
  <c r="EH36" i="17"/>
  <c r="Q9" i="17"/>
  <c r="EH26" i="17"/>
  <c r="HO18" i="17"/>
  <c r="CJ19" i="17"/>
  <c r="AP10" i="17"/>
  <c r="GF34" i="17"/>
  <c r="EM26" i="17"/>
  <c r="FK8" i="17"/>
  <c r="GF21" i="17"/>
  <c r="GF37" i="17"/>
  <c r="DR5" i="17"/>
  <c r="FG19" i="17"/>
  <c r="M18" i="17"/>
  <c r="AA15" i="17"/>
  <c r="HE31" i="17"/>
  <c r="DH38" i="17"/>
  <c r="HJ7" i="17"/>
  <c r="EH8" i="17"/>
  <c r="HD18" i="17"/>
  <c r="GF22" i="17"/>
  <c r="DH6" i="17"/>
  <c r="HE19" i="17"/>
  <c r="CS33" i="17"/>
  <c r="FK27" i="17"/>
  <c r="GZ21" i="17"/>
  <c r="FG14" i="17"/>
  <c r="BZ38" i="17"/>
  <c r="DI14" i="17"/>
  <c r="GO18" i="17"/>
  <c r="FP29" i="17"/>
  <c r="CT37" i="17"/>
  <c r="HI33" i="17"/>
  <c r="EQ23" i="17"/>
  <c r="AB5" i="17"/>
  <c r="CO9" i="17"/>
  <c r="CI26" i="17"/>
  <c r="HE8" i="17"/>
  <c r="II18" i="17"/>
  <c r="FL18" i="17"/>
  <c r="DI38" i="17"/>
  <c r="EG29" i="17"/>
  <c r="FF9" i="17"/>
  <c r="ER28" i="17"/>
  <c r="DW30" i="17"/>
  <c r="HO7" i="17"/>
  <c r="BU29" i="17"/>
  <c r="EM35" i="17"/>
  <c r="DI6" i="17"/>
  <c r="CT24" i="17"/>
  <c r="GP8" i="17"/>
  <c r="BF25" i="17"/>
  <c r="DQ38" i="17"/>
  <c r="DR38" i="17" s="1"/>
  <c r="CR9" i="17"/>
  <c r="CS9" i="17" s="1"/>
  <c r="Q16" i="17"/>
  <c r="GO24" i="17"/>
  <c r="GP24" i="17" s="1"/>
  <c r="K11" i="17"/>
  <c r="L11" i="17" s="1"/>
  <c r="M11" i="17" s="1"/>
  <c r="DW37" i="17"/>
  <c r="DX37" i="17" s="1"/>
  <c r="HN21" i="17"/>
  <c r="AT10" i="17"/>
  <c r="L38" i="17"/>
  <c r="V13" i="17"/>
  <c r="BO18" i="17"/>
  <c r="BY9" i="17"/>
  <c r="IH12" i="17"/>
  <c r="HN26" i="17"/>
  <c r="EK15" i="17"/>
  <c r="Q35" i="17"/>
  <c r="CT15" i="17"/>
  <c r="IH21" i="17"/>
  <c r="II21" i="17" s="1"/>
  <c r="CS16" i="17"/>
  <c r="CX34" i="17"/>
  <c r="CY34" i="17" s="1"/>
  <c r="FP24" i="17"/>
  <c r="CT5" i="17"/>
  <c r="BZ6" i="17"/>
  <c r="HD36" i="17"/>
  <c r="IC23" i="17"/>
  <c r="GP17" i="17"/>
  <c r="AP26" i="17"/>
  <c r="GE28" i="17"/>
  <c r="AP22" i="17"/>
  <c r="M14" i="17"/>
  <c r="FU27" i="17"/>
  <c r="CT35" i="17"/>
  <c r="AA38" i="17"/>
  <c r="FP22" i="17"/>
  <c r="GF19" i="17"/>
  <c r="CY19" i="17"/>
  <c r="CT25" i="17"/>
  <c r="FV37" i="17"/>
  <c r="EM31" i="17"/>
  <c r="HD22" i="17"/>
  <c r="AT19" i="17"/>
  <c r="V21" i="17"/>
  <c r="II6" i="17"/>
  <c r="CO11" i="17"/>
  <c r="EQ31" i="17"/>
  <c r="HN15" i="17"/>
  <c r="HE36" i="17"/>
  <c r="ER27" i="17"/>
  <c r="FL23" i="17"/>
  <c r="EL24" i="17"/>
  <c r="II34" i="17"/>
  <c r="AA26" i="17"/>
  <c r="HJ15" i="17"/>
  <c r="FV22" i="17"/>
  <c r="HI31" i="17"/>
  <c r="FA26" i="17"/>
  <c r="ER17" i="17"/>
  <c r="HJ23" i="17"/>
  <c r="HO27" i="17"/>
  <c r="FA30" i="17"/>
  <c r="CI25" i="17"/>
  <c r="V10" i="17"/>
  <c r="FB37" i="17"/>
  <c r="HX15" i="17"/>
  <c r="FG27" i="17"/>
  <c r="GZ16" i="17"/>
  <c r="GT31" i="17"/>
  <c r="DR31" i="17"/>
  <c r="CY31" i="17"/>
  <c r="ER18" i="17"/>
  <c r="G28" i="17"/>
  <c r="Q38" i="17"/>
  <c r="CY20" i="17"/>
  <c r="EH34" i="17"/>
  <c r="FF13" i="17"/>
  <c r="HY12" i="17"/>
  <c r="AK19" i="17"/>
  <c r="FG20" i="17"/>
  <c r="FL13" i="17"/>
  <c r="DR37" i="17"/>
  <c r="FB6" i="17"/>
  <c r="CT20" i="17"/>
  <c r="ER10" i="17"/>
  <c r="HY29" i="17"/>
  <c r="FV35" i="17"/>
  <c r="BZ35" i="17"/>
  <c r="DX7" i="17"/>
  <c r="FV25" i="17"/>
  <c r="EM19" i="17"/>
  <c r="HE29" i="17"/>
  <c r="DW31" i="17"/>
  <c r="CY14" i="17"/>
  <c r="FG35" i="17"/>
  <c r="GJ29" i="17"/>
  <c r="EH12" i="17"/>
  <c r="HE6" i="17"/>
  <c r="GO20" i="17"/>
  <c r="AU30" i="17"/>
  <c r="FA22" i="17"/>
  <c r="FL6" i="17"/>
  <c r="BZ16" i="17"/>
  <c r="HJ37" i="17"/>
  <c r="GF10" i="17"/>
  <c r="BU15" i="17"/>
  <c r="EB19" i="17"/>
  <c r="EH28" i="17"/>
  <c r="CT36" i="17"/>
  <c r="HO5" i="17"/>
  <c r="HO31" i="17"/>
  <c r="FG13" i="17"/>
  <c r="HO34" i="17"/>
  <c r="BY21" i="17"/>
  <c r="CT32" i="17"/>
  <c r="HO35" i="17"/>
  <c r="ER20" i="17"/>
  <c r="II17" i="17"/>
  <c r="BT26" i="17"/>
  <c r="HO6" i="17"/>
  <c r="GZ11" i="17"/>
  <c r="BF38" i="17"/>
  <c r="FA33" i="17"/>
  <c r="FB33" i="17" s="1"/>
  <c r="EQ16" i="17"/>
  <c r="ER16" i="17" s="1"/>
  <c r="EA24" i="17"/>
  <c r="EB24" i="17" s="1"/>
  <c r="FJ5" i="17"/>
  <c r="AZ5" i="17"/>
  <c r="FZ10" i="17"/>
  <c r="BY15" i="17"/>
  <c r="AZ8" i="17"/>
  <c r="HI19" i="17"/>
  <c r="HJ19" i="17" s="1"/>
  <c r="EG37" i="17"/>
  <c r="AA24" i="17"/>
  <c r="EG21" i="17"/>
  <c r="DX24" i="17"/>
  <c r="IH28" i="17"/>
  <c r="HS12" i="17"/>
  <c r="DR25" i="17"/>
  <c r="BJ11" i="17"/>
  <c r="FB10" i="17"/>
  <c r="BT27" i="17"/>
  <c r="AU6" i="17"/>
  <c r="GY18" i="17"/>
  <c r="ER21" i="17"/>
  <c r="M13" i="17"/>
  <c r="DC22" i="17"/>
  <c r="HS38" i="17"/>
  <c r="BO31" i="17"/>
  <c r="Q36" i="17"/>
  <c r="ER30" i="17"/>
  <c r="CD29" i="17"/>
  <c r="DH28" i="17"/>
  <c r="CY28" i="17"/>
  <c r="DR23" i="17"/>
  <c r="IC19" i="17"/>
  <c r="FG16" i="17"/>
  <c r="HJ29" i="17"/>
  <c r="II20" i="17"/>
  <c r="GY15" i="17"/>
  <c r="GZ15" i="17" s="1"/>
  <c r="FP5" i="17"/>
  <c r="AV35" i="17"/>
  <c r="M16" i="17"/>
  <c r="CS14" i="17"/>
  <c r="FU20" i="17"/>
  <c r="HO9" i="17"/>
  <c r="FK10" i="17"/>
  <c r="FV30" i="17"/>
  <c r="FU29" i="17"/>
  <c r="Q33" i="17"/>
  <c r="CO6" i="17"/>
  <c r="BO26" i="17"/>
  <c r="BZ11" i="17"/>
  <c r="GF35" i="17"/>
  <c r="II33" i="17"/>
  <c r="M38" i="17"/>
  <c r="ER31" i="17"/>
  <c r="FP36" i="17"/>
  <c r="HX23" i="17"/>
  <c r="DX19" i="17"/>
  <c r="DC12" i="17"/>
  <c r="HJ26" i="17"/>
  <c r="DX15" i="17"/>
  <c r="FV12" i="17"/>
  <c r="CX27" i="17"/>
  <c r="II36" i="17"/>
  <c r="AF21" i="17"/>
  <c r="AB16" i="17"/>
  <c r="DM29" i="17"/>
  <c r="BY20" i="17"/>
  <c r="HO28" i="17"/>
  <c r="GE18" i="17"/>
  <c r="II28" i="17"/>
  <c r="FZ27" i="17"/>
  <c r="CT18" i="17"/>
  <c r="FL21" i="17"/>
  <c r="U34" i="17"/>
  <c r="V34" i="17" s="1"/>
  <c r="HM32" i="17"/>
  <c r="EU19" i="17"/>
  <c r="EV19" i="17" s="1"/>
  <c r="FO7" i="17"/>
  <c r="FP7" i="17" s="1"/>
  <c r="BO34" i="17"/>
  <c r="AF23" i="17"/>
  <c r="BO9" i="17"/>
  <c r="BO23" i="17"/>
  <c r="BJ29" i="17"/>
  <c r="CD30" i="17"/>
  <c r="FZ31" i="17"/>
  <c r="HD16" i="17"/>
  <c r="DR9" i="17"/>
  <c r="CI10" i="17"/>
  <c r="AA37" i="17"/>
  <c r="AB37" i="17" s="1"/>
  <c r="DM23" i="17"/>
  <c r="HY10" i="17"/>
  <c r="HI18" i="17"/>
  <c r="HJ18" i="17" s="1"/>
  <c r="AA36" i="17"/>
  <c r="AB36" i="17" s="1"/>
  <c r="DR35" i="17"/>
  <c r="GF38" i="17"/>
  <c r="AV34" i="17"/>
  <c r="BE26" i="17"/>
  <c r="BF26" i="17" s="1"/>
  <c r="II23" i="17"/>
  <c r="GT13" i="17"/>
  <c r="HJ6" i="17"/>
  <c r="GP35" i="17"/>
  <c r="CY21" i="17"/>
  <c r="BO33" i="17"/>
  <c r="AU21" i="17"/>
  <c r="FV11" i="17"/>
  <c r="HD32" i="17"/>
  <c r="HX24" i="17"/>
  <c r="AV27" i="17"/>
  <c r="CJ16" i="17"/>
  <c r="AP31" i="17"/>
  <c r="GP38" i="17"/>
  <c r="CO36" i="17"/>
  <c r="FF17" i="17"/>
  <c r="FA14" i="17"/>
  <c r="EB27" i="17"/>
  <c r="CJ22" i="17"/>
  <c r="CO23" i="17"/>
  <c r="AF33" i="17"/>
  <c r="CJ18" i="17"/>
  <c r="BU13" i="17"/>
  <c r="FL19" i="17"/>
  <c r="BU20" i="17"/>
  <c r="CR22" i="17"/>
  <c r="FU31" i="17"/>
  <c r="FV31" i="17" s="1"/>
  <c r="AZ37" i="17"/>
  <c r="EB33" i="17"/>
  <c r="EH7" i="17"/>
  <c r="AB10" i="17"/>
  <c r="BF22" i="17"/>
  <c r="AB13" i="17"/>
  <c r="HO19" i="17"/>
  <c r="HJ34" i="17"/>
  <c r="BJ28" i="17"/>
  <c r="AP35" i="17"/>
  <c r="CO30" i="17"/>
  <c r="DH21" i="17"/>
  <c r="GP10" i="17"/>
  <c r="HE30" i="17"/>
  <c r="GF7" i="17"/>
  <c r="EH38" i="17"/>
  <c r="GZ22" i="17"/>
  <c r="AU29" i="17"/>
  <c r="DC31" i="17"/>
  <c r="II14" i="17"/>
  <c r="DM5" i="17"/>
  <c r="EM14" i="17"/>
  <c r="FG36" i="17"/>
  <c r="FV34" i="17"/>
  <c r="CJ5" i="17"/>
  <c r="IC12" i="17"/>
  <c r="CS31" i="17"/>
  <c r="G35" i="17"/>
  <c r="BZ12" i="17"/>
  <c r="BZ8" i="17"/>
  <c r="HY21" i="17"/>
  <c r="DH33" i="17"/>
  <c r="DX39" i="17"/>
  <c r="IH38" i="17"/>
  <c r="GT24" i="17"/>
  <c r="Q17" i="17"/>
  <c r="FV32" i="17"/>
  <c r="BU5" i="17"/>
  <c r="CN8" i="17"/>
  <c r="GF17" i="17"/>
  <c r="AE6" i="17"/>
  <c r="BF18" i="17"/>
  <c r="ER38" i="17"/>
  <c r="ER24" i="17"/>
  <c r="FL16" i="17"/>
  <c r="HN25" i="17"/>
  <c r="F37" i="17"/>
  <c r="EU21" i="17"/>
  <c r="EV21" i="17" s="1"/>
  <c r="K7" i="17"/>
  <c r="L7" i="17" s="1"/>
  <c r="EF5" i="17"/>
  <c r="CD12" i="17"/>
  <c r="FP17" i="17"/>
  <c r="AF10" i="17"/>
  <c r="FK17" i="17"/>
  <c r="AP18" i="17"/>
  <c r="DQ8" i="17"/>
  <c r="GE15" i="17"/>
  <c r="GF15" i="17" s="1"/>
  <c r="IH24" i="17"/>
  <c r="II24" i="17" s="1"/>
  <c r="AU28" i="17"/>
  <c r="AV28" i="17" s="1"/>
  <c r="BS14" i="17"/>
  <c r="BT14" i="17" s="1"/>
  <c r="BU14" i="17" s="1"/>
  <c r="GT12" i="17"/>
  <c r="V14" i="17"/>
  <c r="DH17" i="17"/>
  <c r="HE37" i="17"/>
  <c r="BJ15" i="17"/>
  <c r="CD35" i="17"/>
  <c r="GY5" i="17"/>
  <c r="GZ5" i="17" s="1"/>
  <c r="Q8" i="17"/>
  <c r="Q29" i="17"/>
  <c r="FV38" i="17"/>
  <c r="FA27" i="17"/>
  <c r="BO8" i="17"/>
  <c r="AV13" i="17"/>
  <c r="BT17" i="17"/>
  <c r="BU17" i="17" s="1"/>
  <c r="CT21" i="17"/>
  <c r="FG33" i="17"/>
  <c r="AP25" i="17"/>
  <c r="AV6" i="17"/>
  <c r="CY6" i="17"/>
  <c r="BJ31" i="17"/>
  <c r="BZ9" i="17"/>
  <c r="EH37" i="17"/>
  <c r="FL17" i="17"/>
  <c r="L21" i="17"/>
  <c r="II7" i="17"/>
  <c r="II13" i="17"/>
  <c r="GJ15" i="17"/>
  <c r="CS34" i="17"/>
  <c r="CT34" i="17" s="1"/>
  <c r="CD20" i="17"/>
  <c r="EB8" i="17"/>
  <c r="CX24" i="17"/>
  <c r="BZ14" i="17"/>
  <c r="FK29" i="17"/>
  <c r="GZ19" i="17"/>
  <c r="EV34" i="17"/>
  <c r="AU10" i="17"/>
  <c r="DQ10" i="17"/>
  <c r="EG27" i="17"/>
  <c r="CX11" i="17"/>
  <c r="FZ26" i="17"/>
  <c r="CO20" i="17"/>
  <c r="CO26" i="17"/>
  <c r="FG17" i="17"/>
  <c r="CY24" i="17"/>
  <c r="IC25" i="17"/>
  <c r="BZ36" i="17"/>
  <c r="EQ11" i="17"/>
  <c r="CO33" i="17"/>
  <c r="CS26" i="17"/>
  <c r="BF28" i="17"/>
  <c r="AK11" i="17"/>
  <c r="II12" i="17"/>
  <c r="FG18" i="17"/>
  <c r="GO30" i="17"/>
  <c r="EH18" i="17"/>
  <c r="BF33" i="17"/>
  <c r="FV36" i="17"/>
  <c r="HJ20" i="17"/>
  <c r="V29" i="17"/>
  <c r="CJ24" i="17"/>
  <c r="BU12" i="17"/>
  <c r="HJ16" i="17"/>
  <c r="HN32" i="17"/>
  <c r="HO32" i="17" s="1"/>
  <c r="CI9" i="17"/>
  <c r="FV33" i="17"/>
  <c r="HO36" i="17"/>
  <c r="CJ21" i="17"/>
  <c r="HX35" i="17"/>
  <c r="DH23" i="17"/>
  <c r="HJ25" i="17"/>
  <c r="GF14" i="17"/>
  <c r="EV26" i="17"/>
  <c r="L5" i="17"/>
  <c r="IH32" i="17"/>
  <c r="M27" i="17"/>
  <c r="BU38" i="17"/>
  <c r="EM22" i="17"/>
  <c r="M35" i="17"/>
  <c r="EM34" i="17"/>
  <c r="AP14" i="17"/>
  <c r="CR11" i="17"/>
  <c r="CS11" i="17" s="1"/>
  <c r="IH16" i="17"/>
  <c r="II16" i="17" s="1"/>
  <c r="FY18" i="17"/>
  <c r="FZ18" i="17" s="1"/>
  <c r="GO11" i="17"/>
  <c r="CW22" i="17"/>
  <c r="CX22" i="17" s="1"/>
  <c r="CY22" i="17" s="1"/>
  <c r="AF13" i="17"/>
  <c r="FA12" i="17"/>
  <c r="IB17" i="17"/>
  <c r="IC17" i="17" s="1"/>
  <c r="EB23" i="17"/>
  <c r="FY11" i="17"/>
  <c r="DW21" i="17"/>
  <c r="DX21" i="17" s="1"/>
  <c r="GE30" i="17"/>
  <c r="AJ10" i="17"/>
  <c r="HN14" i="17"/>
  <c r="CX18" i="17"/>
  <c r="CY18" i="17" s="1"/>
  <c r="AA28" i="17"/>
  <c r="AB28" i="17" s="1"/>
  <c r="HD15" i="17"/>
  <c r="HE15" i="17" s="1"/>
  <c r="GE23" i="17"/>
  <c r="DC6" i="17"/>
  <c r="FP6" i="17"/>
  <c r="DH5" i="17"/>
  <c r="AF17" i="17"/>
  <c r="GX13" i="17"/>
  <c r="EL38" i="17"/>
  <c r="EM38" i="17" s="1"/>
  <c r="AB35" i="17"/>
  <c r="EV15" i="17"/>
  <c r="Q11" i="17"/>
  <c r="EB10" i="17"/>
  <c r="FA28" i="17"/>
  <c r="HY6" i="17"/>
  <c r="EM16" i="17"/>
  <c r="BZ23" i="17"/>
  <c r="G36" i="17"/>
  <c r="CI30" i="17"/>
  <c r="GT20" i="17"/>
  <c r="GE24" i="17"/>
  <c r="GF24" i="17" s="1"/>
  <c r="HS5" i="17"/>
  <c r="CT6" i="17"/>
  <c r="DX23" i="17"/>
  <c r="FQ7" i="17"/>
  <c r="AV25" i="17"/>
  <c r="FZ25" i="17"/>
  <c r="EV6" i="17"/>
  <c r="HJ38" i="17"/>
  <c r="DM34" i="17"/>
  <c r="CT27" i="17"/>
  <c r="CS22" i="17"/>
  <c r="AZ7" i="17"/>
  <c r="M20" i="17"/>
  <c r="DD20" i="17"/>
  <c r="FU10" i="17"/>
  <c r="CX15" i="17"/>
  <c r="GZ34" i="17"/>
  <c r="AB21" i="17"/>
  <c r="BE19" i="17"/>
  <c r="CO32" i="17"/>
  <c r="HY14" i="17"/>
  <c r="EM30" i="17"/>
  <c r="AZ28" i="17"/>
  <c r="DW22" i="17"/>
  <c r="EB34" i="17"/>
  <c r="DM9" i="17"/>
  <c r="BF23" i="17"/>
  <c r="EH33" i="17"/>
  <c r="DW34" i="17"/>
  <c r="AF24" i="17"/>
  <c r="GP37" i="17"/>
  <c r="FG8" i="17"/>
  <c r="CO13" i="17"/>
  <c r="AB34" i="17"/>
  <c r="BU22" i="17"/>
  <c r="CJ20" i="17"/>
  <c r="AB8" i="17"/>
  <c r="EW30" i="17"/>
  <c r="DD28" i="17"/>
  <c r="FB36" i="17"/>
  <c r="DW25" i="17"/>
  <c r="M30" i="17"/>
  <c r="HO30" i="17"/>
  <c r="FP32" i="17"/>
  <c r="Q13" i="17"/>
  <c r="ER12" i="17"/>
  <c r="BU25" i="17"/>
  <c r="GY37" i="17"/>
  <c r="FV6" i="17"/>
  <c r="GP23" i="17"/>
  <c r="CN21" i="17"/>
  <c r="AU8" i="17"/>
  <c r="GY32" i="17"/>
  <c r="GY28" i="17"/>
  <c r="FG29" i="17"/>
  <c r="GO29" i="17"/>
  <c r="FU17" i="17"/>
  <c r="ER22" i="17"/>
  <c r="BT37" i="17"/>
  <c r="CJ6" i="17"/>
  <c r="EB25" i="17"/>
  <c r="FQ35" i="17"/>
  <c r="GT6" i="17"/>
  <c r="HJ11" i="17"/>
  <c r="DH25" i="17"/>
  <c r="HO13" i="17"/>
  <c r="EM28" i="17"/>
  <c r="BU27" i="17"/>
  <c r="GN16" i="17"/>
  <c r="GO16" i="17" s="1"/>
  <c r="GP16" i="17" s="1"/>
  <c r="FF38" i="17"/>
  <c r="FG38" i="17" s="1"/>
  <c r="AP32" i="17"/>
  <c r="DR33" i="17"/>
  <c r="DG12" i="17"/>
  <c r="DC16" i="17"/>
  <c r="GF31" i="17"/>
  <c r="CJ11" i="17"/>
  <c r="GP6" i="17"/>
  <c r="HO38" i="17"/>
  <c r="M28" i="17"/>
  <c r="AZ27" i="17"/>
  <c r="GE36" i="17"/>
  <c r="GF36" i="17" s="1"/>
  <c r="FV26" i="17"/>
  <c r="Q12" i="17"/>
  <c r="AK8" i="17"/>
  <c r="AP28" i="17"/>
  <c r="FB26" i="17"/>
  <c r="EM7" i="17"/>
  <c r="DX14" i="17"/>
  <c r="FG25" i="17"/>
  <c r="HJ22" i="17"/>
  <c r="IC21" i="17"/>
  <c r="FV9" i="17"/>
  <c r="GJ30" i="17"/>
  <c r="HO26" i="17"/>
  <c r="FQ22" i="17"/>
  <c r="FQ12" i="17"/>
  <c r="CT30" i="17"/>
  <c r="AF29" i="17"/>
  <c r="CY33" i="17"/>
  <c r="HY27" i="17"/>
  <c r="EM10" i="17"/>
  <c r="ER11" i="17"/>
  <c r="CD32" i="17"/>
  <c r="EW23" i="17"/>
  <c r="FG37" i="17"/>
  <c r="HY32" i="17"/>
  <c r="FK30" i="17"/>
  <c r="HO14" i="17"/>
  <c r="HY22" i="17"/>
  <c r="GU20" i="17"/>
  <c r="CT22" i="17"/>
  <c r="BU37" i="17"/>
  <c r="BU24" i="17"/>
  <c r="DD33" i="17"/>
  <c r="GZ10" i="17"/>
  <c r="BF10" i="17"/>
  <c r="DI32" i="17"/>
  <c r="DI28" i="17"/>
  <c r="GU6" i="17"/>
  <c r="GU28" i="17"/>
  <c r="AV29" i="17"/>
  <c r="EQ19" i="17"/>
  <c r="EV22" i="17"/>
  <c r="IC18" i="17"/>
  <c r="GT22" i="17"/>
  <c r="AA12" i="17"/>
  <c r="GY29" i="17"/>
  <c r="CY27" i="17"/>
  <c r="DX18" i="17"/>
  <c r="FP10" i="17"/>
  <c r="AU36" i="17"/>
  <c r="BT30" i="17"/>
  <c r="FV17" i="17"/>
  <c r="M21" i="17"/>
  <c r="HX33" i="17"/>
  <c r="GP29" i="17"/>
  <c r="HY24" i="17"/>
  <c r="GT7" i="17"/>
  <c r="BY31" i="17"/>
  <c r="HE22" i="17"/>
  <c r="DC7" i="17"/>
  <c r="GT5" i="17"/>
  <c r="GZ28" i="17"/>
  <c r="FG39" i="17"/>
  <c r="V18" i="17"/>
  <c r="HD13" i="17"/>
  <c r="P21" i="17"/>
  <c r="Q21" i="17" s="1"/>
  <c r="GT26" i="17"/>
  <c r="GT8" i="17"/>
  <c r="DC8" i="17"/>
  <c r="DD8" i="17" s="1"/>
  <c r="II29" i="17"/>
  <c r="FZ12" i="17"/>
  <c r="BJ18" i="17"/>
  <c r="BJ17" i="17"/>
  <c r="II15" i="17"/>
  <c r="AF36" i="17"/>
  <c r="FQ34" i="17"/>
  <c r="AV22" i="17"/>
  <c r="GJ23" i="17"/>
  <c r="EB28" i="17"/>
  <c r="HN17" i="17"/>
  <c r="FL14" i="17"/>
  <c r="BJ16" i="17"/>
  <c r="G15" i="17"/>
  <c r="AB33" i="17"/>
  <c r="EW32" i="17"/>
  <c r="GZ24" i="17"/>
  <c r="M33" i="17"/>
  <c r="CS13" i="17"/>
  <c r="II26" i="17"/>
  <c r="CD23" i="17"/>
  <c r="V25" i="17"/>
  <c r="AV20" i="17"/>
  <c r="HY20" i="17"/>
  <c r="CJ25" i="17"/>
  <c r="CN24" i="17"/>
  <c r="AP11" i="17"/>
  <c r="EM12" i="17"/>
  <c r="BU21" i="17"/>
  <c r="DC24" i="17"/>
  <c r="DD30" i="17"/>
  <c r="EW20" i="17"/>
  <c r="FL15" i="17"/>
  <c r="EW12" i="17"/>
  <c r="HI8" i="17"/>
  <c r="GF13" i="17"/>
  <c r="AB32" i="17"/>
  <c r="GY8" i="17"/>
  <c r="DX20" i="17"/>
  <c r="EW34" i="17"/>
  <c r="EW19" i="17"/>
  <c r="HY5" i="17"/>
  <c r="HJ10" i="17"/>
  <c r="FQ28" i="17"/>
  <c r="BF31" i="17"/>
  <c r="GU10" i="17"/>
  <c r="GU16" i="17"/>
  <c r="BF19" i="17"/>
  <c r="FV39" i="17"/>
  <c r="AP5" i="17"/>
  <c r="FK33" i="17"/>
  <c r="GO19" i="17"/>
  <c r="BO20" i="17"/>
  <c r="CO21" i="17"/>
  <c r="GO12" i="17"/>
  <c r="CI33" i="17"/>
  <c r="DR10" i="17"/>
  <c r="HY39" i="17"/>
  <c r="GF39" i="17"/>
  <c r="AK34" i="17"/>
  <c r="FA13" i="17"/>
  <c r="M5" i="17"/>
  <c r="BF29" i="17"/>
  <c r="CN17" i="17"/>
  <c r="EW26" i="17"/>
  <c r="DW5" i="17"/>
  <c r="EG32" i="17"/>
  <c r="BY5" i="17"/>
  <c r="L19" i="17"/>
  <c r="M19" i="17" s="1"/>
  <c r="GO28" i="17"/>
  <c r="GP28" i="17" s="1"/>
  <c r="HS28" i="17"/>
  <c r="CN29" i="17"/>
  <c r="CO29" i="17" s="1"/>
  <c r="FF21" i="17"/>
  <c r="FG21" i="17" s="1"/>
  <c r="IC9" i="17"/>
  <c r="FG12" i="17"/>
  <c r="GF27" i="17"/>
  <c r="ER35" i="17"/>
  <c r="EB16" i="17"/>
  <c r="DH24" i="17"/>
  <c r="AV12" i="17"/>
  <c r="BF6" i="17"/>
  <c r="AK7" i="17"/>
  <c r="HE35" i="17"/>
  <c r="BJ30" i="17"/>
  <c r="DD9" i="17"/>
  <c r="HO16" i="17"/>
  <c r="DR24" i="17"/>
  <c r="EH17" i="17"/>
  <c r="AV7" i="17"/>
  <c r="GP11" i="17"/>
  <c r="BU31" i="17"/>
  <c r="II35" i="17"/>
  <c r="HE9" i="17"/>
  <c r="EM20" i="17"/>
  <c r="DD26" i="17"/>
  <c r="CT26" i="17"/>
  <c r="BU9" i="17"/>
  <c r="GF23" i="17"/>
  <c r="BZ25" i="17"/>
  <c r="HJ24" i="17"/>
  <c r="EM11" i="17"/>
  <c r="GF9" i="17"/>
  <c r="II30" i="17"/>
  <c r="GF25" i="17"/>
  <c r="DD24" i="17"/>
  <c r="V24" i="17"/>
  <c r="AV11" i="17"/>
  <c r="DR20" i="17"/>
  <c r="AB17" i="17"/>
  <c r="FG11" i="17"/>
  <c r="BT10" i="17"/>
  <c r="AB24" i="17"/>
  <c r="EW8" i="17"/>
  <c r="DI31" i="17"/>
  <c r="GU12" i="17"/>
  <c r="HY36" i="17"/>
  <c r="HJ14" i="17"/>
  <c r="BF32" i="17"/>
  <c r="BF37" i="17"/>
  <c r="DI15" i="17"/>
  <c r="GU17" i="17"/>
  <c r="GU30" i="17"/>
  <c r="FL10" i="17"/>
  <c r="V7" i="17"/>
  <c r="AF27" i="17"/>
  <c r="L8" i="17"/>
  <c r="AK33" i="17"/>
  <c r="BU26" i="17"/>
  <c r="CY7" i="17"/>
  <c r="FK36" i="17"/>
  <c r="AV10" i="17"/>
  <c r="FP37" i="17"/>
  <c r="BO27" i="17"/>
  <c r="DM19" i="17"/>
  <c r="IH27" i="17"/>
  <c r="EG19" i="17"/>
  <c r="CT13" i="17"/>
  <c r="DW12" i="17"/>
  <c r="HY35" i="17"/>
  <c r="FQ39" i="17"/>
  <c r="BE7" i="17"/>
  <c r="EV37" i="17"/>
  <c r="DI33" i="17"/>
  <c r="HI21" i="17"/>
  <c r="DH8" i="17"/>
  <c r="BY32" i="17"/>
  <c r="DH36" i="17"/>
  <c r="FL29" i="17"/>
  <c r="DH11" i="17"/>
  <c r="GP18" i="17"/>
  <c r="BU39" i="17"/>
  <c r="HI13" i="17"/>
  <c r="G6" i="17"/>
  <c r="GT18" i="17"/>
  <c r="GU18" i="17" s="1"/>
  <c r="AA25" i="17"/>
  <c r="EG11" i="17"/>
  <c r="EH11" i="17" s="1"/>
  <c r="G20" i="17"/>
  <c r="H20" i="17" s="1"/>
  <c r="AA29" i="17"/>
  <c r="AB29" i="17" s="1"/>
  <c r="CX35" i="17"/>
  <c r="CY35" i="17" s="1"/>
  <c r="GJ19" i="17"/>
  <c r="IC7" i="17"/>
  <c r="CY30" i="17"/>
  <c r="FU24" i="17"/>
  <c r="FG15" i="17"/>
  <c r="FU8" i="17"/>
  <c r="BF35" i="17"/>
  <c r="HO22" i="17"/>
  <c r="EG30" i="17"/>
  <c r="L24" i="17"/>
  <c r="GF30" i="17"/>
  <c r="H5" i="17"/>
  <c r="FQ31" i="17"/>
  <c r="M24" i="17"/>
  <c r="BZ29" i="17"/>
  <c r="BU28" i="17"/>
  <c r="DR12" i="17"/>
  <c r="HJ9" i="17"/>
  <c r="BZ15" i="17"/>
  <c r="BY26" i="17"/>
  <c r="CT9" i="17"/>
  <c r="GJ13" i="17"/>
  <c r="HX26" i="17"/>
  <c r="ER8" i="17"/>
  <c r="AB26" i="17"/>
  <c r="EW16" i="17"/>
  <c r="M37" i="17"/>
  <c r="FV18" i="17"/>
  <c r="BF34" i="17"/>
  <c r="GU19" i="17"/>
  <c r="HN29" i="17"/>
  <c r="AB23" i="17"/>
  <c r="GF6" i="17"/>
  <c r="DH30" i="17"/>
  <c r="DI30" i="17" s="1"/>
  <c r="FK34" i="17"/>
  <c r="GF32" i="17"/>
  <c r="ER25" i="17"/>
  <c r="GU36" i="17"/>
  <c r="DC32" i="17"/>
  <c r="CO16" i="17"/>
  <c r="AP23" i="17"/>
  <c r="DD17" i="17"/>
  <c r="CI36" i="17"/>
  <c r="DH7" i="17"/>
  <c r="DI7" i="17" s="1"/>
  <c r="CN5" i="17"/>
  <c r="HY37" i="17"/>
  <c r="HJ12" i="17"/>
  <c r="GZ14" i="17"/>
  <c r="BF13" i="17"/>
  <c r="DI22" i="17"/>
  <c r="GU26" i="17"/>
  <c r="GU8" i="17"/>
  <c r="HE18" i="17"/>
  <c r="CJ30" i="17"/>
  <c r="BJ25" i="17"/>
  <c r="CX25" i="17"/>
  <c r="CX8" i="17"/>
  <c r="EV35" i="17"/>
  <c r="BU10" i="17"/>
  <c r="DX34" i="17"/>
  <c r="CN7" i="17"/>
  <c r="GO33" i="17"/>
  <c r="AU14" i="17"/>
  <c r="AF7" i="17"/>
  <c r="FU15" i="17"/>
  <c r="V6" i="17"/>
  <c r="AP6" i="17"/>
  <c r="BZ21" i="17"/>
  <c r="BZ20" i="17"/>
  <c r="CT16" i="17"/>
  <c r="BZ39" i="17"/>
  <c r="FL30" i="17"/>
  <c r="CJ9" i="17"/>
  <c r="GJ14" i="17"/>
  <c r="HO39" i="17"/>
  <c r="GY36" i="17"/>
  <c r="FB23" i="17"/>
  <c r="FK5" i="17"/>
  <c r="IC34" i="17"/>
  <c r="DX31" i="17"/>
  <c r="CJ34" i="17"/>
  <c r="Q24" i="17"/>
  <c r="BY37" i="17"/>
  <c r="BZ37" i="17" s="1"/>
  <c r="GO9" i="17"/>
  <c r="EL37" i="17"/>
  <c r="EM37" i="17" s="1"/>
  <c r="DB18" i="17"/>
  <c r="GO34" i="17"/>
  <c r="GP34" i="17" s="1"/>
  <c r="FU28" i="17"/>
  <c r="FV28" i="17" s="1"/>
  <c r="HD14" i="17"/>
  <c r="HE20" i="17"/>
  <c r="DD6" i="17"/>
  <c r="FP20" i="17"/>
  <c r="FQ20" i="17" s="1"/>
  <c r="BE24" i="17"/>
  <c r="DM32" i="17"/>
  <c r="GT37" i="17"/>
  <c r="GJ16" i="17"/>
  <c r="ER33" i="17"/>
  <c r="FF30" i="17"/>
  <c r="CY13" i="17"/>
  <c r="AB38" i="17"/>
  <c r="M32" i="17"/>
  <c r="FQ9" i="17"/>
  <c r="AB19" i="17"/>
  <c r="FV21" i="17"/>
  <c r="HE33" i="17"/>
  <c r="HI17" i="17"/>
  <c r="CD27" i="17"/>
  <c r="CT31" i="17"/>
  <c r="CO38" i="17"/>
  <c r="GZ23" i="17"/>
  <c r="AB25" i="17"/>
  <c r="GT33" i="17"/>
  <c r="ER6" i="17"/>
  <c r="IC27" i="17"/>
  <c r="HJ30" i="17"/>
  <c r="HO8" i="17"/>
  <c r="EV38" i="17"/>
  <c r="GF33" i="17"/>
  <c r="GZ25" i="17"/>
  <c r="GU34" i="17"/>
  <c r="FB20" i="17"/>
  <c r="EH27" i="17"/>
  <c r="CY11" i="17"/>
  <c r="HY19" i="17"/>
  <c r="HJ35" i="17"/>
  <c r="DW11" i="17"/>
  <c r="FA18" i="17"/>
  <c r="FB18" i="17" s="1"/>
  <c r="DI29" i="17"/>
  <c r="HO21" i="17"/>
  <c r="BU36" i="17"/>
  <c r="EM21" i="17"/>
  <c r="GP36" i="17"/>
  <c r="GZ9" i="17"/>
  <c r="FA7" i="17"/>
  <c r="FB7" i="17" s="1"/>
  <c r="EB18" i="17"/>
  <c r="HS37" i="17"/>
  <c r="DC19" i="17"/>
  <c r="DD19" i="17" s="1"/>
  <c r="HI27" i="17"/>
  <c r="HJ27" i="17" s="1"/>
  <c r="IH37" i="17"/>
  <c r="Q27" i="17"/>
  <c r="II9" i="17"/>
  <c r="BJ19" i="17"/>
  <c r="CT8" i="17"/>
  <c r="AE5" i="17"/>
  <c r="FB11" i="17"/>
  <c r="HY28" i="17"/>
  <c r="GY27" i="17"/>
  <c r="HJ36" i="17"/>
  <c r="M7" i="17"/>
  <c r="V16" i="17"/>
  <c r="W16" i="17" s="1"/>
  <c r="CJ15" i="17"/>
  <c r="BU11" i="17"/>
  <c r="FA8" i="17"/>
  <c r="CI28" i="17"/>
  <c r="CJ28" i="17" s="1"/>
  <c r="BE14" i="17"/>
  <c r="FF10" i="17"/>
  <c r="GJ6" i="17"/>
  <c r="GY31" i="17"/>
  <c r="GZ31" i="17" s="1"/>
  <c r="GK11" i="17"/>
  <c r="BU6" i="17"/>
  <c r="BO5" i="17"/>
  <c r="HY15" i="17"/>
  <c r="AK35" i="17"/>
  <c r="CS19" i="17"/>
  <c r="AB27" i="17"/>
  <c r="DI21" i="17"/>
  <c r="GJ34" i="17"/>
  <c r="DH37" i="17"/>
  <c r="BZ17" i="17"/>
  <c r="IC11" i="17"/>
  <c r="HJ5" i="17"/>
  <c r="GY30" i="17"/>
  <c r="GZ30" i="17" s="1"/>
  <c r="DC15" i="17"/>
  <c r="DD22" i="17"/>
  <c r="GK9" i="17"/>
  <c r="CI38" i="17"/>
  <c r="CJ38" i="17" s="1"/>
  <c r="EW27" i="17"/>
  <c r="DI27" i="17"/>
  <c r="DI19" i="17"/>
  <c r="AB22" i="17"/>
  <c r="GU29" i="17"/>
  <c r="DD27" i="17"/>
  <c r="GZ26" i="17"/>
  <c r="BF20" i="17"/>
  <c r="GK26" i="17"/>
  <c r="DI23" i="17"/>
  <c r="DI10" i="17"/>
  <c r="GU32" i="17"/>
  <c r="GU13" i="17"/>
  <c r="CO5" i="17"/>
  <c r="HJ39" i="17"/>
  <c r="HS23" i="17"/>
  <c r="DH35" i="17"/>
  <c r="FK31" i="17"/>
  <c r="BE15" i="17"/>
  <c r="HJ17" i="17"/>
  <c r="FB14" i="17"/>
  <c r="CO39" i="17"/>
  <c r="GZ37" i="17"/>
  <c r="GZ12" i="17"/>
  <c r="HY7" i="17"/>
  <c r="AP24" i="17"/>
  <c r="DC11" i="17"/>
  <c r="CI8" i="17"/>
  <c r="CT19" i="17"/>
  <c r="BE5" i="17"/>
  <c r="EW39" i="17"/>
  <c r="II39" i="17"/>
  <c r="CI29" i="17"/>
  <c r="DI25" i="17"/>
  <c r="EM24" i="17"/>
  <c r="FZ11" i="17"/>
  <c r="EQ5" i="17"/>
  <c r="DW33" i="17"/>
  <c r="CT39" i="17"/>
  <c r="BE16" i="17"/>
  <c r="GK34" i="17"/>
  <c r="GP39" i="17"/>
  <c r="DR32" i="17"/>
  <c r="BF14" i="17"/>
  <c r="IH22" i="17"/>
  <c r="FA38" i="17"/>
  <c r="FB38" i="17" s="1"/>
  <c r="FF31" i="17"/>
  <c r="FG31" i="17" s="1"/>
  <c r="FQ14" i="17"/>
  <c r="FL26" i="17"/>
  <c r="FU19" i="17"/>
  <c r="FV19" i="17" s="1"/>
  <c r="DW27" i="17"/>
  <c r="DX27" i="17" s="1"/>
  <c r="BZ27" i="17"/>
  <c r="H21" i="17"/>
  <c r="FK25" i="17"/>
  <c r="DX13" i="17"/>
  <c r="IH31" i="17"/>
  <c r="BF21" i="17"/>
  <c r="BY24" i="17"/>
  <c r="BZ24" i="17" s="1"/>
  <c r="HY9" i="17"/>
  <c r="DI34" i="17"/>
  <c r="GU15" i="17"/>
  <c r="CJ36" i="17"/>
  <c r="HE39" i="17"/>
  <c r="GJ24" i="17"/>
  <c r="GZ32" i="17"/>
  <c r="CJ39" i="17"/>
  <c r="FA32" i="17"/>
  <c r="AB39" i="17"/>
  <c r="FL39" i="17"/>
  <c r="AF6" i="17"/>
  <c r="EM39" i="17"/>
  <c r="CN15" i="17"/>
  <c r="HE32" i="17"/>
  <c r="DI39" i="17"/>
  <c r="GY35" i="17"/>
  <c r="W28" i="17"/>
  <c r="W37" i="17"/>
  <c r="W9" i="17"/>
  <c r="AQ15" i="17"/>
  <c r="AQ9" i="17"/>
  <c r="AQ6" i="17"/>
  <c r="AG25" i="17"/>
  <c r="AG32" i="17"/>
  <c r="AG23" i="17"/>
  <c r="AG12" i="17"/>
  <c r="AG39" i="17"/>
  <c r="GZ39" i="17"/>
  <c r="DI24" i="17"/>
  <c r="AQ37" i="17"/>
  <c r="DM18" i="17"/>
  <c r="EL33" i="17"/>
  <c r="EM33" i="17" s="1"/>
  <c r="GZ20" i="17"/>
  <c r="HX31" i="17"/>
  <c r="HO33" i="17"/>
  <c r="GP9" i="17"/>
  <c r="CY38" i="17"/>
  <c r="DX36" i="17"/>
  <c r="BF17" i="17"/>
  <c r="M29" i="17"/>
  <c r="CT11" i="17"/>
  <c r="AV24" i="17"/>
  <c r="DI17" i="17"/>
  <c r="II32" i="17"/>
  <c r="HX8" i="17"/>
  <c r="BT34" i="17"/>
  <c r="CY39" i="17"/>
  <c r="FQ32" i="17"/>
  <c r="FK12" i="17"/>
  <c r="BT16" i="17"/>
  <c r="FL8" i="17"/>
  <c r="AK26" i="17"/>
  <c r="FK38" i="17"/>
  <c r="FB27" i="17"/>
  <c r="W31" i="17"/>
  <c r="W11" i="17"/>
  <c r="AQ24" i="17"/>
  <c r="AQ18" i="17"/>
  <c r="AQ27" i="17"/>
  <c r="AQ32" i="17"/>
  <c r="AG8" i="17"/>
  <c r="AG21" i="17"/>
  <c r="AG16" i="17"/>
  <c r="AG6" i="17"/>
  <c r="AG34" i="17"/>
  <c r="FP30" i="17"/>
  <c r="GO31" i="17"/>
  <c r="GP31" i="17" s="1"/>
  <c r="AK23" i="17"/>
  <c r="HO20" i="17"/>
  <c r="GU31" i="17"/>
  <c r="GU25" i="17"/>
  <c r="FZ13" i="17"/>
  <c r="HX25" i="17"/>
  <c r="H39" i="17"/>
  <c r="BJ13" i="17"/>
  <c r="AQ7" i="17"/>
  <c r="AG9" i="17"/>
  <c r="W38" i="17"/>
  <c r="AG13" i="17"/>
  <c r="DB5" i="17"/>
  <c r="BY13" i="17"/>
  <c r="G33" i="17"/>
  <c r="H33" i="17" s="1"/>
  <c r="FK22" i="17"/>
  <c r="GJ38" i="17"/>
  <c r="GK38" i="17" s="1"/>
  <c r="EW9" i="17"/>
  <c r="EW21" i="17"/>
  <c r="CD6" i="17"/>
  <c r="HO23" i="17"/>
  <c r="FB12" i="17"/>
  <c r="DD13" i="17"/>
  <c r="GK29" i="17"/>
  <c r="AB14" i="17"/>
  <c r="CO27" i="17"/>
  <c r="CE12" i="17"/>
  <c r="GP14" i="17"/>
  <c r="BF36" i="17"/>
  <c r="DI5" i="17"/>
  <c r="GU35" i="17"/>
  <c r="AV8" i="17"/>
  <c r="BT19" i="17"/>
  <c r="BY30" i="17"/>
  <c r="AK5" i="17"/>
  <c r="H36" i="17"/>
  <c r="GO21" i="17"/>
  <c r="FL34" i="17"/>
  <c r="AQ23" i="17"/>
  <c r="DR6" i="17"/>
  <c r="HN24" i="17"/>
  <c r="EV36" i="17"/>
  <c r="AV33" i="17"/>
  <c r="H35" i="17"/>
  <c r="W25" i="17"/>
  <c r="W10" i="17"/>
  <c r="W23" i="17"/>
  <c r="AQ5" i="17"/>
  <c r="AQ19" i="17"/>
  <c r="AQ22" i="17"/>
  <c r="DS5" i="17"/>
  <c r="DS37" i="17"/>
  <c r="DS31" i="17"/>
  <c r="DS14" i="17"/>
  <c r="AG30" i="17"/>
  <c r="AG19" i="17"/>
  <c r="AG31" i="17"/>
  <c r="M26" i="17"/>
  <c r="BF27" i="17"/>
  <c r="FB30" i="17"/>
  <c r="W8" i="17"/>
  <c r="DS27" i="17"/>
  <c r="AG17" i="17"/>
  <c r="GP30" i="17"/>
  <c r="AQ28" i="17"/>
  <c r="GE12" i="17"/>
  <c r="GF12" i="17" s="1"/>
  <c r="GP26" i="17"/>
  <c r="DM6" i="17"/>
  <c r="HX13" i="17"/>
  <c r="HY13" i="17" s="1"/>
  <c r="FB16" i="17"/>
  <c r="EW6" i="17"/>
  <c r="BU33" i="17"/>
  <c r="DN35" i="17"/>
  <c r="EH20" i="17"/>
  <c r="H32" i="17"/>
  <c r="EW38" i="17"/>
  <c r="DX22" i="17"/>
  <c r="CE35" i="17"/>
  <c r="DD29" i="17"/>
  <c r="DI18" i="17"/>
  <c r="CE13" i="17"/>
  <c r="H28" i="17"/>
  <c r="EV33" i="17"/>
  <c r="CE32" i="17"/>
  <c r="HX11" i="17"/>
  <c r="HY11" i="17" s="1"/>
  <c r="EH39" i="17"/>
  <c r="GU39" i="17"/>
  <c r="AV30" i="17"/>
  <c r="GT9" i="17"/>
  <c r="FP21" i="17"/>
  <c r="CN28" i="17"/>
  <c r="HN10" i="17"/>
  <c r="DX38" i="17"/>
  <c r="W7" i="17"/>
  <c r="W17" i="17"/>
  <c r="W32" i="17"/>
  <c r="AQ38" i="17"/>
  <c r="AQ14" i="17"/>
  <c r="AQ25" i="17"/>
  <c r="DS24" i="17"/>
  <c r="DS33" i="17"/>
  <c r="DS15" i="17"/>
  <c r="DS7" i="17"/>
  <c r="AG36" i="17"/>
  <c r="AG29" i="17"/>
  <c r="AG38" i="17"/>
  <c r="AG37" i="17"/>
  <c r="AG18" i="17"/>
  <c r="AG24" i="17"/>
  <c r="DS39" i="17"/>
  <c r="AV26" i="17"/>
  <c r="GP5" i="17"/>
  <c r="DI9" i="17"/>
  <c r="EW10" i="17"/>
  <c r="CE19" i="17"/>
  <c r="BZ26" i="17"/>
  <c r="GZ27" i="17"/>
  <c r="DX11" i="17"/>
  <c r="AQ20" i="17"/>
  <c r="DS30" i="17"/>
  <c r="AG14" i="17"/>
  <c r="HE38" i="17"/>
  <c r="DS29" i="17"/>
  <c r="AG35" i="17"/>
  <c r="CI17" i="17"/>
  <c r="CJ17" i="17" s="1"/>
  <c r="HX30" i="17"/>
  <c r="HY30" i="17" s="1"/>
  <c r="EH31" i="17"/>
  <c r="FQ5" i="17"/>
  <c r="FZ17" i="17"/>
  <c r="GE5" i="17"/>
  <c r="GF5" i="17" s="1"/>
  <c r="FK37" i="17"/>
  <c r="FL37" i="17" s="1"/>
  <c r="FG7" i="17"/>
  <c r="BU8" i="17"/>
  <c r="FV27" i="17"/>
  <c r="GY33" i="17"/>
  <c r="GZ33" i="17" s="1"/>
  <c r="DI26" i="17"/>
  <c r="GU33" i="17"/>
  <c r="BU23" i="17"/>
  <c r="GU37" i="17"/>
  <c r="GZ18" i="17"/>
  <c r="DI13" i="17"/>
  <c r="CE38" i="17"/>
  <c r="DW35" i="17"/>
  <c r="HO25" i="17"/>
  <c r="AK21" i="17"/>
  <c r="DX8" i="17"/>
  <c r="FB39" i="17"/>
  <c r="W29" i="17"/>
  <c r="FL27" i="17"/>
  <c r="BJ6" i="17"/>
  <c r="FG23" i="17"/>
  <c r="G38" i="17"/>
  <c r="GT23" i="17"/>
  <c r="G30" i="17"/>
  <c r="AK13" i="17"/>
  <c r="W15" i="17"/>
  <c r="W19" i="17"/>
  <c r="W35" i="17"/>
  <c r="AQ31" i="17"/>
  <c r="AQ12" i="17"/>
  <c r="AQ8" i="17"/>
  <c r="DS23" i="17"/>
  <c r="DS9" i="17"/>
  <c r="DS38" i="17"/>
  <c r="DS25" i="17"/>
  <c r="BK34" i="17"/>
  <c r="BK23" i="17"/>
  <c r="AG7" i="17"/>
  <c r="AG28" i="17"/>
  <c r="AG11" i="17"/>
  <c r="AG26" i="17"/>
  <c r="EV18" i="17"/>
  <c r="EW18" i="17" s="1"/>
  <c r="V26" i="17"/>
  <c r="W26" i="17" s="1"/>
  <c r="AU37" i="17"/>
  <c r="AV37" i="17" s="1"/>
  <c r="GZ6" i="17"/>
  <c r="FZ6" i="17"/>
  <c r="M39" i="17"/>
  <c r="EG16" i="17"/>
  <c r="AU38" i="17"/>
  <c r="GA23" i="17"/>
  <c r="W12" i="17"/>
  <c r="AQ30" i="17"/>
  <c r="DS12" i="17"/>
  <c r="BK28" i="17"/>
  <c r="AG27" i="17"/>
  <c r="AQ39" i="17"/>
  <c r="GP20" i="17"/>
  <c r="DS36" i="17"/>
  <c r="AG15" i="17"/>
  <c r="HS20" i="17"/>
  <c r="AZ6" i="17"/>
  <c r="EH21" i="17"/>
  <c r="V22" i="17"/>
  <c r="FL32" i="17"/>
  <c r="EV7" i="17"/>
  <c r="FV10" i="17"/>
  <c r="BU32" i="17"/>
  <c r="ER26" i="17"/>
  <c r="AU5" i="17"/>
  <c r="CY26" i="17"/>
  <c r="HJ28" i="17"/>
  <c r="DI37" i="17"/>
  <c r="FL24" i="17"/>
  <c r="GK17" i="17"/>
  <c r="GU24" i="17"/>
  <c r="CE37" i="17"/>
  <c r="FU5" i="17"/>
  <c r="FK11" i="17"/>
  <c r="BF39" i="17"/>
  <c r="AK6" i="17"/>
  <c r="BT35" i="17"/>
  <c r="FB29" i="17"/>
  <c r="FL22" i="17"/>
  <c r="DX30" i="17"/>
  <c r="G14" i="17"/>
  <c r="DD39" i="17"/>
  <c r="AL35" i="17"/>
  <c r="DW28" i="17"/>
  <c r="GJ25" i="17"/>
  <c r="GA37" i="17"/>
  <c r="GA32" i="17"/>
  <c r="AL5" i="17"/>
  <c r="AL23" i="17"/>
  <c r="AL12" i="17"/>
  <c r="W14" i="17"/>
  <c r="W33" i="17"/>
  <c r="W6" i="17"/>
  <c r="AQ33" i="17"/>
  <c r="AQ21" i="17"/>
  <c r="AQ26" i="17"/>
  <c r="DS20" i="17"/>
  <c r="DS28" i="17"/>
  <c r="DS17" i="17"/>
  <c r="BK22" i="17"/>
  <c r="BK17" i="17"/>
  <c r="BK15" i="17"/>
  <c r="BK11" i="17"/>
  <c r="AG33" i="17"/>
  <c r="AG20" i="17"/>
  <c r="AG22" i="17"/>
  <c r="AG10" i="17"/>
  <c r="W39" i="17"/>
  <c r="EL36" i="17"/>
  <c r="EM36" i="17" s="1"/>
  <c r="CJ10" i="17"/>
  <c r="CY12" i="17"/>
  <c r="FF24" i="17"/>
  <c r="FG24" i="17" s="1"/>
  <c r="DM25" i="17"/>
  <c r="DN25" i="17" s="1"/>
  <c r="DD21" i="17"/>
  <c r="G27" i="17"/>
  <c r="H27" i="17" s="1"/>
  <c r="GJ20" i="17"/>
  <c r="GK20" i="17" s="1"/>
  <c r="HD21" i="17"/>
  <c r="HE21" i="17" s="1"/>
  <c r="DD16" i="17"/>
  <c r="HE25" i="17"/>
  <c r="GU14" i="17"/>
  <c r="BZ10" i="17"/>
  <c r="CT28" i="17"/>
  <c r="EW29" i="17"/>
  <c r="BA20" i="17"/>
  <c r="GK15" i="17"/>
  <c r="GU27" i="17"/>
  <c r="CE14" i="17"/>
  <c r="HN37" i="17"/>
  <c r="FK7" i="17"/>
  <c r="GK23" i="17"/>
  <c r="HY26" i="17"/>
  <c r="ER39" i="17"/>
  <c r="IC31" i="17"/>
  <c r="HE16" i="17"/>
  <c r="GJ8" i="17"/>
  <c r="II31" i="17"/>
  <c r="GA8" i="17"/>
  <c r="GA29" i="17"/>
  <c r="W22" i="17"/>
  <c r="AQ13" i="17"/>
  <c r="DS6" i="17"/>
  <c r="BK38" i="17"/>
  <c r="BZ22" i="17"/>
  <c r="HO12" i="17"/>
  <c r="DX6" i="17"/>
  <c r="CY5" i="17"/>
  <c r="CY16" i="17"/>
  <c r="CY29" i="17"/>
  <c r="CY32" i="17"/>
  <c r="CY10" i="17"/>
  <c r="CY37" i="17"/>
  <c r="EH10" i="17"/>
  <c r="EH6" i="17"/>
  <c r="EH13" i="17"/>
  <c r="EH24" i="17"/>
  <c r="EH14" i="17"/>
  <c r="HJ32" i="17"/>
  <c r="GZ7" i="17"/>
  <c r="AV39" i="17"/>
  <c r="AV23" i="17"/>
  <c r="AV15" i="17"/>
  <c r="AV18" i="17"/>
  <c r="AV16" i="17"/>
  <c r="DD31" i="17"/>
  <c r="DD36" i="17"/>
  <c r="DD35" i="17"/>
  <c r="DD37" i="17"/>
  <c r="DD23" i="17"/>
  <c r="DD10" i="17"/>
  <c r="DD34" i="17"/>
  <c r="DD38" i="17"/>
  <c r="DD25" i="17"/>
  <c r="DD14" i="17"/>
  <c r="FQ25" i="17"/>
  <c r="FQ17" i="17"/>
  <c r="FQ24" i="17"/>
  <c r="FQ36" i="17"/>
  <c r="FQ33" i="17"/>
  <c r="FQ19" i="17"/>
  <c r="FQ26" i="17"/>
  <c r="FQ11" i="17"/>
  <c r="FQ16" i="17"/>
  <c r="FQ38" i="17"/>
  <c r="FQ18" i="17"/>
  <c r="FQ8" i="17"/>
  <c r="FQ6" i="17"/>
  <c r="FQ13" i="17"/>
  <c r="FQ23" i="17"/>
  <c r="EW15" i="17"/>
  <c r="EW13" i="17"/>
  <c r="EW28" i="17"/>
  <c r="EW17" i="17"/>
  <c r="EW24" i="17"/>
  <c r="EW31" i="17"/>
  <c r="EW14" i="17"/>
  <c r="EW11" i="17"/>
  <c r="EW5" i="17"/>
  <c r="GU38" i="17"/>
  <c r="GU21" i="17"/>
  <c r="H22" i="17"/>
  <c r="H31" i="17"/>
  <c r="H13" i="17"/>
  <c r="H16" i="17"/>
  <c r="H26" i="17"/>
  <c r="H17" i="17"/>
  <c r="H34" i="17"/>
  <c r="H18" i="17"/>
  <c r="H12" i="17"/>
  <c r="H7" i="17"/>
  <c r="H25" i="17"/>
  <c r="H11" i="17"/>
  <c r="H24" i="17"/>
  <c r="H9" i="17"/>
  <c r="H6" i="17"/>
  <c r="H10" i="17"/>
  <c r="H23" i="17"/>
  <c r="H8" i="17"/>
  <c r="W34" i="17"/>
  <c r="W30" i="17"/>
  <c r="W36" i="17"/>
  <c r="W24" i="17"/>
  <c r="W13" i="17"/>
  <c r="W21" i="17"/>
  <c r="W20" i="17"/>
  <c r="AQ36" i="17"/>
  <c r="AQ35" i="17"/>
  <c r="AQ29" i="17"/>
  <c r="AQ16" i="17"/>
  <c r="AQ11" i="17"/>
  <c r="AQ17" i="17"/>
  <c r="AQ10" i="17"/>
  <c r="GK16" i="17"/>
  <c r="GK32" i="17"/>
  <c r="GK10" i="17"/>
  <c r="GK33" i="17"/>
  <c r="GK13" i="17"/>
  <c r="GK19" i="17"/>
  <c r="GK22" i="17"/>
  <c r="GK28" i="17"/>
  <c r="GK39" i="17"/>
  <c r="GK35" i="17"/>
  <c r="GK18" i="17"/>
  <c r="GK7" i="17"/>
  <c r="GK30" i="17"/>
  <c r="GK21" i="17"/>
  <c r="GK6" i="17"/>
  <c r="GK5" i="17"/>
  <c r="GK31" i="17"/>
  <c r="GK12" i="17"/>
  <c r="GK27" i="17"/>
  <c r="CE21" i="17"/>
  <c r="CE5" i="17"/>
  <c r="CE27" i="17"/>
  <c r="CE7" i="17"/>
  <c r="CE24" i="17"/>
  <c r="CE10" i="17"/>
  <c r="CE34" i="17"/>
  <c r="CE33" i="17"/>
  <c r="CE36" i="17"/>
  <c r="CE16" i="17"/>
  <c r="CE6" i="17"/>
  <c r="CE28" i="17"/>
  <c r="CE9" i="17"/>
  <c r="CE39" i="17"/>
  <c r="CE26" i="17"/>
  <c r="CE22" i="17"/>
  <c r="CE17" i="17"/>
  <c r="CE25" i="17"/>
  <c r="CE30" i="17"/>
  <c r="CE15" i="17"/>
  <c r="CE29" i="17"/>
  <c r="CE23" i="17"/>
  <c r="CE8" i="17"/>
  <c r="CE31" i="17"/>
  <c r="CE20" i="17"/>
  <c r="CE18" i="17"/>
  <c r="CE11" i="17"/>
  <c r="DS21" i="17"/>
  <c r="DS16" i="17"/>
  <c r="DS22" i="17"/>
  <c r="DS19" i="17"/>
  <c r="DS11" i="17"/>
  <c r="DS26" i="17"/>
  <c r="DS18" i="17"/>
  <c r="DS34" i="17"/>
  <c r="DS35" i="17"/>
  <c r="DS13" i="17"/>
  <c r="DS10" i="17"/>
  <c r="DN28" i="17"/>
  <c r="DN26" i="17"/>
  <c r="DN29" i="17"/>
  <c r="DN18" i="17"/>
  <c r="DN36" i="17"/>
  <c r="DN5" i="17"/>
  <c r="DN21" i="17"/>
  <c r="DN16" i="17"/>
  <c r="DN11" i="17"/>
  <c r="DN32" i="17"/>
  <c r="DN39" i="17"/>
  <c r="DN7" i="17"/>
  <c r="DN33" i="17"/>
  <c r="DN23" i="17"/>
  <c r="DN13" i="17"/>
  <c r="DN8" i="17"/>
  <c r="DN20" i="17"/>
  <c r="DN9" i="17"/>
  <c r="DN34" i="17"/>
  <c r="DN31" i="17"/>
  <c r="DN37" i="17"/>
  <c r="DN6" i="17"/>
  <c r="DN24" i="17"/>
  <c r="DN30" i="17"/>
  <c r="DN15" i="17"/>
  <c r="DN10" i="17"/>
  <c r="DN38" i="17"/>
  <c r="DN12" i="17"/>
  <c r="DN27" i="17"/>
  <c r="DN22" i="17"/>
  <c r="DN17" i="17"/>
  <c r="BK36" i="17"/>
  <c r="BK35" i="17"/>
  <c r="BK31" i="17"/>
  <c r="BK39" i="17"/>
  <c r="BK8" i="17"/>
  <c r="BK29" i="17"/>
  <c r="BK26" i="17"/>
  <c r="BK24" i="17"/>
  <c r="BK10" i="17"/>
  <c r="BK32" i="17"/>
  <c r="BK7" i="17"/>
  <c r="BK30" i="17"/>
  <c r="BK14" i="17"/>
  <c r="BK25" i="17"/>
  <c r="BK27" i="17"/>
  <c r="BK12" i="17"/>
  <c r="BK18" i="17"/>
  <c r="BK20" i="17"/>
  <c r="BK16" i="17"/>
  <c r="BK5" i="17"/>
  <c r="BK33" i="17"/>
  <c r="BK6" i="17"/>
  <c r="BK21" i="17"/>
  <c r="BK19" i="17"/>
  <c r="BK37" i="17"/>
  <c r="GA30" i="17"/>
  <c r="GA7" i="17"/>
  <c r="GA22" i="17"/>
  <c r="GA17" i="17"/>
  <c r="GA36" i="17"/>
  <c r="GA31" i="17"/>
  <c r="GA25" i="17"/>
  <c r="GA15" i="17"/>
  <c r="GA35" i="17"/>
  <c r="GA19" i="17"/>
  <c r="GA5" i="17"/>
  <c r="GA39" i="17"/>
  <c r="GA6" i="17"/>
  <c r="GA21" i="17"/>
  <c r="GA38" i="17"/>
  <c r="GA10" i="17"/>
  <c r="GA18" i="17"/>
  <c r="GA26" i="17"/>
  <c r="GA9" i="17"/>
  <c r="GA33" i="17"/>
  <c r="GA28" i="17"/>
  <c r="GA14" i="17"/>
  <c r="GA27" i="17"/>
  <c r="GA12" i="17"/>
  <c r="GA16" i="17"/>
  <c r="GA34" i="17"/>
  <c r="GA20" i="17"/>
  <c r="BA9" i="17"/>
  <c r="BA36" i="17"/>
  <c r="BA27" i="17"/>
  <c r="BA25" i="17"/>
  <c r="BA18" i="17"/>
  <c r="BA11" i="17"/>
  <c r="BA21" i="17"/>
  <c r="BA28" i="17"/>
  <c r="BA17" i="17"/>
  <c r="BA6" i="17"/>
  <c r="BA33" i="17"/>
  <c r="BA37" i="17"/>
  <c r="BA22" i="17"/>
  <c r="BA30" i="17"/>
  <c r="BA39" i="17"/>
  <c r="BA29" i="17"/>
  <c r="BA8" i="17"/>
  <c r="BA10" i="17"/>
  <c r="BA19" i="17"/>
  <c r="BA31" i="17"/>
  <c r="BA14" i="17"/>
  <c r="BA7" i="17"/>
  <c r="BA32" i="17"/>
  <c r="BA23" i="17"/>
  <c r="BA24" i="17"/>
  <c r="BA38" i="17"/>
  <c r="BA35" i="17"/>
  <c r="BA5" i="17"/>
  <c r="BA34" i="17"/>
  <c r="BA16" i="17"/>
  <c r="BA15" i="17"/>
  <c r="BA12" i="17"/>
  <c r="AL22" i="17"/>
  <c r="AL6" i="17"/>
  <c r="AL25" i="17"/>
  <c r="AL21" i="17"/>
  <c r="AL19" i="17"/>
  <c r="AL36" i="17"/>
  <c r="AL39" i="17"/>
  <c r="AL16" i="17"/>
  <c r="AL24" i="17"/>
  <c r="AL38" i="17"/>
  <c r="AL7" i="17"/>
  <c r="AL14" i="17"/>
  <c r="AL20" i="17"/>
  <c r="AL8" i="17"/>
  <c r="AL15" i="17"/>
  <c r="AL37" i="17"/>
  <c r="AL11" i="17"/>
  <c r="AL33" i="17"/>
  <c r="AL30" i="17"/>
  <c r="AL28" i="17"/>
  <c r="AL17" i="17"/>
  <c r="AL31" i="17"/>
  <c r="AL9" i="17"/>
  <c r="AL18" i="17"/>
  <c r="AL29" i="17"/>
  <c r="GK8" i="17"/>
  <c r="AL40" i="17"/>
  <c r="GA40" i="17"/>
  <c r="CO28" i="17"/>
  <c r="GP21" i="17"/>
  <c r="GA13" i="17"/>
  <c r="HY31" i="17"/>
  <c r="DS32" i="17"/>
  <c r="DD11" i="17"/>
  <c r="GK40" i="17"/>
  <c r="HE14" i="17"/>
  <c r="FV15" i="17"/>
  <c r="HO29" i="17"/>
  <c r="BZ32" i="17"/>
  <c r="DN19" i="17"/>
  <c r="CO17" i="17"/>
  <c r="GZ8" i="17"/>
  <c r="DD7" i="17"/>
  <c r="AB12" i="17"/>
  <c r="DX25" i="17"/>
  <c r="GF18" i="17"/>
  <c r="FG9" i="17"/>
  <c r="AB15" i="17"/>
  <c r="EH40" i="17"/>
  <c r="IH5" i="17"/>
  <c r="FL40" i="17"/>
  <c r="EB17" i="17"/>
  <c r="Q7" i="17"/>
  <c r="BE9" i="17"/>
  <c r="BF9" i="17" s="1"/>
  <c r="CX17" i="17"/>
  <c r="CY17" i="17" s="1"/>
  <c r="CI14" i="17"/>
  <c r="CJ14" i="17" s="1"/>
  <c r="HO40" i="17"/>
  <c r="HX17" i="17"/>
  <c r="HY17" i="17" s="1"/>
  <c r="CJ40" i="17"/>
  <c r="GO25" i="17"/>
  <c r="GP25" i="17" s="1"/>
  <c r="DW10" i="17"/>
  <c r="DX10" i="17" s="1"/>
  <c r="CS17" i="17"/>
  <c r="CT17" i="17" s="1"/>
  <c r="Q19" i="17"/>
  <c r="DW9" i="17"/>
  <c r="DX9" i="17" s="1"/>
  <c r="HX38" i="17"/>
  <c r="HY38" i="17" s="1"/>
  <c r="CT38" i="17"/>
  <c r="EV25" i="17"/>
  <c r="EW25" i="17" s="1"/>
  <c r="FL11" i="17"/>
  <c r="AL13" i="17"/>
  <c r="FQ21" i="17"/>
  <c r="BZ30" i="17"/>
  <c r="FQ30" i="17"/>
  <c r="GZ35" i="17"/>
  <c r="BF16" i="17"/>
  <c r="BF15" i="17"/>
  <c r="FG10" i="17"/>
  <c r="DC18" i="17"/>
  <c r="DD18" i="17" s="1"/>
  <c r="AV14" i="17"/>
  <c r="EH30" i="17"/>
  <c r="DI8" i="17"/>
  <c r="FB13" i="17"/>
  <c r="HJ8" i="17"/>
  <c r="BZ31" i="17"/>
  <c r="GU22" i="17"/>
  <c r="CY15" i="17"/>
  <c r="DR8" i="17"/>
  <c r="DS8" i="17" s="1"/>
  <c r="DD12" i="17"/>
  <c r="FB22" i="17"/>
  <c r="EH29" i="17"/>
  <c r="BE12" i="17"/>
  <c r="BF12" i="17" s="1"/>
  <c r="CO10" i="17"/>
  <c r="BE11" i="17"/>
  <c r="BF11" i="17" s="1"/>
  <c r="BU40" i="17"/>
  <c r="CT40" i="17"/>
  <c r="FA34" i="17"/>
  <c r="FB34" i="17" s="1"/>
  <c r="BY18" i="17"/>
  <c r="BZ18" i="17" s="1"/>
  <c r="BY34" i="17"/>
  <c r="BZ34" i="17" s="1"/>
  <c r="BO6" i="17"/>
  <c r="HS26" i="17"/>
  <c r="AP34" i="17"/>
  <c r="AQ34" i="17" s="1"/>
  <c r="EL32" i="17"/>
  <c r="EM32" i="17" s="1"/>
  <c r="AU32" i="17"/>
  <c r="AV32" i="17" s="1"/>
  <c r="FA25" i="17"/>
  <c r="FB25" i="17" s="1"/>
  <c r="CI31" i="17"/>
  <c r="CJ31" i="17" s="1"/>
  <c r="AB18" i="17"/>
  <c r="AU31" i="17"/>
  <c r="AV31" i="17" s="1"/>
  <c r="FL7" i="17"/>
  <c r="FV5" i="17"/>
  <c r="H30" i="17"/>
  <c r="GU9" i="17"/>
  <c r="BU19" i="17"/>
  <c r="FL38" i="17"/>
  <c r="CO15" i="17"/>
  <c r="DX33" i="17"/>
  <c r="FL31" i="17"/>
  <c r="FB8" i="17"/>
  <c r="GP33" i="17"/>
  <c r="FV8" i="17"/>
  <c r="HJ21" i="17"/>
  <c r="FQ37" i="17"/>
  <c r="AL34" i="17"/>
  <c r="CO24" i="17"/>
  <c r="GU7" i="17"/>
  <c r="EW40" i="17"/>
  <c r="EG5" i="17"/>
  <c r="EH5" i="17" s="1"/>
  <c r="HY23" i="17"/>
  <c r="CJ26" i="17"/>
  <c r="FU7" i="17"/>
  <c r="FV7" i="17" s="1"/>
  <c r="HY40" i="17"/>
  <c r="GO15" i="17"/>
  <c r="GP15" i="17" s="1"/>
  <c r="Q18" i="17"/>
  <c r="AZ13" i="17"/>
  <c r="BA13" i="17" s="1"/>
  <c r="DW17" i="17"/>
  <c r="DX17" i="17" s="1"/>
  <c r="BJ9" i="17"/>
  <c r="BK9" i="17" s="1"/>
  <c r="GJ37" i="17"/>
  <c r="GK37" i="17" s="1"/>
  <c r="HE40" i="17"/>
  <c r="AZ26" i="17"/>
  <c r="BA26" i="17" s="1"/>
  <c r="FG40" i="17"/>
  <c r="BT7" i="17"/>
  <c r="BU7" i="17" s="1"/>
  <c r="V27" i="17"/>
  <c r="W27" i="17" s="1"/>
  <c r="GO22" i="17"/>
  <c r="GP22" i="17" s="1"/>
  <c r="FF32" i="17"/>
  <c r="FG32" i="17" s="1"/>
  <c r="L31" i="17"/>
  <c r="M31" i="17" s="1"/>
  <c r="IH8" i="17"/>
  <c r="II8" i="17" s="1"/>
  <c r="HO37" i="17"/>
  <c r="AV5" i="17"/>
  <c r="GU23" i="17"/>
  <c r="EW33" i="17"/>
  <c r="CE40" i="17"/>
  <c r="AL26" i="17"/>
  <c r="AG40" i="17"/>
  <c r="ER5" i="17"/>
  <c r="DI35" i="17"/>
  <c r="AF5" i="17"/>
  <c r="AG5" i="17" s="1"/>
  <c r="FL5" i="17"/>
  <c r="CO7" i="17"/>
  <c r="FV24" i="17"/>
  <c r="EW37" i="17"/>
  <c r="FL36" i="17"/>
  <c r="CJ33" i="17"/>
  <c r="H15" i="17"/>
  <c r="HY33" i="17"/>
  <c r="EW22" i="17"/>
  <c r="FB28" i="17"/>
  <c r="G37" i="17"/>
  <c r="H37" i="17" s="1"/>
  <c r="BP26" i="17"/>
  <c r="HJ31" i="17"/>
  <c r="ER23" i="17"/>
  <c r="BF40" i="17"/>
  <c r="AU17" i="17"/>
  <c r="AV17" i="17" s="1"/>
  <c r="CY40" i="17"/>
  <c r="FK9" i="17"/>
  <c r="FL9" i="17" s="1"/>
  <c r="AU9" i="17"/>
  <c r="AV9" i="17" s="1"/>
  <c r="AB40" i="17"/>
  <c r="GK25" i="17"/>
  <c r="EW7" i="17"/>
  <c r="H38" i="17"/>
  <c r="DN40" i="17"/>
  <c r="BZ13" i="17"/>
  <c r="BU16" i="17"/>
  <c r="FB32" i="17"/>
  <c r="GA11" i="17"/>
  <c r="II37" i="17"/>
  <c r="GZ36" i="17"/>
  <c r="EW35" i="17"/>
  <c r="H40" i="17"/>
  <c r="BF7" i="17"/>
  <c r="M8" i="17"/>
  <c r="GP12" i="17"/>
  <c r="HO17" i="17"/>
  <c r="BU30" i="17"/>
  <c r="ER19" i="17"/>
  <c r="GY13" i="17"/>
  <c r="GZ13" i="17" s="1"/>
  <c r="CO8" i="17"/>
  <c r="FV29" i="17"/>
  <c r="HO15" i="17"/>
  <c r="HJ33" i="17"/>
  <c r="GZ40" i="17"/>
  <c r="CI7" i="17"/>
  <c r="CJ7" i="17" s="1"/>
  <c r="GT11" i="17"/>
  <c r="GU11" i="17" s="1"/>
  <c r="ER7" i="17"/>
  <c r="ER14" i="17"/>
  <c r="FP15" i="17"/>
  <c r="FQ15" i="17" s="1"/>
  <c r="Q6" i="17"/>
  <c r="GE8" i="17"/>
  <c r="GF8" i="17" s="1"/>
  <c r="FP27" i="17"/>
  <c r="FQ27" i="17" s="1"/>
  <c r="BZ40" i="17"/>
  <c r="CX36" i="17"/>
  <c r="CY36" i="17" s="1"/>
  <c r="FU16" i="17"/>
  <c r="FV16" i="17" s="1"/>
  <c r="EL13" i="17"/>
  <c r="EM13" i="17" s="1"/>
  <c r="GJ36" i="17"/>
  <c r="GK36" i="17" s="1"/>
  <c r="AK27" i="17"/>
  <c r="AL27" i="17" s="1"/>
  <c r="BE8" i="17"/>
  <c r="BF8" i="17" s="1"/>
  <c r="FU13" i="17"/>
  <c r="FV13" i="17" s="1"/>
  <c r="EG22" i="17"/>
  <c r="EH22" i="17" s="1"/>
  <c r="L12" i="17"/>
  <c r="M12" i="17" s="1"/>
  <c r="DX28" i="17"/>
  <c r="BA40" i="17"/>
  <c r="BK40" i="17"/>
  <c r="EW36" i="17"/>
  <c r="DC5" i="17"/>
  <c r="DD5" i="17" s="1"/>
  <c r="FL12" i="17"/>
  <c r="GK24" i="17"/>
  <c r="CJ29" i="17"/>
  <c r="DD15" i="17"/>
  <c r="GK14" i="17"/>
  <c r="CY8" i="17"/>
  <c r="HJ13" i="17"/>
  <c r="DX12" i="17"/>
  <c r="BZ5" i="17"/>
  <c r="BP20" i="17"/>
  <c r="HE13" i="17"/>
  <c r="AV36" i="17"/>
  <c r="DH12" i="17"/>
  <c r="DI12" i="17" s="1"/>
  <c r="FQ40" i="17"/>
  <c r="II38" i="17"/>
  <c r="FV20" i="17"/>
  <c r="AU19" i="17"/>
  <c r="AV19" i="17" s="1"/>
  <c r="FQ29" i="17"/>
  <c r="BE30" i="17"/>
  <c r="BF30" i="17" s="1"/>
  <c r="IC6" i="17"/>
  <c r="L10" i="17"/>
  <c r="M10" i="17" s="1"/>
  <c r="FK28" i="17"/>
  <c r="FL28" i="17" s="1"/>
  <c r="CT12" i="17"/>
  <c r="BP16" i="17"/>
  <c r="M40" i="17"/>
  <c r="AK32" i="17"/>
  <c r="AL32" i="17" s="1"/>
  <c r="CX9" i="17"/>
  <c r="CY9" i="17" s="1"/>
  <c r="CI27" i="17"/>
  <c r="CJ27" i="17" s="1"/>
  <c r="HD5" i="17"/>
  <c r="HE5" i="17" s="1"/>
  <c r="CO40" i="17"/>
  <c r="HS6" i="17"/>
  <c r="GF40" i="17"/>
  <c r="EM40" i="17"/>
  <c r="HX34" i="17"/>
  <c r="HY34" i="17" s="1"/>
  <c r="G29" i="17"/>
  <c r="H29" i="17" s="1"/>
  <c r="IC13" i="17"/>
  <c r="ID13" i="17" s="1"/>
  <c r="FV40" i="17"/>
  <c r="H14" i="17"/>
  <c r="AV38" i="17"/>
  <c r="DX35" i="17"/>
  <c r="HO24" i="17"/>
  <c r="BK13" i="17"/>
  <c r="BU34" i="17"/>
  <c r="FL25" i="17"/>
  <c r="BF5" i="17"/>
  <c r="ID11" i="17"/>
  <c r="FG30" i="17"/>
  <c r="AQ40" i="17"/>
  <c r="CY25" i="17"/>
  <c r="DI11" i="17"/>
  <c r="EH19" i="17"/>
  <c r="EH32" i="17"/>
  <c r="GP19" i="17"/>
  <c r="W18" i="17"/>
  <c r="FQ10" i="17"/>
  <c r="GU40" i="17"/>
  <c r="DD40" i="17"/>
  <c r="AV21" i="17"/>
  <c r="CT14" i="17"/>
  <c r="GF28" i="17"/>
  <c r="CT33" i="17"/>
  <c r="HJ40" i="17"/>
  <c r="G19" i="17"/>
  <c r="H19" i="17" s="1"/>
  <c r="DH16" i="17"/>
  <c r="DI16" i="17" s="1"/>
  <c r="EB6" i="17"/>
  <c r="GF29" i="17"/>
  <c r="EH25" i="17"/>
  <c r="BT18" i="17"/>
  <c r="BU18" i="17" s="1"/>
  <c r="FZ24" i="17"/>
  <c r="GA24" i="17" s="1"/>
  <c r="CI13" i="17"/>
  <c r="CJ13" i="17" s="1"/>
  <c r="FB40" i="17"/>
  <c r="EL25" i="17"/>
  <c r="EM25" i="17" s="1"/>
  <c r="ER40" i="17"/>
  <c r="DM14" i="17"/>
  <c r="DN14" i="17" s="1"/>
  <c r="HX16" i="17"/>
  <c r="HY16" i="17" s="1"/>
  <c r="FF22" i="17"/>
  <c r="FG22" i="17" s="1"/>
  <c r="HD7" i="17"/>
  <c r="HE7" i="17" s="1"/>
  <c r="BU35" i="17"/>
  <c r="EH16" i="17"/>
  <c r="HO10" i="17"/>
  <c r="DS40" i="17"/>
  <c r="HY25" i="17"/>
  <c r="HY8" i="17"/>
  <c r="II22" i="17"/>
  <c r="CJ8" i="17"/>
  <c r="BP5" i="17"/>
  <c r="BF24" i="17"/>
  <c r="W40" i="17"/>
  <c r="DD32" i="17"/>
  <c r="DI36" i="17"/>
  <c r="II27" i="17"/>
  <c r="DX5" i="17"/>
  <c r="FL33" i="17"/>
  <c r="GU5" i="17"/>
  <c r="GZ29" i="17"/>
  <c r="EC25" i="17"/>
  <c r="AK10" i="17"/>
  <c r="AL10" i="17" s="1"/>
  <c r="BP33" i="17"/>
  <c r="AV40" i="17"/>
  <c r="EL15" i="17"/>
  <c r="EM15" i="17" s="1"/>
  <c r="DI40" i="17"/>
  <c r="BO12" i="17"/>
  <c r="BP12" i="17" s="1"/>
  <c r="EQ9" i="17"/>
  <c r="ER9" i="17" s="1"/>
  <c r="EH35" i="17"/>
  <c r="DX40" i="17"/>
  <c r="GP40" i="17"/>
  <c r="EM27" i="17"/>
  <c r="EL8" i="17"/>
  <c r="EM8" i="17" s="1"/>
  <c r="EG15" i="17"/>
  <c r="EH15" i="17" s="1"/>
  <c r="V5" i="17"/>
  <c r="W5" i="17" s="1"/>
  <c r="II40" i="17"/>
  <c r="DH20" i="17"/>
  <c r="DI20" i="17" s="1"/>
  <c r="L23" i="17"/>
  <c r="M23" i="17" s="1"/>
  <c r="DW29" i="17"/>
  <c r="DX29" i="17" s="1"/>
  <c r="AA31" i="17"/>
  <c r="AB31" i="17" s="1"/>
  <c r="HD11" i="17"/>
  <c r="HE11" i="17" s="1"/>
  <c r="GY38" i="17"/>
  <c r="GZ38" i="17" s="1"/>
  <c r="BO10" i="17"/>
  <c r="BP10" i="17" s="1"/>
  <c r="CI35" i="17"/>
  <c r="CJ35" i="17" s="1"/>
  <c r="BP27" i="17"/>
  <c r="BP8" i="17"/>
  <c r="BP36" i="17"/>
  <c r="BP19" i="17"/>
  <c r="BP31" i="17"/>
  <c r="BP11" i="17"/>
  <c r="BP29" i="17"/>
  <c r="BP15" i="17"/>
  <c r="BP24" i="17"/>
  <c r="BP30" i="17"/>
  <c r="BP39" i="17"/>
  <c r="BP25" i="17"/>
  <c r="BP38" i="17"/>
  <c r="BP6" i="17"/>
  <c r="BP13" i="17"/>
  <c r="BP34" i="17"/>
  <c r="BP22" i="17"/>
  <c r="BP9" i="17"/>
  <c r="BP23" i="17"/>
  <c r="BP37" i="17"/>
  <c r="BP21" i="17"/>
  <c r="BP35" i="17"/>
  <c r="BP18" i="17"/>
  <c r="BP7" i="17"/>
  <c r="BP32" i="17"/>
  <c r="BP17" i="17"/>
  <c r="BP14" i="17"/>
  <c r="BP28" i="17"/>
  <c r="R5" i="17"/>
  <c r="R38" i="17"/>
  <c r="R32" i="17"/>
  <c r="R9" i="17"/>
  <c r="R19" i="17"/>
  <c r="R7" i="17"/>
  <c r="R24" i="17"/>
  <c r="R13" i="17"/>
  <c r="R11" i="17"/>
  <c r="R27" i="17"/>
  <c r="R39" i="17"/>
  <c r="R31" i="17"/>
  <c r="R36" i="17"/>
  <c r="R21" i="17"/>
  <c r="R17" i="17"/>
  <c r="R37" i="17"/>
  <c r="R8" i="17"/>
  <c r="R12" i="17"/>
  <c r="R28" i="17"/>
  <c r="R34" i="17"/>
  <c r="R33" i="17"/>
  <c r="R29" i="17"/>
  <c r="R26" i="17"/>
  <c r="R10" i="17"/>
  <c r="R35" i="17"/>
  <c r="R16" i="17"/>
  <c r="R20" i="17"/>
  <c r="R23" i="17"/>
  <c r="R14" i="17"/>
  <c r="R22" i="17"/>
  <c r="R30" i="17"/>
  <c r="R25" i="17"/>
  <c r="R6" i="17"/>
  <c r="R15" i="17"/>
  <c r="ID27" i="17"/>
  <c r="ID22" i="17"/>
  <c r="ID18" i="17"/>
  <c r="ID34" i="17"/>
  <c r="ID31" i="17"/>
  <c r="ID38" i="17"/>
  <c r="ID19" i="17"/>
  <c r="ID14" i="17"/>
  <c r="ID39" i="17"/>
  <c r="ID29" i="17"/>
  <c r="ID9" i="17"/>
  <c r="ID30" i="17"/>
  <c r="ID28" i="17"/>
  <c r="ID7" i="17"/>
  <c r="ID25" i="17"/>
  <c r="ID12" i="17"/>
  <c r="ID15" i="17"/>
  <c r="ID21" i="17"/>
  <c r="ID35" i="17"/>
  <c r="ID10" i="17"/>
  <c r="ID17" i="17"/>
  <c r="ID26" i="17"/>
  <c r="ID23" i="17"/>
  <c r="ID33" i="17"/>
  <c r="ID5" i="17"/>
  <c r="ID8" i="17"/>
  <c r="ID37" i="17"/>
  <c r="ID16" i="17"/>
  <c r="ID20" i="17"/>
  <c r="ID36" i="17"/>
  <c r="ID6" i="17"/>
  <c r="ID24" i="17"/>
  <c r="ID32" i="17"/>
  <c r="HT23" i="17"/>
  <c r="HT27" i="17"/>
  <c r="HT26" i="17"/>
  <c r="HT20" i="17"/>
  <c r="HT7" i="17"/>
  <c r="HT28" i="17"/>
  <c r="HT8" i="17"/>
  <c r="HT37" i="17"/>
  <c r="HT39" i="17"/>
  <c r="HT22" i="17"/>
  <c r="HT5" i="17"/>
  <c r="HT18" i="17"/>
  <c r="HT14" i="17"/>
  <c r="HT30" i="17"/>
  <c r="HT9" i="17"/>
  <c r="HT31" i="17"/>
  <c r="HT17" i="17"/>
  <c r="HT24" i="17"/>
  <c r="HT15" i="17"/>
  <c r="HT21" i="17"/>
  <c r="HT33" i="17"/>
  <c r="HT25" i="17"/>
  <c r="HT35" i="17"/>
  <c r="HT16" i="17"/>
  <c r="HT11" i="17"/>
  <c r="HT12" i="17"/>
  <c r="HT38" i="17"/>
  <c r="HT34" i="17"/>
  <c r="HT19" i="17"/>
  <c r="HT10" i="17"/>
  <c r="HT29" i="17"/>
  <c r="HT36" i="17"/>
  <c r="HT6" i="17"/>
  <c r="HT13" i="17"/>
  <c r="HT32" i="17"/>
  <c r="EC17" i="17"/>
  <c r="EC19" i="17"/>
  <c r="EC39" i="17"/>
  <c r="EC7" i="17"/>
  <c r="EC18" i="17"/>
  <c r="EC26" i="17"/>
  <c r="EC35" i="17"/>
  <c r="EC24" i="17"/>
  <c r="EC16" i="17"/>
  <c r="EC23" i="17"/>
  <c r="EC38" i="17"/>
  <c r="EC6" i="17"/>
  <c r="EC34" i="17"/>
  <c r="EC28" i="17"/>
  <c r="EC20" i="17"/>
  <c r="EC13" i="17"/>
  <c r="EC30" i="17"/>
  <c r="EC10" i="17"/>
  <c r="EC12" i="17"/>
  <c r="EC37" i="17"/>
  <c r="EC27" i="17"/>
  <c r="EC8" i="17"/>
  <c r="EC22" i="17"/>
  <c r="EC33" i="17"/>
  <c r="EC11" i="17"/>
  <c r="EC29" i="17"/>
  <c r="EC9" i="17"/>
  <c r="EC36" i="17"/>
  <c r="EC15" i="17"/>
  <c r="EC31" i="17"/>
  <c r="EC21" i="17"/>
  <c r="EC14" i="17"/>
  <c r="EC32" i="17"/>
  <c r="EC5" i="17"/>
  <c r="EC40" i="17"/>
  <c r="HT40" i="17"/>
  <c r="R40" i="17"/>
  <c r="R18" i="17"/>
  <c r="BP40" i="17"/>
  <c r="II5" i="17"/>
  <c r="ID40" i="17"/>
</calcChain>
</file>

<file path=xl/sharedStrings.xml><?xml version="1.0" encoding="utf-8"?>
<sst xmlns="http://schemas.openxmlformats.org/spreadsheetml/2006/main" count="463" uniqueCount="162">
  <si>
    <t>Treatment</t>
  </si>
  <si>
    <t>Well</t>
  </si>
  <si>
    <t>colour</t>
  </si>
  <si>
    <t>g</t>
  </si>
  <si>
    <t>r</t>
  </si>
  <si>
    <t>t</t>
  </si>
  <si>
    <t>treated</t>
  </si>
  <si>
    <t>untreated</t>
  </si>
  <si>
    <t>treatment decision</t>
  </si>
  <si>
    <t>B2</t>
  </si>
  <si>
    <t>C2</t>
  </si>
  <si>
    <t>D2</t>
  </si>
  <si>
    <t>E2</t>
  </si>
  <si>
    <t>B3</t>
  </si>
  <si>
    <t>C3</t>
  </si>
  <si>
    <t>E3</t>
  </si>
  <si>
    <t>B4</t>
  </si>
  <si>
    <t>C4</t>
  </si>
  <si>
    <t>D4</t>
  </si>
  <si>
    <t>E4</t>
  </si>
  <si>
    <t>B5</t>
  </si>
  <si>
    <t>C5</t>
  </si>
  <si>
    <t>D5</t>
  </si>
  <si>
    <t>E5</t>
  </si>
  <si>
    <t>B6</t>
  </si>
  <si>
    <t>C6</t>
  </si>
  <si>
    <t>D6</t>
  </si>
  <si>
    <t>E6</t>
  </si>
  <si>
    <t>B7</t>
  </si>
  <si>
    <t>C7</t>
  </si>
  <si>
    <t>D7</t>
  </si>
  <si>
    <t>E7</t>
  </si>
  <si>
    <t>don’t trust data</t>
  </si>
  <si>
    <t>d</t>
  </si>
  <si>
    <t>Sunday</t>
  </si>
  <si>
    <t>Monday</t>
  </si>
  <si>
    <t>Tuesday</t>
  </si>
  <si>
    <t>Wednesday</t>
  </si>
  <si>
    <t>Thursday</t>
  </si>
  <si>
    <t>Friday</t>
  </si>
  <si>
    <t>Saturday</t>
  </si>
  <si>
    <t>D3</t>
  </si>
  <si>
    <t>No treatment</t>
  </si>
  <si>
    <t>F1</t>
  </si>
  <si>
    <t>F2</t>
  </si>
  <si>
    <t>F3</t>
  </si>
  <si>
    <t>F4</t>
  </si>
  <si>
    <t>F5</t>
  </si>
  <si>
    <t>A1</t>
  </si>
  <si>
    <t>A2</t>
  </si>
  <si>
    <t>A3</t>
  </si>
  <si>
    <t>A4</t>
  </si>
  <si>
    <t>B1</t>
  </si>
  <si>
    <t>C1</t>
  </si>
  <si>
    <t>D1</t>
  </si>
  <si>
    <t>E1</t>
  </si>
  <si>
    <r>
      <rPr>
        <b/>
        <sz val="11"/>
        <color rgb="FF92D050"/>
        <rFont val="Calibri"/>
        <family val="2"/>
        <scheme val="minor"/>
      </rPr>
      <t>99.8</t>
    </r>
    <r>
      <rPr>
        <b/>
        <sz val="11"/>
        <color theme="1"/>
        <rFont val="Calibri"/>
        <family val="2"/>
        <scheme val="minor"/>
      </rPr>
      <t>/0.2</t>
    </r>
  </si>
  <si>
    <t>A5</t>
  </si>
  <si>
    <t>A6</t>
  </si>
  <si>
    <t>A7</t>
  </si>
  <si>
    <t>D8</t>
  </si>
  <si>
    <t>A8</t>
  </si>
  <si>
    <t>B8</t>
  </si>
  <si>
    <t>C8</t>
  </si>
  <si>
    <t>E8</t>
  </si>
  <si>
    <t>Cell proportions (a2/a4)</t>
  </si>
  <si>
    <t>r'</t>
  </si>
  <si>
    <t>Fluorescence Intensity</t>
  </si>
  <si>
    <t>Formula:</t>
  </si>
  <si>
    <t>Average</t>
  </si>
  <si>
    <t>Correction factor:</t>
  </si>
  <si>
    <t>(Intensity(Red)/Size(Red) * Correction factor) / (Intensity(Green)/Size(Green))</t>
  </si>
  <si>
    <t>F6</t>
  </si>
  <si>
    <t>Calculation of correction factor on day0:</t>
  </si>
  <si>
    <t>Green colony Plate 2 A2</t>
  </si>
  <si>
    <t>Green colony Plate 2 A4</t>
  </si>
  <si>
    <t>Green colony Plate 2 B4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</si>
  <si>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</si>
  <si>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</si>
  <si>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</si>
  <si>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</si>
  <si>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</si>
  <si>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</si>
  <si>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</si>
  <si>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</si>
  <si>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</si>
  <si>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</si>
  <si>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</si>
  <si>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</si>
  <si>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</si>
  <si>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</si>
  <si>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</si>
  <si>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</si>
  <si>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</si>
  <si>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</si>
  <si>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</si>
  <si>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</si>
  <si>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</si>
  <si>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</si>
  <si>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</si>
  <si>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</si>
  <si>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</si>
  <si>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</si>
  <si>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</si>
  <si>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</si>
  <si>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</si>
  <si>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</si>
  <si>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</si>
  <si>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</si>
  <si>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</si>
  <si>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</si>
  <si>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</si>
  <si>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</si>
  <si>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F7</t>
  </si>
  <si>
    <t>MTD</t>
  </si>
  <si>
    <t>Red Calibration MTD</t>
  </si>
  <si>
    <t>Red Calibration No treatment</t>
  </si>
  <si>
    <t>F8</t>
  </si>
  <si>
    <t>AT 100</t>
  </si>
  <si>
    <t>AT 80</t>
  </si>
  <si>
    <t>AT 50</t>
  </si>
  <si>
    <t>Red colony Plate 2 A8</t>
  </si>
  <si>
    <t>Red colony Plate 2 B8</t>
  </si>
  <si>
    <t>Red colony Plate 2 D8</t>
  </si>
  <si>
    <t>Diameter</t>
  </si>
  <si>
    <t>Average Half the surface of the sphere</t>
  </si>
  <si>
    <t>Spheroid lost</t>
  </si>
  <si>
    <t>Double Treatment</t>
  </si>
  <si>
    <t>A lot of cells outside, but let us continue this well without treatment</t>
  </si>
  <si>
    <t>A lot of cells outside, but let us continue this well with treatment</t>
  </si>
  <si>
    <t>NT</t>
  </si>
  <si>
    <t>Red Calibration NT</t>
  </si>
  <si>
    <t>AT100</t>
  </si>
  <si>
    <t>AT101</t>
  </si>
  <si>
    <t>AT102</t>
  </si>
  <si>
    <t>AT103</t>
  </si>
  <si>
    <t>AT104</t>
  </si>
  <si>
    <t>AT105</t>
  </si>
  <si>
    <t>AT106</t>
  </si>
  <si>
    <t>AT107</t>
  </si>
  <si>
    <t>AT108</t>
  </si>
  <si>
    <t>AT109</t>
  </si>
  <si>
    <t>AT180</t>
  </si>
  <si>
    <t>AT181</t>
  </si>
  <si>
    <t>AT182</t>
  </si>
  <si>
    <t>AT183</t>
  </si>
  <si>
    <t>AT184</t>
  </si>
  <si>
    <t>AT185</t>
  </si>
  <si>
    <t>AT186</t>
  </si>
  <si>
    <t>AT187</t>
  </si>
  <si>
    <t>AT188</t>
  </si>
  <si>
    <t>AT189</t>
  </si>
  <si>
    <t>AT50</t>
  </si>
  <si>
    <t>AT51</t>
  </si>
  <si>
    <t>AT52</t>
  </si>
  <si>
    <t>AT53</t>
  </si>
  <si>
    <t>AT54</t>
  </si>
  <si>
    <t>AT55</t>
  </si>
  <si>
    <t>AT56</t>
  </si>
  <si>
    <t>AT57</t>
  </si>
  <si>
    <t>AT58</t>
  </si>
  <si>
    <t>AT59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</si>
</sst>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100D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9" tint="0.79998168889431442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C000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theme="7"/>
      </top>
      <bottom/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medium">
        <color theme="7"/>
      </left>
      <right/>
      <top/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 style="thin">
        <color indexed="64"/>
      </right>
      <top/>
      <bottom style="medium">
        <color theme="7"/>
      </bottom>
      <diagonal/>
    </border>
    <border>
      <left style="thin">
        <color indexed="64"/>
      </left>
      <right/>
      <top/>
      <bottom style="medium">
        <color theme="7"/>
      </bottom>
      <diagonal/>
    </border>
    <border>
      <left style="medium">
        <color rgb="FFFFC000"/>
      </left>
      <right/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medium">
        <color theme="7"/>
      </left>
      <right/>
      <top style="medium">
        <color theme="7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7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theme="7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7"/>
      </left>
      <right/>
      <top style="medium">
        <color theme="7"/>
      </top>
      <bottom style="medium">
        <color theme="7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4" borderId="0" xfId="0" applyFill="1"/>
    <xf numFmtId="0" fontId="6" fillId="0" borderId="0" xfId="0" applyFont="1"/>
    <xf numFmtId="0" fontId="0" fillId="5" borderId="0" xfId="0" applyFill="1"/>
    <xf numFmtId="0" fontId="0" fillId="0" borderId="0" xfId="0" applyAlignment="1">
      <alignment horizontal="right"/>
    </xf>
    <xf numFmtId="0" fontId="2" fillId="0" borderId="1" xfId="0" applyFont="1" applyBorder="1"/>
    <xf numFmtId="0" fontId="3" fillId="0" borderId="0" xfId="0" applyFont="1" applyBorder="1"/>
    <xf numFmtId="0" fontId="1" fillId="0" borderId="0" xfId="0" applyFont="1" applyBorder="1"/>
    <xf numFmtId="0" fontId="0" fillId="0" borderId="0" xfId="0" applyBorder="1"/>
    <xf numFmtId="0" fontId="0" fillId="0" borderId="1" xfId="0" applyFill="1" applyBorder="1"/>
    <xf numFmtId="0" fontId="0" fillId="0" borderId="0" xfId="0" applyFill="1" applyBorder="1"/>
    <xf numFmtId="0" fontId="4" fillId="0" borderId="1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1" fillId="0" borderId="0" xfId="0" applyFont="1" applyFill="1" applyBorder="1"/>
    <xf numFmtId="0" fontId="0" fillId="0" borderId="1" xfId="0" applyBorder="1"/>
    <xf numFmtId="0" fontId="0" fillId="0" borderId="2" xfId="0" applyBorder="1"/>
    <xf numFmtId="0" fontId="4" fillId="0" borderId="2" xfId="0" applyFont="1" applyBorder="1"/>
    <xf numFmtId="0" fontId="0" fillId="0" borderId="2" xfId="0" applyFont="1" applyBorder="1"/>
    <xf numFmtId="0" fontId="0" fillId="0" borderId="1" xfId="0" applyFont="1" applyFill="1" applyBorder="1"/>
    <xf numFmtId="0" fontId="0" fillId="0" borderId="1" xfId="0" applyFont="1" applyBorder="1"/>
    <xf numFmtId="0" fontId="2" fillId="0" borderId="3" xfId="0" applyFont="1" applyBorder="1"/>
    <xf numFmtId="0" fontId="0" fillId="0" borderId="3" xfId="0" applyFill="1" applyBorder="1"/>
    <xf numFmtId="0" fontId="4" fillId="0" borderId="3" xfId="0" applyFont="1" applyFill="1" applyBorder="1"/>
    <xf numFmtId="0" fontId="0" fillId="0" borderId="3" xfId="0" applyBorder="1"/>
    <xf numFmtId="0" fontId="0" fillId="0" borderId="0" xfId="0" applyAlignment="1"/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10" fillId="0" borderId="0" xfId="0" applyFont="1"/>
    <xf numFmtId="0" fontId="2" fillId="0" borderId="0" xfId="0" applyFont="1" applyBorder="1"/>
    <xf numFmtId="0" fontId="4" fillId="0" borderId="0" xfId="0" applyFont="1" applyBorder="1"/>
    <xf numFmtId="0" fontId="2" fillId="0" borderId="7" xfId="0" applyFont="1" applyBorder="1"/>
    <xf numFmtId="0" fontId="0" fillId="0" borderId="8" xfId="0" applyBorder="1"/>
    <xf numFmtId="0" fontId="0" fillId="0" borderId="7" xfId="0" applyFill="1" applyBorder="1"/>
    <xf numFmtId="0" fontId="4" fillId="0" borderId="7" xfId="0" applyFont="1" applyFill="1" applyBorder="1"/>
    <xf numFmtId="0" fontId="4" fillId="0" borderId="8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5" fillId="0" borderId="10" xfId="0" applyFont="1" applyFill="1" applyBorder="1"/>
    <xf numFmtId="0" fontId="4" fillId="0" borderId="11" xfId="0" applyFont="1" applyBorder="1"/>
    <xf numFmtId="0" fontId="0" fillId="0" borderId="12" xfId="0" applyBorder="1"/>
    <xf numFmtId="0" fontId="0" fillId="0" borderId="12" xfId="0" applyFont="1" applyBorder="1"/>
    <xf numFmtId="0" fontId="0" fillId="0" borderId="13" xfId="0" applyBorder="1"/>
    <xf numFmtId="0" fontId="4" fillId="0" borderId="10" xfId="0" applyFont="1" applyBorder="1"/>
    <xf numFmtId="0" fontId="4" fillId="0" borderId="14" xfId="0" applyFont="1" applyBorder="1"/>
    <xf numFmtId="0" fontId="11" fillId="0" borderId="0" xfId="0" applyFont="1" applyFill="1" applyBorder="1"/>
    <xf numFmtId="0" fontId="11" fillId="0" borderId="0" xfId="0" applyFont="1" applyBorder="1"/>
    <xf numFmtId="0" fontId="11" fillId="0" borderId="10" xfId="0" applyFont="1" applyBorder="1"/>
    <xf numFmtId="0" fontId="0" fillId="6" borderId="16" xfId="0" applyFont="1" applyFill="1" applyBorder="1"/>
    <xf numFmtId="0" fontId="0" fillId="6" borderId="4" xfId="0" applyFont="1" applyFill="1" applyBorder="1"/>
    <xf numFmtId="14" fontId="0" fillId="0" borderId="0" xfId="0" applyNumberFormat="1"/>
    <xf numFmtId="0" fontId="0" fillId="7" borderId="0" xfId="0" applyFill="1"/>
    <xf numFmtId="164" fontId="8" fillId="7" borderId="0" xfId="0" applyNumberFormat="1" applyFont="1" applyFill="1" applyAlignment="1">
      <alignment horizontal="left"/>
    </xf>
    <xf numFmtId="0" fontId="6" fillId="7" borderId="0" xfId="0" applyFont="1" applyFill="1"/>
    <xf numFmtId="0" fontId="0" fillId="6" borderId="17" xfId="0" applyFont="1" applyFill="1" applyBorder="1"/>
    <xf numFmtId="0" fontId="0" fillId="6" borderId="18" xfId="0" applyFont="1" applyFill="1" applyBorder="1"/>
    <xf numFmtId="0" fontId="3" fillId="0" borderId="10" xfId="0" applyFont="1" applyBorder="1"/>
    <xf numFmtId="0" fontId="0" fillId="6" borderId="21" xfId="0" applyFont="1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6" fillId="8" borderId="0" xfId="0" applyFont="1" applyFill="1"/>
    <xf numFmtId="164" fontId="8" fillId="8" borderId="0" xfId="0" applyNumberFormat="1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0" fillId="9" borderId="16" xfId="0" applyFont="1" applyFill="1" applyBorder="1"/>
    <xf numFmtId="0" fontId="0" fillId="9" borderId="4" xfId="0" applyFont="1" applyFill="1" applyBorder="1"/>
    <xf numFmtId="0" fontId="0" fillId="9" borderId="21" xfId="0" applyFont="1" applyFill="1" applyBorder="1"/>
    <xf numFmtId="0" fontId="0" fillId="8" borderId="0" xfId="0" applyFill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Standard" xfId="0" builtinId="0"/>
  </cellStyles>
  <dxfs count="30">
    <dxf>
      <font>
        <color rgb="FF9C0006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C100D0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FEE4-6F48-421A-B6E7-71709002A807}">
  <dimension ref="A1:II80"/>
  <sheetViews>
    <sheetView topLeftCell="BK1" zoomScale="55" zoomScaleNormal="55" workbookViewId="0">
      <selection activeCell="BL2" sqref="BL2:BZ2"/>
    </sheetView>
  </sheetViews>
  <sheetFormatPr baseColWidth="10" defaultColWidth="9.140625" defaultRowHeight="15" x14ac:dyDescent="0.25"/>
  <cols>
    <col min="1" max="1" width="4.42578125" customWidth="1"/>
    <col min="2" max="2" width="13.5703125" customWidth="1"/>
    <col min="3" max="3" width="12.7109375" customWidth="1"/>
  </cols>
  <sheetData>
    <row r="1" spans="1:243" ht="15.75" thickBot="1" x14ac:dyDescent="0.3">
      <c r="B1" s="28" t="s">
        <v>65</v>
      </c>
      <c r="C1" s="28"/>
      <c r="D1" s="91" t="s">
        <v>56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</row>
    <row r="2" spans="1:243" s="31" customFormat="1" ht="21" x14ac:dyDescent="0.35">
      <c r="B2" s="84" t="s">
        <v>0</v>
      </c>
      <c r="C2" s="84"/>
      <c r="D2" s="85" t="s">
        <v>42</v>
      </c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5" t="s">
        <v>114</v>
      </c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7"/>
      <c r="BL2" s="85" t="s">
        <v>115</v>
      </c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7"/>
      <c r="CA2" s="85" t="s">
        <v>116</v>
      </c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7"/>
      <c r="CP2" s="88" t="s">
        <v>118</v>
      </c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5" t="s">
        <v>119</v>
      </c>
      <c r="EO2" s="86"/>
      <c r="EP2" s="86"/>
      <c r="EQ2" s="86"/>
      <c r="ER2" s="86"/>
      <c r="ES2" s="86"/>
      <c r="ET2" s="86"/>
      <c r="EU2" s="86"/>
      <c r="EV2" s="86"/>
      <c r="EW2" s="86"/>
      <c r="EX2" s="86"/>
      <c r="EY2" s="86"/>
      <c r="EZ2" s="86"/>
      <c r="FA2" s="86"/>
      <c r="FB2" s="86"/>
      <c r="FC2" s="86"/>
      <c r="FD2" s="86"/>
      <c r="FE2" s="86"/>
      <c r="FF2" s="86"/>
      <c r="FG2" s="86"/>
      <c r="FH2" s="86"/>
      <c r="FI2" s="86"/>
      <c r="FJ2" s="86"/>
      <c r="FK2" s="86"/>
      <c r="FL2" s="86"/>
      <c r="FM2" s="86"/>
      <c r="FN2" s="86"/>
      <c r="FO2" s="86"/>
      <c r="FP2" s="86"/>
      <c r="FQ2" s="86"/>
      <c r="FR2" s="86"/>
      <c r="FS2" s="86"/>
      <c r="FT2" s="86"/>
      <c r="FU2" s="86"/>
      <c r="FV2" s="86"/>
      <c r="FW2" s="86"/>
      <c r="FX2" s="86"/>
      <c r="FY2" s="86"/>
      <c r="FZ2" s="86"/>
      <c r="GA2" s="86"/>
      <c r="GB2" s="86"/>
      <c r="GC2" s="86"/>
      <c r="GD2" s="86"/>
      <c r="GE2" s="86"/>
      <c r="GF2" s="86"/>
      <c r="GG2" s="86"/>
      <c r="GH2" s="86"/>
      <c r="GI2" s="86"/>
      <c r="GJ2" s="86"/>
      <c r="GK2" s="87"/>
      <c r="GL2" s="88" t="s">
        <v>120</v>
      </c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90"/>
    </row>
    <row r="3" spans="1:243" x14ac:dyDescent="0.25">
      <c r="B3" s="80" t="s">
        <v>1</v>
      </c>
      <c r="C3" s="80"/>
      <c r="D3" s="82" t="s">
        <v>59</v>
      </c>
      <c r="E3" s="78"/>
      <c r="F3" s="78"/>
      <c r="G3" s="78"/>
      <c r="H3" s="79"/>
      <c r="I3" s="77" t="s">
        <v>28</v>
      </c>
      <c r="J3" s="78"/>
      <c r="K3" s="78"/>
      <c r="L3" s="78"/>
      <c r="M3" s="79"/>
      <c r="N3" s="77" t="s">
        <v>29</v>
      </c>
      <c r="O3" s="78"/>
      <c r="P3" s="78"/>
      <c r="Q3" s="78"/>
      <c r="R3" s="79"/>
      <c r="S3" s="77" t="s">
        <v>30</v>
      </c>
      <c r="T3" s="78"/>
      <c r="U3" s="78"/>
      <c r="V3" s="78"/>
      <c r="W3" s="79"/>
      <c r="X3" s="77" t="s">
        <v>31</v>
      </c>
      <c r="Y3" s="78"/>
      <c r="Z3" s="78"/>
      <c r="AA3" s="78"/>
      <c r="AB3" s="79"/>
      <c r="AC3" s="77" t="s">
        <v>113</v>
      </c>
      <c r="AD3" s="78"/>
      <c r="AE3" s="78"/>
      <c r="AF3" s="78"/>
      <c r="AG3" s="78"/>
      <c r="AH3" s="82" t="s">
        <v>43</v>
      </c>
      <c r="AI3" s="78"/>
      <c r="AJ3" s="78"/>
      <c r="AK3" s="78"/>
      <c r="AL3" s="79"/>
      <c r="AM3" s="77" t="s">
        <v>44</v>
      </c>
      <c r="AN3" s="78"/>
      <c r="AO3" s="78"/>
      <c r="AP3" s="78"/>
      <c r="AQ3" s="79"/>
      <c r="AR3" s="77" t="s">
        <v>45</v>
      </c>
      <c r="AS3" s="78"/>
      <c r="AT3" s="78"/>
      <c r="AU3" s="78"/>
      <c r="AV3" s="79"/>
      <c r="AW3" s="77" t="s">
        <v>46</v>
      </c>
      <c r="AX3" s="78"/>
      <c r="AY3" s="78"/>
      <c r="AZ3" s="78"/>
      <c r="BA3" s="79"/>
      <c r="BB3" s="77" t="s">
        <v>47</v>
      </c>
      <c r="BC3" s="78"/>
      <c r="BD3" s="78"/>
      <c r="BE3" s="78"/>
      <c r="BF3" s="79"/>
      <c r="BG3" s="77" t="s">
        <v>72</v>
      </c>
      <c r="BH3" s="78"/>
      <c r="BI3" s="78"/>
      <c r="BJ3" s="78"/>
      <c r="BK3" s="81"/>
      <c r="BL3" s="82" t="s">
        <v>61</v>
      </c>
      <c r="BM3" s="78"/>
      <c r="BN3" s="78"/>
      <c r="BO3" s="78"/>
      <c r="BP3" s="79"/>
      <c r="BQ3" s="77" t="s">
        <v>62</v>
      </c>
      <c r="BR3" s="78"/>
      <c r="BS3" s="78"/>
      <c r="BT3" s="78"/>
      <c r="BU3" s="79"/>
      <c r="BV3" s="77" t="s">
        <v>63</v>
      </c>
      <c r="BW3" s="78"/>
      <c r="BX3" s="78"/>
      <c r="BY3" s="78"/>
      <c r="BZ3" s="81"/>
      <c r="CA3" s="82" t="s">
        <v>60</v>
      </c>
      <c r="CB3" s="78"/>
      <c r="CC3" s="78"/>
      <c r="CD3" s="78"/>
      <c r="CE3" s="79"/>
      <c r="CF3" s="83" t="s">
        <v>64</v>
      </c>
      <c r="CG3" s="78"/>
      <c r="CH3" s="78"/>
      <c r="CI3" s="78"/>
      <c r="CJ3" s="79"/>
      <c r="CK3" s="77" t="s">
        <v>117</v>
      </c>
      <c r="CL3" s="78"/>
      <c r="CM3" s="78"/>
      <c r="CN3" s="78"/>
      <c r="CO3" s="81"/>
      <c r="CP3" s="82" t="s">
        <v>48</v>
      </c>
      <c r="CQ3" s="78"/>
      <c r="CR3" s="78"/>
      <c r="CS3" s="78"/>
      <c r="CT3" s="79"/>
      <c r="CU3" s="77" t="s">
        <v>52</v>
      </c>
      <c r="CV3" s="78"/>
      <c r="CW3" s="78"/>
      <c r="CX3" s="78"/>
      <c r="CY3" s="78"/>
      <c r="CZ3" s="77" t="s">
        <v>53</v>
      </c>
      <c r="DA3" s="78"/>
      <c r="DB3" s="78"/>
      <c r="DC3" s="78"/>
      <c r="DD3" s="79"/>
      <c r="DE3" s="78" t="s">
        <v>54</v>
      </c>
      <c r="DF3" s="78"/>
      <c r="DG3" s="78"/>
      <c r="DH3" s="78"/>
      <c r="DI3" s="79"/>
      <c r="DJ3" s="77" t="s">
        <v>55</v>
      </c>
      <c r="DK3" s="78"/>
      <c r="DL3" s="78"/>
      <c r="DM3" s="78"/>
      <c r="DN3" s="79"/>
      <c r="DO3" s="77" t="s">
        <v>49</v>
      </c>
      <c r="DP3" s="78"/>
      <c r="DQ3" s="78"/>
      <c r="DR3" s="78"/>
      <c r="DS3" s="78"/>
      <c r="DT3" s="77" t="s">
        <v>9</v>
      </c>
      <c r="DU3" s="78"/>
      <c r="DV3" s="78"/>
      <c r="DW3" s="78"/>
      <c r="DX3" s="78"/>
      <c r="DY3" s="77" t="s">
        <v>10</v>
      </c>
      <c r="DZ3" s="78"/>
      <c r="EA3" s="78"/>
      <c r="EB3" s="78"/>
      <c r="EC3" s="79"/>
      <c r="ED3" s="77" t="s">
        <v>11</v>
      </c>
      <c r="EE3" s="78"/>
      <c r="EF3" s="78"/>
      <c r="EG3" s="78"/>
      <c r="EH3" s="79"/>
      <c r="EI3" s="77" t="s">
        <v>12</v>
      </c>
      <c r="EJ3" s="78"/>
      <c r="EK3" s="78"/>
      <c r="EL3" s="78"/>
      <c r="EM3" s="79"/>
      <c r="EN3" s="82" t="s">
        <v>50</v>
      </c>
      <c r="EO3" s="78"/>
      <c r="EP3" s="78"/>
      <c r="EQ3" s="78"/>
      <c r="ER3" s="78"/>
      <c r="ES3" s="77" t="s">
        <v>13</v>
      </c>
      <c r="ET3" s="78"/>
      <c r="EU3" s="78"/>
      <c r="EV3" s="78"/>
      <c r="EW3" s="79"/>
      <c r="EX3" s="78" t="s">
        <v>14</v>
      </c>
      <c r="EY3" s="78"/>
      <c r="EZ3" s="78"/>
      <c r="FA3" s="78"/>
      <c r="FB3" s="79"/>
      <c r="FC3" s="77" t="s">
        <v>41</v>
      </c>
      <c r="FD3" s="78"/>
      <c r="FE3" s="78"/>
      <c r="FF3" s="78"/>
      <c r="FG3" s="79"/>
      <c r="FH3" s="77" t="s">
        <v>15</v>
      </c>
      <c r="FI3" s="78"/>
      <c r="FJ3" s="78"/>
      <c r="FK3" s="78"/>
      <c r="FL3" s="79"/>
      <c r="FM3" s="77" t="s">
        <v>51</v>
      </c>
      <c r="FN3" s="78"/>
      <c r="FO3" s="78"/>
      <c r="FP3" s="78"/>
      <c r="FQ3" s="79"/>
      <c r="FR3" s="78" t="s">
        <v>16</v>
      </c>
      <c r="FS3" s="78"/>
      <c r="FT3" s="78"/>
      <c r="FU3" s="78"/>
      <c r="FV3" s="79"/>
      <c r="FW3" s="77" t="s">
        <v>17</v>
      </c>
      <c r="FX3" s="78"/>
      <c r="FY3" s="78"/>
      <c r="FZ3" s="78"/>
      <c r="GA3" s="79"/>
      <c r="GB3" s="77" t="s">
        <v>18</v>
      </c>
      <c r="GC3" s="78"/>
      <c r="GD3" s="78"/>
      <c r="GE3" s="78"/>
      <c r="GF3" s="78"/>
      <c r="GG3" s="77" t="s">
        <v>19</v>
      </c>
      <c r="GH3" s="78"/>
      <c r="GI3" s="78"/>
      <c r="GJ3" s="78"/>
      <c r="GK3" s="81"/>
      <c r="GL3" s="82" t="s">
        <v>57</v>
      </c>
      <c r="GM3" s="78"/>
      <c r="GN3" s="78"/>
      <c r="GO3" s="78"/>
      <c r="GP3" s="78"/>
      <c r="GQ3" s="77" t="s">
        <v>20</v>
      </c>
      <c r="GR3" s="78"/>
      <c r="GS3" s="78"/>
      <c r="GT3" s="78"/>
      <c r="GU3" s="78"/>
      <c r="GV3" s="77" t="s">
        <v>21</v>
      </c>
      <c r="GW3" s="78"/>
      <c r="GX3" s="78"/>
      <c r="GY3" s="78"/>
      <c r="GZ3" s="79"/>
      <c r="HA3" s="77" t="s">
        <v>22</v>
      </c>
      <c r="HB3" s="78"/>
      <c r="HC3" s="78"/>
      <c r="HD3" s="78"/>
      <c r="HE3" s="78"/>
      <c r="HF3" s="77" t="s">
        <v>23</v>
      </c>
      <c r="HG3" s="78"/>
      <c r="HH3" s="78"/>
      <c r="HI3" s="78"/>
      <c r="HJ3" s="79"/>
      <c r="HK3" s="78" t="s">
        <v>58</v>
      </c>
      <c r="HL3" s="78"/>
      <c r="HM3" s="78"/>
      <c r="HN3" s="78"/>
      <c r="HO3" s="78"/>
      <c r="HP3" s="77" t="s">
        <v>24</v>
      </c>
      <c r="HQ3" s="78"/>
      <c r="HR3" s="78"/>
      <c r="HS3" s="78"/>
      <c r="HT3" s="79"/>
      <c r="HU3" s="78" t="s">
        <v>25</v>
      </c>
      <c r="HV3" s="78"/>
      <c r="HW3" s="78"/>
      <c r="HX3" s="78"/>
      <c r="HY3" s="78"/>
      <c r="HZ3" s="77" t="s">
        <v>26</v>
      </c>
      <c r="IA3" s="78"/>
      <c r="IB3" s="78"/>
      <c r="IC3" s="78"/>
      <c r="ID3" s="79"/>
      <c r="IE3" s="78" t="s">
        <v>27</v>
      </c>
      <c r="IF3" s="78"/>
      <c r="IG3" s="78"/>
      <c r="IH3" s="78"/>
      <c r="II3" s="81"/>
    </row>
    <row r="4" spans="1:243" x14ac:dyDescent="0.25">
      <c r="A4" s="7" t="s">
        <v>33</v>
      </c>
      <c r="B4" s="80" t="s">
        <v>2</v>
      </c>
      <c r="C4" s="80"/>
      <c r="D4" s="34" t="s">
        <v>3</v>
      </c>
      <c r="E4" s="9" t="s">
        <v>4</v>
      </c>
      <c r="F4" s="9" t="s">
        <v>66</v>
      </c>
      <c r="G4" s="10" t="s">
        <v>5</v>
      </c>
      <c r="H4" s="19"/>
      <c r="I4" s="8" t="s">
        <v>3</v>
      </c>
      <c r="J4" s="9" t="s">
        <v>4</v>
      </c>
      <c r="K4" s="9" t="s">
        <v>66</v>
      </c>
      <c r="L4" s="10" t="s">
        <v>5</v>
      </c>
      <c r="M4" s="19"/>
      <c r="N4" s="8" t="s">
        <v>3</v>
      </c>
      <c r="O4" s="9" t="s">
        <v>4</v>
      </c>
      <c r="P4" s="9" t="s">
        <v>66</v>
      </c>
      <c r="Q4" s="10" t="s">
        <v>5</v>
      </c>
      <c r="R4" s="21"/>
      <c r="S4" s="8" t="s">
        <v>3</v>
      </c>
      <c r="T4" s="9" t="s">
        <v>4</v>
      </c>
      <c r="U4" s="9" t="s">
        <v>66</v>
      </c>
      <c r="V4" s="10" t="s">
        <v>5</v>
      </c>
      <c r="W4" s="19"/>
      <c r="X4" s="8" t="s">
        <v>3</v>
      </c>
      <c r="Y4" s="9" t="s">
        <v>4</v>
      </c>
      <c r="Z4" s="9" t="s">
        <v>66</v>
      </c>
      <c r="AA4" s="10" t="s">
        <v>5</v>
      </c>
      <c r="AB4" s="19"/>
      <c r="AC4" s="8" t="s">
        <v>3</v>
      </c>
      <c r="AD4" s="9" t="s">
        <v>4</v>
      </c>
      <c r="AE4" s="9" t="s">
        <v>66</v>
      </c>
      <c r="AF4" s="10" t="s">
        <v>5</v>
      </c>
      <c r="AG4" s="11"/>
      <c r="AH4" s="34" t="s">
        <v>3</v>
      </c>
      <c r="AI4" s="9" t="s">
        <v>4</v>
      </c>
      <c r="AJ4" s="9" t="s">
        <v>66</v>
      </c>
      <c r="AK4" s="10" t="s">
        <v>5</v>
      </c>
      <c r="AL4" s="19"/>
      <c r="AM4" s="8" t="s">
        <v>3</v>
      </c>
      <c r="AN4" s="9" t="s">
        <v>4</v>
      </c>
      <c r="AO4" s="9" t="s">
        <v>66</v>
      </c>
      <c r="AP4" s="10" t="s">
        <v>5</v>
      </c>
      <c r="AQ4" s="19"/>
      <c r="AR4" s="8" t="s">
        <v>3</v>
      </c>
      <c r="AS4" s="9" t="s">
        <v>4</v>
      </c>
      <c r="AT4" s="9" t="s">
        <v>66</v>
      </c>
      <c r="AU4" s="10" t="s">
        <v>5</v>
      </c>
      <c r="AV4" s="21"/>
      <c r="AW4" s="8" t="s">
        <v>3</v>
      </c>
      <c r="AX4" s="9" t="s">
        <v>4</v>
      </c>
      <c r="AY4" s="9" t="s">
        <v>66</v>
      </c>
      <c r="AZ4" s="10" t="s">
        <v>5</v>
      </c>
      <c r="BA4" s="19"/>
      <c r="BB4" s="8" t="s">
        <v>3</v>
      </c>
      <c r="BC4" s="9" t="s">
        <v>4</v>
      </c>
      <c r="BD4" s="9" t="s">
        <v>66</v>
      </c>
      <c r="BE4" s="10" t="s">
        <v>5</v>
      </c>
      <c r="BF4" s="19"/>
      <c r="BG4" s="8" t="s">
        <v>3</v>
      </c>
      <c r="BH4" s="9" t="s">
        <v>4</v>
      </c>
      <c r="BI4" s="9" t="s">
        <v>66</v>
      </c>
      <c r="BJ4" s="10" t="s">
        <v>5</v>
      </c>
      <c r="BK4" s="35"/>
      <c r="BL4" s="34" t="s">
        <v>3</v>
      </c>
      <c r="BM4" s="9" t="s">
        <v>4</v>
      </c>
      <c r="BN4" s="9" t="s">
        <v>66</v>
      </c>
      <c r="BO4" s="10" t="s">
        <v>5</v>
      </c>
      <c r="BP4" s="19"/>
      <c r="BQ4" s="8" t="s">
        <v>3</v>
      </c>
      <c r="BR4" s="9" t="s">
        <v>4</v>
      </c>
      <c r="BS4" s="9" t="s">
        <v>66</v>
      </c>
      <c r="BT4" s="10" t="s">
        <v>5</v>
      </c>
      <c r="BU4" s="19"/>
      <c r="BV4" s="8" t="s">
        <v>3</v>
      </c>
      <c r="BW4" s="9" t="s">
        <v>4</v>
      </c>
      <c r="BX4" s="9" t="s">
        <v>66</v>
      </c>
      <c r="BY4" s="10" t="s">
        <v>5</v>
      </c>
      <c r="BZ4" s="35"/>
      <c r="CA4" s="34" t="s">
        <v>3</v>
      </c>
      <c r="CB4" s="9" t="s">
        <v>4</v>
      </c>
      <c r="CC4" s="9" t="s">
        <v>66</v>
      </c>
      <c r="CD4" s="10" t="s">
        <v>5</v>
      </c>
      <c r="CE4" s="19"/>
      <c r="CF4" s="24" t="s">
        <v>3</v>
      </c>
      <c r="CG4" s="9" t="s">
        <v>4</v>
      </c>
      <c r="CH4" s="9" t="s">
        <v>66</v>
      </c>
      <c r="CI4" s="10" t="s">
        <v>5</v>
      </c>
      <c r="CJ4" s="19"/>
      <c r="CK4" s="8" t="s">
        <v>3</v>
      </c>
      <c r="CL4" s="9" t="s">
        <v>4</v>
      </c>
      <c r="CM4" s="9" t="s">
        <v>66</v>
      </c>
      <c r="CN4" s="10" t="s">
        <v>5</v>
      </c>
      <c r="CO4" s="35"/>
      <c r="CP4" s="34" t="s">
        <v>3</v>
      </c>
      <c r="CQ4" s="9" t="s">
        <v>4</v>
      </c>
      <c r="CR4" s="9" t="s">
        <v>66</v>
      </c>
      <c r="CS4" s="10" t="s">
        <v>5</v>
      </c>
      <c r="CT4" s="19"/>
      <c r="CU4" s="8" t="s">
        <v>3</v>
      </c>
      <c r="CV4" s="9" t="s">
        <v>4</v>
      </c>
      <c r="CW4" s="9" t="s">
        <v>66</v>
      </c>
      <c r="CX4" s="10" t="s">
        <v>5</v>
      </c>
      <c r="CY4" s="11"/>
      <c r="CZ4" s="8" t="s">
        <v>3</v>
      </c>
      <c r="DA4" s="9" t="s">
        <v>4</v>
      </c>
      <c r="DB4" s="9" t="s">
        <v>66</v>
      </c>
      <c r="DC4" s="10" t="s">
        <v>5</v>
      </c>
      <c r="DD4" s="19"/>
      <c r="DE4" s="32" t="s">
        <v>3</v>
      </c>
      <c r="DF4" s="9" t="s">
        <v>4</v>
      </c>
      <c r="DG4" s="9" t="s">
        <v>66</v>
      </c>
      <c r="DH4" s="10" t="s">
        <v>5</v>
      </c>
      <c r="DI4" s="19"/>
      <c r="DJ4" s="8" t="s">
        <v>3</v>
      </c>
      <c r="DK4" s="9" t="s">
        <v>4</v>
      </c>
      <c r="DL4" s="9" t="s">
        <v>66</v>
      </c>
      <c r="DM4" s="10" t="s">
        <v>5</v>
      </c>
      <c r="DN4" s="19"/>
      <c r="DO4" s="8" t="s">
        <v>3</v>
      </c>
      <c r="DP4" s="9" t="s">
        <v>4</v>
      </c>
      <c r="DQ4" s="9" t="s">
        <v>66</v>
      </c>
      <c r="DR4" s="10" t="s">
        <v>5</v>
      </c>
      <c r="DS4" s="11"/>
      <c r="DT4" s="8" t="s">
        <v>3</v>
      </c>
      <c r="DU4" s="9" t="s">
        <v>4</v>
      </c>
      <c r="DV4" s="9" t="s">
        <v>66</v>
      </c>
      <c r="DW4" s="10" t="s">
        <v>5</v>
      </c>
      <c r="DX4" s="11"/>
      <c r="DY4" s="8" t="s">
        <v>3</v>
      </c>
      <c r="DZ4" s="9" t="s">
        <v>4</v>
      </c>
      <c r="EA4" s="9" t="s">
        <v>66</v>
      </c>
      <c r="EB4" s="10" t="s">
        <v>5</v>
      </c>
      <c r="EC4" s="19"/>
      <c r="ED4" s="8" t="s">
        <v>3</v>
      </c>
      <c r="EE4" s="9" t="s">
        <v>4</v>
      </c>
      <c r="EF4" s="9" t="s">
        <v>66</v>
      </c>
      <c r="EG4" s="10" t="s">
        <v>5</v>
      </c>
      <c r="EH4" s="19"/>
      <c r="EI4" s="8" t="s">
        <v>3</v>
      </c>
      <c r="EJ4" s="9" t="s">
        <v>4</v>
      </c>
      <c r="EK4" s="9" t="s">
        <v>66</v>
      </c>
      <c r="EL4" s="10" t="s">
        <v>5</v>
      </c>
      <c r="EM4" s="19"/>
      <c r="EN4" s="34" t="s">
        <v>3</v>
      </c>
      <c r="EO4" s="9" t="s">
        <v>4</v>
      </c>
      <c r="EP4" s="9" t="s">
        <v>66</v>
      </c>
      <c r="EQ4" s="10" t="s">
        <v>5</v>
      </c>
      <c r="ER4" s="11"/>
      <c r="ES4" s="8" t="s">
        <v>3</v>
      </c>
      <c r="ET4" s="9" t="s">
        <v>4</v>
      </c>
      <c r="EU4" s="9" t="s">
        <v>66</v>
      </c>
      <c r="EV4" s="10" t="s">
        <v>5</v>
      </c>
      <c r="EW4" s="19"/>
      <c r="EX4" s="32" t="s">
        <v>3</v>
      </c>
      <c r="EY4" s="9" t="s">
        <v>4</v>
      </c>
      <c r="EZ4" s="9" t="s">
        <v>66</v>
      </c>
      <c r="FA4" s="10" t="s">
        <v>5</v>
      </c>
      <c r="FB4" s="19"/>
      <c r="FC4" s="8" t="s">
        <v>3</v>
      </c>
      <c r="FD4" s="9" t="s">
        <v>4</v>
      </c>
      <c r="FE4" s="9" t="s">
        <v>66</v>
      </c>
      <c r="FF4" s="10" t="s">
        <v>5</v>
      </c>
      <c r="FG4" s="19"/>
      <c r="FH4" s="8" t="s">
        <v>3</v>
      </c>
      <c r="FI4" s="9" t="s">
        <v>4</v>
      </c>
      <c r="FJ4" s="9" t="s">
        <v>66</v>
      </c>
      <c r="FK4" s="10" t="s">
        <v>5</v>
      </c>
      <c r="FL4" s="19"/>
      <c r="FM4" s="8" t="s">
        <v>3</v>
      </c>
      <c r="FN4" s="9" t="s">
        <v>4</v>
      </c>
      <c r="FO4" s="9" t="s">
        <v>66</v>
      </c>
      <c r="FP4" s="10" t="s">
        <v>5</v>
      </c>
      <c r="FQ4" s="19"/>
      <c r="FR4" s="32" t="s">
        <v>3</v>
      </c>
      <c r="FS4" s="9" t="s">
        <v>4</v>
      </c>
      <c r="FT4" s="9" t="s">
        <v>66</v>
      </c>
      <c r="FU4" s="10" t="s">
        <v>5</v>
      </c>
      <c r="FV4" s="19"/>
      <c r="FW4" s="8" t="s">
        <v>3</v>
      </c>
      <c r="FX4" s="9" t="s">
        <v>4</v>
      </c>
      <c r="FY4" s="9" t="s">
        <v>66</v>
      </c>
      <c r="FZ4" s="10" t="s">
        <v>5</v>
      </c>
      <c r="GA4" s="19"/>
      <c r="GB4" s="8" t="s">
        <v>3</v>
      </c>
      <c r="GC4" s="9" t="s">
        <v>4</v>
      </c>
      <c r="GD4" s="9" t="s">
        <v>66</v>
      </c>
      <c r="GE4" s="10" t="s">
        <v>5</v>
      </c>
      <c r="GF4" s="11"/>
      <c r="GG4" s="8" t="s">
        <v>3</v>
      </c>
      <c r="GH4" s="9" t="s">
        <v>4</v>
      </c>
      <c r="GI4" s="9" t="s">
        <v>66</v>
      </c>
      <c r="GJ4" s="10" t="s">
        <v>5</v>
      </c>
      <c r="GK4" s="35"/>
      <c r="GL4" s="34" t="s">
        <v>3</v>
      </c>
      <c r="GM4" s="9" t="s">
        <v>4</v>
      </c>
      <c r="GN4" s="9" t="s">
        <v>66</v>
      </c>
      <c r="GO4" s="10" t="s">
        <v>5</v>
      </c>
      <c r="GP4" s="11"/>
      <c r="GQ4" s="8" t="s">
        <v>3</v>
      </c>
      <c r="GR4" s="9" t="s">
        <v>4</v>
      </c>
      <c r="GS4" s="9" t="s">
        <v>66</v>
      </c>
      <c r="GT4" s="10" t="s">
        <v>5</v>
      </c>
      <c r="GU4" s="11"/>
      <c r="GV4" s="8" t="s">
        <v>3</v>
      </c>
      <c r="GW4" s="9" t="s">
        <v>4</v>
      </c>
      <c r="GX4" s="9" t="s">
        <v>66</v>
      </c>
      <c r="GY4" s="10" t="s">
        <v>5</v>
      </c>
      <c r="GZ4" s="19"/>
      <c r="HA4" s="8" t="s">
        <v>3</v>
      </c>
      <c r="HB4" s="9" t="s">
        <v>4</v>
      </c>
      <c r="HC4" s="9" t="s">
        <v>66</v>
      </c>
      <c r="HD4" s="10" t="s">
        <v>5</v>
      </c>
      <c r="HE4" s="11"/>
      <c r="HF4" s="8" t="s">
        <v>3</v>
      </c>
      <c r="HG4" s="9" t="s">
        <v>4</v>
      </c>
      <c r="HH4" s="9" t="s">
        <v>66</v>
      </c>
      <c r="HI4" s="10" t="s">
        <v>5</v>
      </c>
      <c r="HJ4" s="19"/>
      <c r="HK4" s="32" t="s">
        <v>3</v>
      </c>
      <c r="HL4" s="9" t="s">
        <v>4</v>
      </c>
      <c r="HM4" s="9" t="s">
        <v>66</v>
      </c>
      <c r="HN4" s="10" t="s">
        <v>5</v>
      </c>
      <c r="HO4" s="11"/>
      <c r="HP4" s="8" t="s">
        <v>3</v>
      </c>
      <c r="HQ4" s="9" t="s">
        <v>4</v>
      </c>
      <c r="HR4" s="9" t="s">
        <v>66</v>
      </c>
      <c r="HS4" s="10" t="s">
        <v>5</v>
      </c>
      <c r="HT4" s="19"/>
      <c r="HU4" s="32" t="s">
        <v>3</v>
      </c>
      <c r="HV4" s="9" t="s">
        <v>4</v>
      </c>
      <c r="HW4" s="9" t="s">
        <v>66</v>
      </c>
      <c r="HX4" s="10" t="s">
        <v>5</v>
      </c>
      <c r="HY4" s="11"/>
      <c r="HZ4" s="8" t="s">
        <v>3</v>
      </c>
      <c r="IA4" s="9" t="s">
        <v>4</v>
      </c>
      <c r="IB4" s="9" t="s">
        <v>66</v>
      </c>
      <c r="IC4" s="10" t="s">
        <v>5</v>
      </c>
      <c r="ID4" s="19"/>
      <c r="IE4" s="32" t="s">
        <v>3</v>
      </c>
      <c r="IF4" s="9" t="s">
        <v>4</v>
      </c>
      <c r="IG4" s="9" t="s">
        <v>66</v>
      </c>
      <c r="IH4" s="10" t="s">
        <v>5</v>
      </c>
      <c r="II4" s="35"/>
    </row>
    <row r="5" spans="1:243" x14ac:dyDescent="0.25">
      <c r="A5" s="5">
        <v>1</v>
      </c>
      <c r="B5" s="30">
        <v>45492</v>
      </c>
      <c r="C5" s="29" t="s">
        <v>39</v>
      </c>
      <c r="D5" s="52">
        <v>1159300039</v>
      </c>
      <c r="E5" s="53">
        <v>8141338</v>
      </c>
      <c r="F5" s="53">
        <f ca="1">INDIRECT("ZS(-1)",0) * 'Correction factor'!$C$13</f>
        <v>11290920.15682669</v>
      </c>
      <c r="G5" s="53">
        <f t="shared" ref="G5:G38" ca="1" si="0">INDIRECT("ZS(-1)",0) + INDIRECT("ZS(-3)",0)</f>
        <v>1170590959.1568267</v>
      </c>
      <c r="H5" s="53">
        <f t="shared" ref="H5:H38" ca="1" si="1">INDIRECT("ZS(-1)",0) / INDIRECT("Z6S(-1)",0)</f>
        <v>0.84662681172359622</v>
      </c>
      <c r="I5" s="53">
        <v>1309688332</v>
      </c>
      <c r="J5" s="53">
        <v>9235404</v>
      </c>
      <c r="K5" s="53">
        <f ca="1">INDIRECT("ZS(-1)",0) * 'Correction factor'!$C$13</f>
        <v>12808239.773368683</v>
      </c>
      <c r="L5" s="53">
        <f t="shared" ref="L5:L38" ca="1" si="2">INDIRECT("ZS(-1)",0) + INDIRECT("ZS(-3)",0)</f>
        <v>1322496571.7733686</v>
      </c>
      <c r="M5" s="53">
        <f t="shared" ref="M5:M38" ca="1" si="3">INDIRECT("ZS(-1)",0) / INDIRECT("Z6S(-1)",0)</f>
        <v>0.86690106344697315</v>
      </c>
      <c r="N5" s="53">
        <v>1056157805</v>
      </c>
      <c r="O5" s="53">
        <v>7237061</v>
      </c>
      <c r="P5" s="53">
        <f ca="1">INDIRECT("ZS(-1)",0) * 'Correction factor'!$C$13</f>
        <v>10036811.875527624</v>
      </c>
      <c r="Q5" s="53">
        <f t="shared" ref="Q5:Q38" ca="1" si="4">INDIRECT("ZS(-1)",0) + INDIRECT("ZS(-3)",0)</f>
        <v>1066194616.8755276</v>
      </c>
      <c r="R5" s="53">
        <f t="shared" ref="R5:R38" ca="1" si="5">INDIRECT("ZS(-1)",0) / INDIRECT("Z6S(-1)",0)</f>
        <v>0.8300362548775988</v>
      </c>
      <c r="S5" s="53">
        <v>1237492985</v>
      </c>
      <c r="T5" s="53">
        <v>6991024</v>
      </c>
      <c r="U5" s="53">
        <f ca="1">INDIRECT("ZS(-1)",0) * 'Correction factor'!$C$13</f>
        <v>9695592.2722357381</v>
      </c>
      <c r="V5" s="53">
        <f t="shared" ref="V5:V38" ca="1" si="6">INDIRECT("ZS(-1)",0) + INDIRECT("ZS(-3)",0)</f>
        <v>1247188577.2722356</v>
      </c>
      <c r="W5" s="53">
        <f t="shared" ref="W5:W38" ca="1" si="7">INDIRECT("ZS(-1)",0) / INDIRECT("Z6S(-1)",0)</f>
        <v>0.85139397402247308</v>
      </c>
      <c r="X5" s="53">
        <v>1177989337</v>
      </c>
      <c r="Y5" s="53">
        <v>7897495</v>
      </c>
      <c r="Z5" s="53">
        <f ca="1">INDIRECT("ZS(-1)",0) * 'Correction factor'!$C$13</f>
        <v>10952743.330879765</v>
      </c>
      <c r="AA5" s="53">
        <f t="shared" ref="AA5:AA38" ca="1" si="8">INDIRECT("ZS(-1)",0) + INDIRECT("ZS(-3)",0)</f>
        <v>1188942080.3308797</v>
      </c>
      <c r="AB5" s="53">
        <f t="shared" ref="AB5:AB38" ca="1" si="9">INDIRECT("ZS(-1)",0) / INDIRECT("Z6S(-1)",0)</f>
        <v>0.82920308923579678</v>
      </c>
      <c r="AC5" s="53">
        <v>1101287616</v>
      </c>
      <c r="AD5" s="53">
        <v>10198352</v>
      </c>
      <c r="AE5" s="53">
        <f ca="1">INDIRECT("ZS(-1)",0) * 'Correction factor'!$C$13</f>
        <v>14143716.691680629</v>
      </c>
      <c r="AF5" s="53">
        <f t="shared" ref="AF5:AF38" ca="1" si="10">INDIRECT("ZS(-1)",0) + INDIRECT("ZS(-3)",0)</f>
        <v>1115431332.6916807</v>
      </c>
      <c r="AG5" s="53">
        <f t="shared" ref="AG5:AG38" ca="1" si="11">INDIRECT("ZS(-1)",0) / INDIRECT("Z6S(-1)",0)</f>
        <v>0.71958050246272443</v>
      </c>
      <c r="AH5" s="53">
        <v>1302457871</v>
      </c>
      <c r="AI5" s="53">
        <v>8575971</v>
      </c>
      <c r="AJ5" s="53">
        <f ca="1">INDIRECT("ZS(-1)",0) * 'Correction factor'!$C$13</f>
        <v>11893696.567844395</v>
      </c>
      <c r="AK5" s="53">
        <f t="shared" ref="AK5:AK38" ca="1" si="12">INDIRECT("ZS(-1)",0) + INDIRECT("ZS(-3)",0)</f>
        <v>1314351567.5678444</v>
      </c>
      <c r="AL5" s="53">
        <f t="shared" ref="AL5:AL38" ca="1" si="13">INDIRECT("ZS(-1)",0) / INDIRECT("Z6S(-1)",0)</f>
        <v>0.74594188059108446</v>
      </c>
      <c r="AM5" s="53">
        <v>1216740256</v>
      </c>
      <c r="AN5" s="53">
        <v>13156257</v>
      </c>
      <c r="AO5" s="53">
        <f ca="1">INDIRECT("ZS(-1)",0) * 'Correction factor'!$C$13</f>
        <v>18245925.589834526</v>
      </c>
      <c r="AP5" s="53">
        <f t="shared" ref="AP5:AP38" ca="1" si="14">INDIRECT("ZS(-1)",0) + INDIRECT("ZS(-3)",0)</f>
        <v>1234986181.5898345</v>
      </c>
      <c r="AQ5" s="53">
        <f t="shared" ref="AQ5:AQ38" ca="1" si="15">INDIRECT("ZS(-1)",0) / INDIRECT("Z6S(-1)",0)</f>
        <v>0.80201651763308934</v>
      </c>
      <c r="AR5" s="53">
        <v>1106458840</v>
      </c>
      <c r="AS5" s="53">
        <v>7324191</v>
      </c>
      <c r="AT5" s="53">
        <f ca="1">INDIRECT("ZS(-1)",0) * 'Correction factor'!$C$13</f>
        <v>10157649.245658224</v>
      </c>
      <c r="AU5" s="53">
        <f t="shared" ref="AU5:AU38" ca="1" si="16">INDIRECT("ZS(-1)",0) + INDIRECT("ZS(-3)",0)</f>
        <v>1116616489.2456582</v>
      </c>
      <c r="AV5" s="53">
        <f t="shared" ref="AV5:AV38" ca="1" si="17">INDIRECT("ZS(-1)",0) / INDIRECT("Z6S(-1)",0)</f>
        <v>0.79908029187557794</v>
      </c>
      <c r="AW5" s="53">
        <v>1172890722</v>
      </c>
      <c r="AX5" s="53">
        <v>10747573</v>
      </c>
      <c r="AY5" s="53">
        <f ca="1">INDIRECT("ZS(-1)",0) * 'Correction factor'!$C$13</f>
        <v>14905410.956118798</v>
      </c>
      <c r="AZ5" s="53">
        <f t="shared" ref="AZ5:AZ38" ca="1" si="18">INDIRECT("ZS(-1)",0) + INDIRECT("ZS(-3)",0)</f>
        <v>1187796132.9561188</v>
      </c>
      <c r="BA5" s="53">
        <f t="shared" ref="BA5:BA38" ca="1" si="19">INDIRECT("ZS(-1)",0) / INDIRECT("Z6S(-1)",0)</f>
        <v>0.81606599704910643</v>
      </c>
      <c r="BB5" s="53">
        <v>1176451019</v>
      </c>
      <c r="BC5" s="53">
        <v>7932972</v>
      </c>
      <c r="BD5" s="53">
        <f ca="1">INDIRECT("ZS(-1)",0) * 'Correction factor'!$C$13</f>
        <v>11001945.068285059</v>
      </c>
      <c r="BE5" s="53">
        <f t="shared" ref="BE5:BE38" ca="1" si="20">INDIRECT("ZS(-1)",0) + INDIRECT("ZS(-3)",0)</f>
        <v>1187452964.068285</v>
      </c>
      <c r="BF5" s="53">
        <f t="shared" ref="BF5:BF38" ca="1" si="21">INDIRECT("ZS(-1)",0) / INDIRECT("Z6S(-1)",0)</f>
        <v>0.80600447036088507</v>
      </c>
      <c r="BG5" s="53">
        <v>1274891314</v>
      </c>
      <c r="BH5" s="53">
        <v>8683776</v>
      </c>
      <c r="BI5" s="53">
        <f ca="1">INDIRECT("ZS(-1)",0) * 'Correction factor'!$C$13</f>
        <v>12043207.329774031</v>
      </c>
      <c r="BJ5" s="53">
        <f t="shared" ref="BJ5:BJ38" ca="1" si="22">INDIRECT("ZS(-1)",0) + INDIRECT("ZS(-3)",0)</f>
        <v>1286934521.3297741</v>
      </c>
      <c r="BK5" s="53">
        <f t="shared" ref="BK5:BK38" ca="1" si="23">INDIRECT("ZS(-1)",0) / INDIRECT("Z6S(-1)",0)</f>
        <v>0.7838685874271889</v>
      </c>
      <c r="BL5" s="53">
        <v>24898417</v>
      </c>
      <c r="BM5" s="53">
        <v>99696349</v>
      </c>
      <c r="BN5" s="53">
        <f ca="1">INDIRECT("ZS(-1)",0) * 'Correction factor'!$C$13</f>
        <v>138265174.16254288</v>
      </c>
      <c r="BO5" s="53">
        <f t="shared" ref="BO5:BO38" ca="1" si="24">INDIRECT("ZS(-1)",0) + INDIRECT("ZS(-3)",0)</f>
        <v>163163591.16254288</v>
      </c>
      <c r="BP5" s="53">
        <f t="shared" ref="BP5:BP38" ca="1" si="25">INDIRECT("ZS(-1)",0) / INDIRECT("Z6S(-1)",0)</f>
        <v>0.78253736105273863</v>
      </c>
      <c r="BQ5" s="53">
        <v>14730104</v>
      </c>
      <c r="BR5" s="53">
        <v>90891739</v>
      </c>
      <c r="BS5" s="53">
        <f ca="1">INDIRECT("ZS(-1)",0) * 'Correction factor'!$C$13</f>
        <v>126054386.63326968</v>
      </c>
      <c r="BT5" s="53">
        <f t="shared" ref="BT5:BT38" ca="1" si="26">INDIRECT("ZS(-1)",0) + INDIRECT("ZS(-3)",0)</f>
        <v>140784490.63326967</v>
      </c>
      <c r="BU5" s="53">
        <f t="shared" ref="BU5:BU38" ca="1" si="27">INDIRECT("ZS(-1)",0) / INDIRECT("Z6S(-1)",0)</f>
        <v>0.82652597263245919</v>
      </c>
      <c r="BV5" s="53">
        <v>16438772</v>
      </c>
      <c r="BW5" s="53">
        <v>84685348</v>
      </c>
      <c r="BX5" s="53">
        <f ca="1">INDIRECT("ZS(-1)",0) * 'Correction factor'!$C$13</f>
        <v>117446972.80976208</v>
      </c>
      <c r="BY5" s="53">
        <f t="shared" ref="BY5:BY38" ca="1" si="28">INDIRECT("ZS(-1)",0) + INDIRECT("ZS(-3)",0)</f>
        <v>133885744.80976208</v>
      </c>
      <c r="BZ5" s="53">
        <f t="shared" ref="BZ5:BZ38" ca="1" si="29">INDIRECT("ZS(-1)",0) / INDIRECT("Z6S(-1)",0)</f>
        <v>0.85211896715198765</v>
      </c>
      <c r="CA5" s="53">
        <v>11942616</v>
      </c>
      <c r="CB5" s="53">
        <v>98347705</v>
      </c>
      <c r="CC5" s="53">
        <f ca="1">INDIRECT("ZS(-1)",0) * 'Correction factor'!$C$13</f>
        <v>136394789.74612588</v>
      </c>
      <c r="CD5" s="53">
        <f t="shared" ref="CD5:CD38" ca="1" si="30">INDIRECT("ZS(-1)",0) + INDIRECT("ZS(-3)",0)</f>
        <v>148337405.74612588</v>
      </c>
      <c r="CE5" s="53">
        <f t="shared" ref="CE5:CE38" ca="1" si="31">INDIRECT("ZS(-1)",0) / INDIRECT("Z6S(-1)",0)</f>
        <v>0.83962700511165955</v>
      </c>
      <c r="CF5" s="53">
        <v>19521800</v>
      </c>
      <c r="CG5" s="53">
        <v>70507177</v>
      </c>
      <c r="CH5" s="53">
        <f ca="1">INDIRECT("ZS(-1)",0) * 'Correction factor'!$C$13</f>
        <v>97783792.54002808</v>
      </c>
      <c r="CI5" s="53">
        <f t="shared" ref="CI5:CI38" ca="1" si="32">INDIRECT("ZS(-1)",0) + INDIRECT("ZS(-3)",0)</f>
        <v>117305592.54002808</v>
      </c>
      <c r="CJ5" s="53">
        <f t="shared" ref="CJ5:CJ38" ca="1" si="33">INDIRECT("ZS(-1)",0) / INDIRECT("Z6S(-1)",0)</f>
        <v>0.85216092734196891</v>
      </c>
      <c r="CK5" s="53">
        <v>12300134</v>
      </c>
      <c r="CL5" s="53">
        <v>74334687</v>
      </c>
      <c r="CM5" s="53">
        <f ca="1">INDIRECT("ZS(-1)",0) * 'Correction factor'!$C$13</f>
        <v>103092024.4067625</v>
      </c>
      <c r="CN5" s="53">
        <f t="shared" ref="CN5:CN38" ca="1" si="34">INDIRECT("ZS(-1)",0) + INDIRECT("ZS(-3)",0)</f>
        <v>115392158.4067625</v>
      </c>
      <c r="CO5" s="53">
        <f t="shared" ref="CO5:CO38" ca="1" si="35">INDIRECT("ZS(-1)",0) / INDIRECT("Z6S(-1)",0)</f>
        <v>0.82425206649411187</v>
      </c>
      <c r="CP5" s="53">
        <v>1213655883</v>
      </c>
      <c r="CQ5" s="53">
        <v>7404181</v>
      </c>
      <c r="CR5" s="53">
        <f ca="1">INDIRECT("ZS(-1)",0) * 'Correction factor'!$C$13</f>
        <v>10268584.41421953</v>
      </c>
      <c r="CS5" s="53">
        <f t="shared" ref="CS5:CS38" ca="1" si="36">INDIRECT("ZS(-1)",0) + INDIRECT("ZS(-3)",0)</f>
        <v>1223924467.4142196</v>
      </c>
      <c r="CT5" s="53">
        <f t="shared" ref="CT5:CT38" ca="1" si="37">INDIRECT("ZS(-1)",0) / INDIRECT("Z6S(-1)",0)</f>
        <v>0.83377384711549229</v>
      </c>
      <c r="CU5" s="53">
        <v>1043841178</v>
      </c>
      <c r="CV5" s="53">
        <v>7583144</v>
      </c>
      <c r="CW5" s="53">
        <f ca="1">INDIRECT("ZS(-1)",0) * 'Correction factor'!$C$13</f>
        <v>10516781.57100459</v>
      </c>
      <c r="CX5" s="53">
        <f t="shared" ref="CX5:CX38" ca="1" si="38">INDIRECT("ZS(-1)",0) + INDIRECT("ZS(-3)",0)</f>
        <v>1054357959.5710046</v>
      </c>
      <c r="CY5" s="53">
        <f t="shared" ref="CY5:CY38" ca="1" si="39">INDIRECT("ZS(-1)",0) / INDIRECT("Z6S(-1)",0)</f>
        <v>0.80670717246984569</v>
      </c>
      <c r="CZ5" s="53">
        <v>1234053743</v>
      </c>
      <c r="DA5" s="53">
        <v>8244930</v>
      </c>
      <c r="DB5" s="53">
        <f ca="1">INDIRECT("ZS(-1)",0) * 'Correction factor'!$C$13</f>
        <v>11434588.065085258</v>
      </c>
      <c r="DC5" s="53">
        <f t="shared" ref="DC5:DC38" ca="1" si="40">INDIRECT("ZS(-1)",0) + INDIRECT("ZS(-3)",0)</f>
        <v>1245488331.0650852</v>
      </c>
      <c r="DD5" s="53">
        <f t="shared" ref="DD5:DD38" ca="1" si="41">INDIRECT("ZS(-1)",0) / INDIRECT("Z6S(-1)",0)</f>
        <v>0.81749254805811478</v>
      </c>
      <c r="DE5" s="53">
        <v>1090332111</v>
      </c>
      <c r="DF5" s="53">
        <v>11132442</v>
      </c>
      <c r="DG5" s="53">
        <f ca="1">INDIRECT("ZS(-1)",0) * 'Correction factor'!$C$13</f>
        <v>15439171.518551867</v>
      </c>
      <c r="DH5" s="53">
        <f t="shared" ref="DH5:DH38" ca="1" si="42">INDIRECT("ZS(-1)",0) + INDIRECT("ZS(-3)",0)</f>
        <v>1105771282.5185518</v>
      </c>
      <c r="DI5" s="53">
        <f t="shared" ref="DI5:DI38" ca="1" si="43">INDIRECT("ZS(-1)",0) / INDIRECT("Z6S(-1)",0)</f>
        <v>0.80515363749617019</v>
      </c>
      <c r="DJ5" s="53">
        <v>950964939</v>
      </c>
      <c r="DK5" s="53">
        <v>8623505</v>
      </c>
      <c r="DL5" s="53">
        <f ca="1">INDIRECT("ZS(-1)",0) * 'Correction factor'!$C$13</f>
        <v>11959619.712017329</v>
      </c>
      <c r="DM5" s="53">
        <f t="shared" ref="DM5:DM38" ca="1" si="44">INDIRECT("ZS(-1)",0) + INDIRECT("ZS(-3)",0)</f>
        <v>962924558.7120173</v>
      </c>
      <c r="DN5" s="53">
        <f t="shared" ref="DN5:DN38" ca="1" si="45">INDIRECT("ZS(-1)",0) / INDIRECT("Z6S(-1)",0)</f>
        <v>0.79368119800299053</v>
      </c>
      <c r="DO5" s="53">
        <v>1114730374</v>
      </c>
      <c r="DP5" s="53">
        <v>9059902</v>
      </c>
      <c r="DQ5" s="53">
        <f ca="1">INDIRECT("ZS(-1)",0) * 'Correction factor'!$C$13</f>
        <v>12564842.549305094</v>
      </c>
      <c r="DR5" s="53">
        <f t="shared" ref="DR5:DR38" ca="1" si="46">INDIRECT("ZS(-1)",0) + INDIRECT("ZS(-3)",0)</f>
        <v>1127295216.5493052</v>
      </c>
      <c r="DS5" s="53">
        <f t="shared" ref="DS5:DS38" ca="1" si="47">INDIRECT("ZS(-1)",0) / INDIRECT("Z6S(-1)",0)</f>
        <v>0.84930332969410205</v>
      </c>
      <c r="DT5" s="53">
        <v>1122586898</v>
      </c>
      <c r="DU5" s="53">
        <v>10270853</v>
      </c>
      <c r="DV5" s="53">
        <f ca="1">INDIRECT("ZS(-1)",0) * 'Correction factor'!$C$13</f>
        <v>14244265.643497897</v>
      </c>
      <c r="DW5" s="53">
        <f t="shared" ref="DW5:DW38" ca="1" si="48">INDIRECT("ZS(-1)",0) + INDIRECT("ZS(-3)",0)</f>
        <v>1136831163.6434979</v>
      </c>
      <c r="DX5" s="53">
        <f t="shared" ref="DX5:DX38" ca="1" si="49">INDIRECT("ZS(-1)",0) / INDIRECT("Z6S(-1)",0)</f>
        <v>0.83713378606236422</v>
      </c>
      <c r="DY5" s="53">
        <v>1175857738</v>
      </c>
      <c r="DZ5" s="53">
        <v>10432623</v>
      </c>
      <c r="EA5" s="53">
        <f ca="1">INDIRECT("ZS(-1)",0) * 'Correction factor'!$C$13</f>
        <v>14468618.465327656</v>
      </c>
      <c r="EB5" s="53">
        <f t="shared" ref="EB5:EB38" ca="1" si="50">INDIRECT("ZS(-1)",0) + INDIRECT("ZS(-3)",0)</f>
        <v>1190326356.4653277</v>
      </c>
      <c r="EC5" s="53">
        <f t="shared" ref="EC5:EC38" ca="1" si="51">INDIRECT("ZS(-1)",0) / INDIRECT("Z6S(-1)",0)</f>
        <v>0.84179896238735219</v>
      </c>
      <c r="ED5" s="53">
        <v>1098101432</v>
      </c>
      <c r="EE5" s="53">
        <v>11588447</v>
      </c>
      <c r="EF5" s="53">
        <f ca="1">INDIRECT("ZS(-1)",0) * 'Correction factor'!$C$13</f>
        <v>16071587.964855136</v>
      </c>
      <c r="EG5" s="53">
        <f t="shared" ref="EG5:EG38" ca="1" si="52">INDIRECT("ZS(-1)",0) + INDIRECT("ZS(-3)",0)</f>
        <v>1114173019.9648552</v>
      </c>
      <c r="EH5" s="53">
        <f t="shared" ref="EH5:EH38" ca="1" si="53">INDIRECT("ZS(-1)",0) / INDIRECT("Z6S(-1)",0)</f>
        <v>0.85180351069297966</v>
      </c>
      <c r="EI5" s="53">
        <v>1080733154</v>
      </c>
      <c r="EJ5" s="53">
        <v>12223988</v>
      </c>
      <c r="EK5" s="53">
        <f ca="1">INDIRECT("ZS(-1)",0) * 'Correction factor'!$C$13</f>
        <v>16952996.240422346</v>
      </c>
      <c r="EL5" s="53">
        <f t="shared" ref="EL5:EL38" ca="1" si="54">INDIRECT("ZS(-1)",0) + INDIRECT("ZS(-3)",0)</f>
        <v>1097686150.2404222</v>
      </c>
      <c r="EM5" s="53">
        <f t="shared" ref="EM5:EM38" ca="1" si="55">INDIRECT("ZS(-1)",0) / INDIRECT("Z6S(-1)",0)</f>
        <v>0.8340807553577646</v>
      </c>
      <c r="EN5" s="53">
        <v>1208781725</v>
      </c>
      <c r="EO5" s="53">
        <v>9348307</v>
      </c>
      <c r="EP5" s="53">
        <f ca="1">INDIRECT("ZS(-1)",0) * 'Correction factor'!$C$13</f>
        <v>12964820.762693312</v>
      </c>
      <c r="EQ5" s="53">
        <f t="shared" ref="EQ5:EQ38" ca="1" si="56">INDIRECT("ZS(-1)",0) + INDIRECT("ZS(-3)",0)</f>
        <v>1221746545.7626934</v>
      </c>
      <c r="ER5" s="53">
        <f t="shared" ref="ER5:ER38" ca="1" si="57">INDIRECT("ZS(-1)",0) / INDIRECT("Z6S(-1)",0)</f>
        <v>0.83068615569999771</v>
      </c>
      <c r="ES5" s="53">
        <v>1221034822</v>
      </c>
      <c r="ET5" s="53">
        <v>7891486</v>
      </c>
      <c r="EU5" s="53">
        <f ca="1">INDIRECT("ZS(-1)",0) * 'Correction factor'!$C$13</f>
        <v>10944409.671323759</v>
      </c>
      <c r="EV5" s="53">
        <f t="shared" ref="EV5:EV38" ca="1" si="58">INDIRECT("ZS(-1)",0) + INDIRECT("ZS(-3)",0)</f>
        <v>1231979231.6713238</v>
      </c>
      <c r="EW5" s="53">
        <f t="shared" ref="EW5:EW38" ca="1" si="59">INDIRECT("ZS(-1)",0) / INDIRECT("Z6S(-1)",0)</f>
        <v>0.84213489553449306</v>
      </c>
      <c r="EX5" s="53">
        <v>1140959184</v>
      </c>
      <c r="EY5" s="53">
        <v>7987613</v>
      </c>
      <c r="EZ5" s="53">
        <f ca="1">INDIRECT("ZS(-1)",0) * 'Correction factor'!$C$13</f>
        <v>11077724.647549445</v>
      </c>
      <c r="FA5" s="53">
        <f t="shared" ref="FA5:FA38" ca="1" si="60">INDIRECT("ZS(-1)",0) + INDIRECT("ZS(-3)",0)</f>
        <v>1152036908.6475494</v>
      </c>
      <c r="FB5" s="53">
        <f t="shared" ref="FB5:FB38" ca="1" si="61">INDIRECT("ZS(-1)",0) / INDIRECT("Z6S(-1)",0)</f>
        <v>0.82136745164770708</v>
      </c>
      <c r="FC5" s="53">
        <v>1093988652</v>
      </c>
      <c r="FD5" s="53">
        <v>9985159</v>
      </c>
      <c r="FE5" s="53">
        <f ca="1">INDIRECT("ZS(-1)",0) * 'Correction factor'!$C$13</f>
        <v>13848047.215607489</v>
      </c>
      <c r="FF5" s="53">
        <f t="shared" ref="FF5:FF38" ca="1" si="62">INDIRECT("ZS(-1)",0) + INDIRECT("ZS(-3)",0)</f>
        <v>1107836699.2156074</v>
      </c>
      <c r="FG5" s="53">
        <f t="shared" ref="FG5:FG38" ca="1" si="63">INDIRECT("ZS(-1)",0) / INDIRECT("Z6S(-1)",0)</f>
        <v>0.85496700398597303</v>
      </c>
      <c r="FH5" s="53">
        <v>1485331872</v>
      </c>
      <c r="FI5" s="53">
        <v>11084726</v>
      </c>
      <c r="FJ5" s="53">
        <f ca="1">INDIRECT("ZS(-1)",0) * 'Correction factor'!$C$13</f>
        <v>15372995.965319322</v>
      </c>
      <c r="FK5" s="53">
        <f t="shared" ref="FK5:FK38" ca="1" si="64">INDIRECT("ZS(-1)",0) + INDIRECT("ZS(-3)",0)</f>
        <v>1500704867.9653194</v>
      </c>
      <c r="FL5" s="53">
        <f t="shared" ref="FL5:FL38" ca="1" si="65">INDIRECT("ZS(-1)",0) / INDIRECT("Z6S(-1)",0)</f>
        <v>0.84542063053212746</v>
      </c>
      <c r="FM5" s="53">
        <v>1121039696</v>
      </c>
      <c r="FN5" s="53">
        <v>8031275</v>
      </c>
      <c r="FO5" s="53">
        <f ca="1">INDIRECT("ZS(-1)",0) * 'Correction factor'!$C$13</f>
        <v>11138277.858322339</v>
      </c>
      <c r="FP5" s="53">
        <f t="shared" ref="FP5:FP38" ca="1" si="66">INDIRECT("ZS(-1)",0) + INDIRECT("ZS(-3)",0)</f>
        <v>1132177973.8583224</v>
      </c>
      <c r="FQ5" s="53">
        <f t="shared" ref="FQ5:FQ38" ca="1" si="67">INDIRECT("ZS(-1)",0) / INDIRECT("Z6S(-1)",0)</f>
        <v>0.80012339131164811</v>
      </c>
      <c r="FR5" s="53">
        <v>1200588868</v>
      </c>
      <c r="FS5" s="53">
        <v>8039373</v>
      </c>
      <c r="FT5" s="53">
        <f ca="1">INDIRECT("ZS(-1)",0) * 'Correction factor'!$C$13</f>
        <v>11149508.674611993</v>
      </c>
      <c r="FU5" s="53">
        <f t="shared" ref="FU5:FU38" ca="1" si="68">INDIRECT("ZS(-1)",0) + INDIRECT("ZS(-3)",0)</f>
        <v>1211738376.674612</v>
      </c>
      <c r="FV5" s="53">
        <f t="shared" ref="FV5:FV38" ca="1" si="69">INDIRECT("ZS(-1)",0) / INDIRECT("Z6S(-1)",0)</f>
        <v>0.84531432541436557</v>
      </c>
      <c r="FW5" s="53">
        <v>1039372058</v>
      </c>
      <c r="FX5" s="53">
        <v>11087867</v>
      </c>
      <c r="FY5" s="53">
        <f ca="1">INDIRECT("ZS(-1)",0) * 'Correction factor'!$C$13</f>
        <v>15377352.101892034</v>
      </c>
      <c r="FZ5" s="53">
        <f t="shared" ref="FZ5:FZ38" ca="1" si="70">INDIRECT("ZS(-1)",0) + INDIRECT("ZS(-3)",0)</f>
        <v>1054749410.101892</v>
      </c>
      <c r="GA5" s="53">
        <f t="shared" ref="GA5:GA38" ca="1" si="71">INDIRECT("ZS(-1)",0) / INDIRECT("Z6S(-1)",0)</f>
        <v>0.84643553043181075</v>
      </c>
      <c r="GB5" s="53">
        <v>1173907040</v>
      </c>
      <c r="GC5" s="53">
        <v>7926037</v>
      </c>
      <c r="GD5" s="53">
        <f ca="1">INDIRECT("ZS(-1)",0) * 'Correction factor'!$C$13</f>
        <v>10992327.173623567</v>
      </c>
      <c r="GE5" s="53">
        <f t="shared" ref="GE5:GE38" ca="1" si="72">INDIRECT("ZS(-1)",0) + INDIRECT("ZS(-3)",0)</f>
        <v>1184899367.1736236</v>
      </c>
      <c r="GF5" s="53">
        <f t="shared" ref="GF5:GF38" ca="1" si="73">INDIRECT("ZS(-1)",0) / INDIRECT("Z6S(-1)",0)</f>
        <v>0.82628396533561199</v>
      </c>
      <c r="GG5" s="53">
        <v>1165681755</v>
      </c>
      <c r="GH5" s="53">
        <v>9851387</v>
      </c>
      <c r="GI5" s="53">
        <f ca="1">INDIRECT("ZS(-1)",0) * 'Correction factor'!$C$13</f>
        <v>13662523.783068633</v>
      </c>
      <c r="GJ5" s="53">
        <f t="shared" ref="GJ5:GJ38" ca="1" si="74">INDIRECT("ZS(-1)",0) + INDIRECT("ZS(-3)",0)</f>
        <v>1179344278.7830687</v>
      </c>
      <c r="GK5" s="53">
        <f t="shared" ref="GK5:GK38" ca="1" si="75">INDIRECT("ZS(-1)",0) / INDIRECT("Z6S(-1)",0)</f>
        <v>0.82235169098893535</v>
      </c>
      <c r="GL5" s="53">
        <v>1194933820</v>
      </c>
      <c r="GM5" s="53">
        <v>8446852</v>
      </c>
      <c r="GN5" s="53">
        <f ca="1">INDIRECT("ZS(-1)",0) * 'Correction factor'!$C$13</f>
        <v>11714626.208681159</v>
      </c>
      <c r="GO5" s="53">
        <f t="shared" ref="GO5:GO38" ca="1" si="76">INDIRECT("ZS(-1)",0) + INDIRECT("ZS(-3)",0)</f>
        <v>1206648446.2086811</v>
      </c>
      <c r="GP5" s="53">
        <f t="shared" ref="GP5:GP38" ca="1" si="77">INDIRECT("ZS(-1)",0) / INDIRECT("Z6S(-1)",0)</f>
        <v>0.83240873536623705</v>
      </c>
      <c r="GQ5" s="53">
        <v>849348495</v>
      </c>
      <c r="GR5" s="53">
        <v>7993136</v>
      </c>
      <c r="GS5" s="53">
        <f ca="1">INDIRECT("ZS(-1)",0) * 'Correction factor'!$C$13</f>
        <v>11085384.291704517</v>
      </c>
      <c r="GT5" s="53">
        <f t="shared" ref="GT5:GT38" ca="1" si="78">INDIRECT("ZS(-1)",0) + INDIRECT("ZS(-3)",0)</f>
        <v>860433879.29170454</v>
      </c>
      <c r="GU5" s="53">
        <f t="shared" ref="GU5:GU38" ca="1" si="79">INDIRECT("ZS(-1)",0) / INDIRECT("Z6S(-1)",0)</f>
        <v>0.89217014980482423</v>
      </c>
      <c r="GV5" s="53">
        <v>1125288715</v>
      </c>
      <c r="GW5" s="53">
        <v>9778502</v>
      </c>
      <c r="GX5" s="53">
        <f ca="1">INDIRECT("ZS(-1)",0) * 'Correction factor'!$C$13</f>
        <v>13561442.275872849</v>
      </c>
      <c r="GY5" s="53">
        <f t="shared" ref="GY5:GY38" ca="1" si="80">INDIRECT("ZS(-1)",0) + INDIRECT("ZS(-3)",0)</f>
        <v>1138850157.2758729</v>
      </c>
      <c r="GZ5" s="53">
        <f t="shared" ref="GZ5:GZ38" ca="1" si="81">INDIRECT("ZS(-1)",0) / INDIRECT("Z6S(-1)",0)</f>
        <v>0.8084770429575372</v>
      </c>
      <c r="HA5" s="53">
        <v>1117686011</v>
      </c>
      <c r="HB5" s="53">
        <v>8690479</v>
      </c>
      <c r="HC5" s="53">
        <f ca="1">INDIRECT("ZS(-1)",0) * 'Correction factor'!$C$13</f>
        <v>12052503.472227668</v>
      </c>
      <c r="HD5" s="53">
        <f t="shared" ref="HD5:HD38" ca="1" si="82">INDIRECT("ZS(-1)",0) + INDIRECT("ZS(-3)",0)</f>
        <v>1129738514.4722276</v>
      </c>
      <c r="HE5" s="53">
        <f t="shared" ref="HE5:HE38" ca="1" si="83">INDIRECT("ZS(-1)",0) / INDIRECT("Z6S(-1)",0)</f>
        <v>0.82739394538392586</v>
      </c>
      <c r="HF5" s="53">
        <v>1104006144</v>
      </c>
      <c r="HG5" s="53">
        <v>10593841</v>
      </c>
      <c r="HH5" s="53">
        <f ca="1">INDIRECT("ZS(-1)",0) * 'Correction factor'!$C$13</f>
        <v>14692205.738800799</v>
      </c>
      <c r="HI5" s="53">
        <f t="shared" ref="HI5:HI38" ca="1" si="84">INDIRECT("ZS(-1)",0) + INDIRECT("ZS(-3)",0)</f>
        <v>1118698349.7388008</v>
      </c>
      <c r="HJ5" s="53">
        <f t="shared" ref="HJ5:HJ38" ca="1" si="85">INDIRECT("ZS(-1)",0) / INDIRECT("Z6S(-1)",0)</f>
        <v>0.82406669423969936</v>
      </c>
      <c r="HK5" s="53">
        <v>1084579963</v>
      </c>
      <c r="HL5" s="53">
        <v>12404759</v>
      </c>
      <c r="HM5" s="53">
        <f ca="1">INDIRECT("ZS(-1)",0) * 'Correction factor'!$C$13</f>
        <v>17203700.84544792</v>
      </c>
      <c r="HN5" s="53">
        <f t="shared" ref="HN5:HN38" ca="1" si="86">INDIRECT("ZS(-1)",0) + INDIRECT("ZS(-3)",0)</f>
        <v>1101783663.845448</v>
      </c>
      <c r="HO5" s="53">
        <f t="shared" ref="HO5:HO38" ca="1" si="87">INDIRECT("ZS(-1)",0) / INDIRECT("Z6S(-1)",0)</f>
        <v>0.82021655970451601</v>
      </c>
      <c r="HP5" s="53">
        <v>1273183380</v>
      </c>
      <c r="HQ5" s="53">
        <v>8519612</v>
      </c>
      <c r="HR5" s="53">
        <f ca="1">INDIRECT("ZS(-1)",0) * 'Correction factor'!$C$13</f>
        <v>11815534.358006332</v>
      </c>
      <c r="HS5" s="53">
        <f t="shared" ref="HS5:HS38" ca="1" si="88">INDIRECT("ZS(-1)",0) + INDIRECT("ZS(-3)",0)</f>
        <v>1284998914.3580062</v>
      </c>
      <c r="HT5" s="53">
        <f t="shared" ref="HT5:HT38" ca="1" si="89">INDIRECT("ZS(-1)",0) / INDIRECT("Z6S(-1)",0)</f>
        <v>0.83305510511271508</v>
      </c>
      <c r="HU5" s="53">
        <v>1077042576</v>
      </c>
      <c r="HV5" s="53">
        <v>9025382</v>
      </c>
      <c r="HW5" s="53">
        <f ca="1">INDIRECT("ZS(-1)",0) * 'Correction factor'!$C$13</f>
        <v>12516968.039757198</v>
      </c>
      <c r="HX5" s="53">
        <f t="shared" ref="HX5:HX38" ca="1" si="90">INDIRECT("ZS(-1)",0) + INDIRECT("ZS(-3)",0)</f>
        <v>1089559544.0397573</v>
      </c>
      <c r="HY5" s="53">
        <f t="shared" ref="HY5:HY38" ca="1" si="91">INDIRECT("ZS(-1)",0) / INDIRECT("Z6S(-1)",0)</f>
        <v>0.85498092344511634</v>
      </c>
      <c r="HZ5" s="53">
        <v>1077400263</v>
      </c>
      <c r="IA5" s="53">
        <v>10317927</v>
      </c>
      <c r="IB5" s="53">
        <f ca="1">INDIRECT("ZS(-1)",0) * 'Correction factor'!$C$13</f>
        <v>14309550.830706984</v>
      </c>
      <c r="IC5" s="53">
        <f t="shared" ref="IC5:IC38" ca="1" si="92">INDIRECT("ZS(-1)",0) + INDIRECT("ZS(-3)",0)</f>
        <v>1091709813.8307071</v>
      </c>
      <c r="ID5" s="53">
        <f t="shared" ref="ID5:ID38" ca="1" si="93">INDIRECT("ZS(-1)",0) / INDIRECT("Z6S(-1)",0)</f>
        <v>0.84654762220718172</v>
      </c>
      <c r="IE5" s="53">
        <v>1068812969</v>
      </c>
      <c r="IF5" s="53">
        <v>8046869</v>
      </c>
      <c r="IG5" s="53">
        <f ca="1">INDIRECT("ZS(-1)",0) * 'Correction factor'!$C$13</f>
        <v>11159904.599396786</v>
      </c>
      <c r="IH5" s="53">
        <f t="shared" ref="IH5:IH38" ca="1" si="94">INDIRECT("ZS(-1)",0) + INDIRECT("ZS(-3)",0)</f>
        <v>1079972873.5993967</v>
      </c>
      <c r="II5" s="53">
        <f t="shared" ref="II5:II38" ca="1" si="95">INDIRECT("ZS(-1)",0) / INDIRECT("Z6S(-1)",0)</f>
        <v>0.82640785133369798</v>
      </c>
    </row>
    <row r="6" spans="1:243" s="3" customFormat="1" x14ac:dyDescent="0.25">
      <c r="A6" s="57">
        <v>2</v>
      </c>
      <c r="B6" s="56">
        <v>45493</v>
      </c>
      <c r="C6" s="29" t="s">
        <v>40</v>
      </c>
      <c r="D6" s="52">
        <v>1370130511</v>
      </c>
      <c r="E6" s="53">
        <v>9029242</v>
      </c>
      <c r="F6" s="53">
        <f ca="1">INDIRECT("ZS(-1)",0) * 'Correction factor'!$C$13</f>
        <v>12522321.330801662</v>
      </c>
      <c r="G6" s="53">
        <f t="shared" ca="1" si="0"/>
        <v>1382652832.3308017</v>
      </c>
      <c r="H6" s="53">
        <f t="shared" ca="1" si="1"/>
        <v>1</v>
      </c>
      <c r="I6" s="53">
        <v>1511095115</v>
      </c>
      <c r="J6" s="53">
        <v>10419106</v>
      </c>
      <c r="K6" s="53">
        <f ca="1">INDIRECT("ZS(-1)",0) * 'Correction factor'!$C$13</f>
        <v>14449872.23863128</v>
      </c>
      <c r="L6" s="53">
        <f t="shared" ca="1" si="2"/>
        <v>1525544987.2386312</v>
      </c>
      <c r="M6" s="53">
        <f t="shared" ca="1" si="3"/>
        <v>1</v>
      </c>
      <c r="N6" s="53">
        <v>1273473078</v>
      </c>
      <c r="O6" s="53">
        <v>7962316</v>
      </c>
      <c r="P6" s="53">
        <f ca="1">INDIRECT("ZS(-1)",0) * 'Correction factor'!$C$13</f>
        <v>11042641.1751267</v>
      </c>
      <c r="Q6" s="53">
        <f t="shared" ca="1" si="4"/>
        <v>1284515719.1751268</v>
      </c>
      <c r="R6" s="53">
        <f t="shared" ca="1" si="5"/>
        <v>1</v>
      </c>
      <c r="S6" s="53">
        <v>1454164391</v>
      </c>
      <c r="T6" s="53">
        <v>7725300</v>
      </c>
      <c r="U6" s="53">
        <f ca="1">INDIRECT("ZS(-1)",0) * 'Correction factor'!$C$13</f>
        <v>10713932.462641058</v>
      </c>
      <c r="V6" s="53">
        <f t="shared" ca="1" si="6"/>
        <v>1464878323.462641</v>
      </c>
      <c r="W6" s="53">
        <f t="shared" ca="1" si="7"/>
        <v>1</v>
      </c>
      <c r="X6" s="53">
        <v>1421096596</v>
      </c>
      <c r="Y6" s="53">
        <v>9186500</v>
      </c>
      <c r="Z6" s="53">
        <f ca="1">INDIRECT("ZS(-1)",0) * 'Correction factor'!$C$13</f>
        <v>12740416.626933852</v>
      </c>
      <c r="AA6" s="53">
        <f t="shared" ca="1" si="8"/>
        <v>1433837012.6269338</v>
      </c>
      <c r="AB6" s="53">
        <f t="shared" ca="1" si="9"/>
        <v>1</v>
      </c>
      <c r="AC6" s="53">
        <v>1534180564</v>
      </c>
      <c r="AD6" s="53">
        <v>11488353</v>
      </c>
      <c r="AE6" s="53">
        <f ca="1">INDIRECT("ZS(-1)",0) * 'Correction factor'!$C$13</f>
        <v>15932771.303247742</v>
      </c>
      <c r="AF6" s="53">
        <f t="shared" ca="1" si="10"/>
        <v>1550113335.3032477</v>
      </c>
      <c r="AG6" s="53">
        <f t="shared" ca="1" si="11"/>
        <v>1</v>
      </c>
      <c r="AH6" s="53">
        <v>1748890653</v>
      </c>
      <c r="AI6" s="53">
        <v>9454426</v>
      </c>
      <c r="AJ6" s="53">
        <f ca="1">INDIRECT("ZS(-1)",0) * 'Correction factor'!$C$13</f>
        <v>13111993.273664149</v>
      </c>
      <c r="AK6" s="53">
        <f t="shared" ca="1" si="12"/>
        <v>1762002646.2736642</v>
      </c>
      <c r="AL6" s="53">
        <f t="shared" ca="1" si="13"/>
        <v>1</v>
      </c>
      <c r="AM6" s="53">
        <v>1517532969</v>
      </c>
      <c r="AN6" s="53">
        <v>16092676</v>
      </c>
      <c r="AO6" s="53">
        <f ca="1">INDIRECT("ZS(-1)",0) * 'Correction factor'!$C$13</f>
        <v>22318336.350324862</v>
      </c>
      <c r="AP6" s="53">
        <f t="shared" ca="1" si="14"/>
        <v>1539851305.3503249</v>
      </c>
      <c r="AQ6" s="53">
        <f t="shared" ca="1" si="15"/>
        <v>1</v>
      </c>
      <c r="AR6" s="53">
        <v>1386101074</v>
      </c>
      <c r="AS6" s="53">
        <v>8130588</v>
      </c>
      <c r="AT6" s="53">
        <f ca="1">INDIRECT("ZS(-1)",0) * 'Correction factor'!$C$13</f>
        <v>11276011.379954156</v>
      </c>
      <c r="AU6" s="53">
        <f t="shared" ca="1" si="16"/>
        <v>1397377085.3799541</v>
      </c>
      <c r="AV6" s="53">
        <f t="shared" ca="1" si="17"/>
        <v>1</v>
      </c>
      <c r="AW6" s="53">
        <v>1440584019</v>
      </c>
      <c r="AX6" s="53">
        <v>10765863</v>
      </c>
      <c r="AY6" s="53">
        <f ca="1">INDIRECT("ZS(-1)",0) * 'Correction factor'!$C$13</f>
        <v>14930776.679746579</v>
      </c>
      <c r="AZ6" s="53">
        <f t="shared" ca="1" si="18"/>
        <v>1455514795.6797466</v>
      </c>
      <c r="BA6" s="53">
        <f t="shared" ca="1" si="19"/>
        <v>1</v>
      </c>
      <c r="BB6" s="53">
        <v>1460631536</v>
      </c>
      <c r="BC6" s="53">
        <v>9104719</v>
      </c>
      <c r="BD6" s="53">
        <f ca="1">INDIRECT("ZS(-1)",0) * 'Correction factor'!$C$13</f>
        <v>12626997.586802432</v>
      </c>
      <c r="BE6" s="53">
        <f t="shared" ca="1" si="20"/>
        <v>1473258533.5868025</v>
      </c>
      <c r="BF6" s="53">
        <f t="shared" ca="1" si="21"/>
        <v>1</v>
      </c>
      <c r="BG6" s="53">
        <v>1628994271</v>
      </c>
      <c r="BH6" s="53">
        <v>9214345</v>
      </c>
      <c r="BI6" s="53">
        <f ca="1">INDIRECT("ZS(-1)",0) * 'Correction factor'!$C$13</f>
        <v>12779033.826191127</v>
      </c>
      <c r="BJ6" s="53">
        <f t="shared" ca="1" si="22"/>
        <v>1641773304.8261912</v>
      </c>
      <c r="BK6" s="53">
        <f t="shared" ca="1" si="23"/>
        <v>1</v>
      </c>
      <c r="BL6" s="53">
        <v>30078311</v>
      </c>
      <c r="BM6" s="53">
        <v>128655469</v>
      </c>
      <c r="BN6" s="53">
        <f ca="1">INDIRECT("ZS(-1)",0) * 'Correction factor'!$C$13</f>
        <v>178427505.18625948</v>
      </c>
      <c r="BO6" s="53">
        <f t="shared" ca="1" si="24"/>
        <v>208505816.18625948</v>
      </c>
      <c r="BP6" s="53">
        <f t="shared" ca="1" si="25"/>
        <v>1</v>
      </c>
      <c r="BQ6" s="53">
        <v>11887396</v>
      </c>
      <c r="BR6" s="53">
        <v>114247346</v>
      </c>
      <c r="BS6" s="53">
        <f ca="1">INDIRECT("ZS(-1)",0) * 'Correction factor'!$C$13</f>
        <v>158445413.00402379</v>
      </c>
      <c r="BT6" s="53">
        <f t="shared" ca="1" si="26"/>
        <v>170332809.00402379</v>
      </c>
      <c r="BU6" s="53">
        <f t="shared" ca="1" si="27"/>
        <v>1</v>
      </c>
      <c r="BV6" s="53">
        <v>10874827</v>
      </c>
      <c r="BW6" s="53">
        <v>105451029</v>
      </c>
      <c r="BX6" s="53">
        <f ca="1">INDIRECT("ZS(-1)",0) * 'Correction factor'!$C$13</f>
        <v>146246126.72931844</v>
      </c>
      <c r="BY6" s="53">
        <f t="shared" ca="1" si="28"/>
        <v>157120953.72931844</v>
      </c>
      <c r="BZ6" s="53">
        <f t="shared" ca="1" si="29"/>
        <v>1</v>
      </c>
      <c r="CA6" s="53">
        <v>8706137</v>
      </c>
      <c r="CB6" s="53">
        <v>121111073</v>
      </c>
      <c r="CC6" s="53">
        <f ca="1">INDIRECT("ZS(-1)",0) * 'Correction factor'!$C$13</f>
        <v>167964461.78141832</v>
      </c>
      <c r="CD6" s="53">
        <f t="shared" ca="1" si="30"/>
        <v>176670598.78141832</v>
      </c>
      <c r="CE6" s="53">
        <f t="shared" ca="1" si="31"/>
        <v>1</v>
      </c>
      <c r="CF6" s="53">
        <v>22193066</v>
      </c>
      <c r="CG6" s="53">
        <v>83255200</v>
      </c>
      <c r="CH6" s="53">
        <f ca="1">INDIRECT("ZS(-1)",0) * 'Correction factor'!$C$13</f>
        <v>115463553.51425496</v>
      </c>
      <c r="CI6" s="53">
        <f t="shared" ca="1" si="32"/>
        <v>137656619.51425496</v>
      </c>
      <c r="CJ6" s="53">
        <f t="shared" ca="1" si="33"/>
        <v>1</v>
      </c>
      <c r="CK6" s="53">
        <v>11827025</v>
      </c>
      <c r="CL6" s="53">
        <v>92416612</v>
      </c>
      <c r="CM6" s="53">
        <f ca="1">INDIRECT("ZS(-1)",0) * 'Correction factor'!$C$13</f>
        <v>128169176.52312572</v>
      </c>
      <c r="CN6" s="53">
        <f t="shared" ca="1" si="34"/>
        <v>139996201.52312571</v>
      </c>
      <c r="CO6" s="53">
        <f t="shared" ca="1" si="35"/>
        <v>1</v>
      </c>
      <c r="CP6" s="53">
        <v>1455957100</v>
      </c>
      <c r="CQ6" s="53">
        <v>8635523</v>
      </c>
      <c r="CR6" s="53">
        <f ca="1">INDIRECT("ZS(-1)",0) * 'Correction factor'!$C$13</f>
        <v>11976287.031129342</v>
      </c>
      <c r="CS6" s="53">
        <f t="shared" ca="1" si="36"/>
        <v>1467933387.0311294</v>
      </c>
      <c r="CT6" s="53">
        <f t="shared" ca="1" si="37"/>
        <v>1</v>
      </c>
      <c r="CU6" s="53">
        <v>1295332290</v>
      </c>
      <c r="CV6" s="53">
        <v>8405591</v>
      </c>
      <c r="CW6" s="53">
        <f ca="1">INDIRECT("ZS(-1)",0) * 'Correction factor'!$C$13</f>
        <v>11657402.855886959</v>
      </c>
      <c r="CX6" s="53">
        <f t="shared" ca="1" si="38"/>
        <v>1306989692.8558869</v>
      </c>
      <c r="CY6" s="53">
        <f t="shared" ca="1" si="39"/>
        <v>1</v>
      </c>
      <c r="CZ6" s="53">
        <v>1509760852</v>
      </c>
      <c r="DA6" s="53">
        <v>9940537</v>
      </c>
      <c r="DB6" s="53">
        <f ca="1">INDIRECT("ZS(-1)",0) * 'Correction factor'!$C$13</f>
        <v>13786162.616388302</v>
      </c>
      <c r="DC6" s="53">
        <f t="shared" ca="1" si="40"/>
        <v>1523547014.6163883</v>
      </c>
      <c r="DD6" s="53">
        <f t="shared" ca="1" si="41"/>
        <v>1</v>
      </c>
      <c r="DE6" s="53">
        <v>1354658830</v>
      </c>
      <c r="DF6" s="53">
        <v>13489422</v>
      </c>
      <c r="DG6" s="53">
        <f ca="1">INDIRECT("ZS(-1)",0) * 'Correction factor'!$C$13</f>
        <v>18707979.789531082</v>
      </c>
      <c r="DH6" s="53">
        <f t="shared" ca="1" si="42"/>
        <v>1373366809.789531</v>
      </c>
      <c r="DI6" s="53">
        <f t="shared" ca="1" si="43"/>
        <v>1</v>
      </c>
      <c r="DJ6" s="53">
        <v>1199829144</v>
      </c>
      <c r="DK6" s="53">
        <v>9668815</v>
      </c>
      <c r="DL6" s="53">
        <f ca="1">INDIRECT("ZS(-1)",0) * 'Correction factor'!$C$13</f>
        <v>13409321.437843295</v>
      </c>
      <c r="DM6" s="53">
        <f t="shared" ca="1" si="44"/>
        <v>1213238465.4378433</v>
      </c>
      <c r="DN6" s="53">
        <f t="shared" ca="1" si="45"/>
        <v>1</v>
      </c>
      <c r="DO6" s="53">
        <v>1313086635</v>
      </c>
      <c r="DP6" s="53">
        <v>10261228</v>
      </c>
      <c r="DQ6" s="53">
        <f ca="1">INDIRECT("ZS(-1)",0) * 'Correction factor'!$C$13</f>
        <v>14230917.087460861</v>
      </c>
      <c r="DR6" s="53">
        <f t="shared" ca="1" si="46"/>
        <v>1327317552.0874608</v>
      </c>
      <c r="DS6" s="53">
        <f t="shared" ca="1" si="47"/>
        <v>1</v>
      </c>
      <c r="DT6" s="53">
        <v>1342166921</v>
      </c>
      <c r="DU6" s="53">
        <v>11419469</v>
      </c>
      <c r="DV6" s="53">
        <f ca="1">INDIRECT("ZS(-1)",0) * 'Correction factor'!$C$13</f>
        <v>15837238.634774471</v>
      </c>
      <c r="DW6" s="53">
        <f t="shared" ca="1" si="48"/>
        <v>1358004159.6347744</v>
      </c>
      <c r="DX6" s="53">
        <f t="shared" ca="1" si="49"/>
        <v>1</v>
      </c>
      <c r="DY6" s="53">
        <v>1397219239</v>
      </c>
      <c r="DZ6" s="53">
        <v>12119176</v>
      </c>
      <c r="EA6" s="53">
        <f ca="1">INDIRECT("ZS(-1)",0) * 'Correction factor'!$C$13</f>
        <v>16807636.359346617</v>
      </c>
      <c r="EB6" s="53">
        <f t="shared" ca="1" si="50"/>
        <v>1414026875.3593466</v>
      </c>
      <c r="EC6" s="53">
        <f t="shared" ca="1" si="51"/>
        <v>1</v>
      </c>
      <c r="ED6" s="53">
        <v>1289849590</v>
      </c>
      <c r="EE6" s="53">
        <v>13099260</v>
      </c>
      <c r="EF6" s="53">
        <f ca="1">INDIRECT("ZS(-1)",0) * 'Correction factor'!$C$13</f>
        <v>18166878.561424866</v>
      </c>
      <c r="EG6" s="53">
        <f t="shared" ca="1" si="52"/>
        <v>1308016468.561425</v>
      </c>
      <c r="EH6" s="53">
        <f t="shared" ca="1" si="53"/>
        <v>1</v>
      </c>
      <c r="EI6" s="53">
        <v>1296181403</v>
      </c>
      <c r="EJ6" s="53">
        <v>14321249</v>
      </c>
      <c r="EK6" s="53">
        <f ca="1">INDIRECT("ZS(-1)",0) * 'Correction factor'!$C$13</f>
        <v>19861609.849024087</v>
      </c>
      <c r="EL6" s="53">
        <f t="shared" ca="1" si="54"/>
        <v>1316043012.8490241</v>
      </c>
      <c r="EM6" s="53">
        <f t="shared" ca="1" si="55"/>
        <v>1</v>
      </c>
      <c r="EN6" s="53">
        <v>1456012695</v>
      </c>
      <c r="EO6" s="53">
        <v>10639278</v>
      </c>
      <c r="EP6" s="53">
        <f ca="1">INDIRECT("ZS(-1)",0) * 'Correction factor'!$C$13</f>
        <v>14755220.631336367</v>
      </c>
      <c r="EQ6" s="53">
        <f t="shared" ca="1" si="56"/>
        <v>1470767915.6313365</v>
      </c>
      <c r="ER6" s="53">
        <f t="shared" ca="1" si="57"/>
        <v>1</v>
      </c>
      <c r="ES6" s="53">
        <v>1450735058</v>
      </c>
      <c r="ET6" s="53">
        <v>8788757</v>
      </c>
      <c r="EU6" s="53">
        <f ca="1">INDIRECT("ZS(-1)",0) * 'Correction factor'!$C$13</f>
        <v>12188801.590690827</v>
      </c>
      <c r="EV6" s="53">
        <f t="shared" ca="1" si="58"/>
        <v>1462923859.5906909</v>
      </c>
      <c r="EW6" s="53">
        <f t="shared" ca="1" si="59"/>
        <v>1</v>
      </c>
      <c r="EX6" s="53">
        <v>1389595582</v>
      </c>
      <c r="EY6" s="53">
        <v>9365377</v>
      </c>
      <c r="EZ6" s="53">
        <f ca="1">INDIRECT("ZS(-1)",0) * 'Correction factor'!$C$13</f>
        <v>12988494.513503931</v>
      </c>
      <c r="FA6" s="53">
        <f t="shared" ca="1" si="60"/>
        <v>1402584076.513504</v>
      </c>
      <c r="FB6" s="53">
        <f t="shared" ca="1" si="61"/>
        <v>1</v>
      </c>
      <c r="FC6" s="53">
        <v>1280146353</v>
      </c>
      <c r="FD6" s="53">
        <v>11262173</v>
      </c>
      <c r="FE6" s="53">
        <f ca="1">INDIRECT("ZS(-1)",0) * 'Correction factor'!$C$13</f>
        <v>15619090.637849616</v>
      </c>
      <c r="FF6" s="53">
        <f t="shared" ca="1" si="62"/>
        <v>1295765443.6378496</v>
      </c>
      <c r="FG6" s="53">
        <f t="shared" ca="1" si="63"/>
        <v>1</v>
      </c>
      <c r="FH6" s="53">
        <v>1757840844</v>
      </c>
      <c r="FI6" s="53">
        <v>12443642</v>
      </c>
      <c r="FJ6" s="53">
        <f ca="1">INDIRECT("ZS(-1)",0) * 'Correction factor'!$C$13</f>
        <v>17257626.238111619</v>
      </c>
      <c r="FK6" s="53">
        <f t="shared" ca="1" si="64"/>
        <v>1775098470.2381117</v>
      </c>
      <c r="FL6" s="53">
        <f t="shared" ca="1" si="65"/>
        <v>1</v>
      </c>
      <c r="FM6" s="53">
        <v>1402755464</v>
      </c>
      <c r="FN6" s="53">
        <v>8831986</v>
      </c>
      <c r="FO6" s="53">
        <f ca="1">INDIRECT("ZS(-1)",0) * 'Correction factor'!$C$13</f>
        <v>12248754.289799923</v>
      </c>
      <c r="FP6" s="53">
        <f t="shared" ca="1" si="66"/>
        <v>1415004218.2897999</v>
      </c>
      <c r="FQ6" s="53">
        <f t="shared" ca="1" si="67"/>
        <v>1</v>
      </c>
      <c r="FR6" s="53">
        <v>1420534295</v>
      </c>
      <c r="FS6" s="53">
        <v>9332133</v>
      </c>
      <c r="FT6" s="53">
        <f ca="1">INDIRECT("ZS(-1)",0) * 'Correction factor'!$C$13</f>
        <v>12942389.641099231</v>
      </c>
      <c r="FU6" s="53">
        <f t="shared" ca="1" si="68"/>
        <v>1433476684.6410992</v>
      </c>
      <c r="FV6" s="53">
        <f t="shared" ca="1" si="69"/>
        <v>1</v>
      </c>
      <c r="FW6" s="53">
        <v>1228353052</v>
      </c>
      <c r="FX6" s="53">
        <v>12801661</v>
      </c>
      <c r="FY6" s="53">
        <f ca="1">INDIRECT("ZS(-1)",0) * 'Correction factor'!$C$13</f>
        <v>17754149.529937476</v>
      </c>
      <c r="FZ6" s="53">
        <f t="shared" ca="1" si="70"/>
        <v>1246107201.5299375</v>
      </c>
      <c r="GA6" s="53">
        <f t="shared" ca="1" si="71"/>
        <v>1</v>
      </c>
      <c r="GB6" s="53">
        <v>1421396204</v>
      </c>
      <c r="GC6" s="53">
        <v>9095111</v>
      </c>
      <c r="GD6" s="53">
        <f ca="1">INDIRECT("ZS(-1)",0) * 'Correction factor'!$C$13</f>
        <v>12613672.607435798</v>
      </c>
      <c r="GE6" s="53">
        <f t="shared" ca="1" si="72"/>
        <v>1434009876.6074357</v>
      </c>
      <c r="GF6" s="53">
        <f t="shared" ca="1" si="73"/>
        <v>1</v>
      </c>
      <c r="GG6" s="53">
        <v>1418816506</v>
      </c>
      <c r="GH6" s="53">
        <v>11028712</v>
      </c>
      <c r="GI6" s="53">
        <f ca="1">INDIRECT("ZS(-1)",0) * 'Correction factor'!$C$13</f>
        <v>15295312.223204147</v>
      </c>
      <c r="GJ6" s="53">
        <f t="shared" ca="1" si="74"/>
        <v>1434111818.2232041</v>
      </c>
      <c r="GK6" s="53">
        <f t="shared" ca="1" si="75"/>
        <v>1</v>
      </c>
      <c r="GL6" s="53">
        <v>1436501977</v>
      </c>
      <c r="GM6" s="53">
        <v>9434602</v>
      </c>
      <c r="GN6" s="53">
        <f ca="1">INDIRECT("ZS(-1)",0) * 'Correction factor'!$C$13</f>
        <v>13084500.102248231</v>
      </c>
      <c r="GO6" s="53">
        <f t="shared" ca="1" si="76"/>
        <v>1449586477.1022482</v>
      </c>
      <c r="GP6" s="53">
        <f t="shared" ca="1" si="77"/>
        <v>1</v>
      </c>
      <c r="GQ6" s="53">
        <v>951626166</v>
      </c>
      <c r="GR6" s="53">
        <v>9230790</v>
      </c>
      <c r="GS6" s="53">
        <f ca="1">INDIRECT("ZS(-1)",0) * 'Correction factor'!$C$13</f>
        <v>12801840.787648695</v>
      </c>
      <c r="GT6" s="53">
        <f t="shared" ca="1" si="78"/>
        <v>964428006.78764868</v>
      </c>
      <c r="GU6" s="53">
        <f t="shared" ca="1" si="79"/>
        <v>1</v>
      </c>
      <c r="GV6" s="53">
        <v>1394694685</v>
      </c>
      <c r="GW6" s="53">
        <v>10052668</v>
      </c>
      <c r="GX6" s="53">
        <f ca="1">INDIRECT("ZS(-1)",0) * 'Correction factor'!$C$13</f>
        <v>13941672.94750404</v>
      </c>
      <c r="GY6" s="53">
        <f t="shared" ca="1" si="80"/>
        <v>1408636357.947504</v>
      </c>
      <c r="GZ6" s="53">
        <f t="shared" ca="1" si="81"/>
        <v>1</v>
      </c>
      <c r="HA6" s="53">
        <v>1351678348</v>
      </c>
      <c r="HB6" s="53">
        <v>9906938</v>
      </c>
      <c r="HC6" s="53">
        <f ca="1">INDIRECT("ZS(-1)",0) * 'Correction factor'!$C$13</f>
        <v>13739565.407631068</v>
      </c>
      <c r="HD6" s="53">
        <f t="shared" ca="1" si="82"/>
        <v>1365417913.4076312</v>
      </c>
      <c r="HE6" s="53">
        <f t="shared" ca="1" si="83"/>
        <v>1</v>
      </c>
      <c r="HF6" s="53">
        <v>1340785434</v>
      </c>
      <c r="HG6" s="53">
        <v>12076403</v>
      </c>
      <c r="HH6" s="53">
        <f ca="1">INDIRECT("ZS(-1)",0) * 'Correction factor'!$C$13</f>
        <v>16748316.069749506</v>
      </c>
      <c r="HI6" s="53">
        <f t="shared" ca="1" si="84"/>
        <v>1357533750.0697496</v>
      </c>
      <c r="HJ6" s="53">
        <f t="shared" ca="1" si="85"/>
        <v>1</v>
      </c>
      <c r="HK6" s="53">
        <v>1324253781</v>
      </c>
      <c r="HL6" s="53">
        <v>13721670</v>
      </c>
      <c r="HM6" s="53">
        <f ca="1">INDIRECT("ZS(-1)",0) * 'Correction factor'!$C$13</f>
        <v>19030075.939400144</v>
      </c>
      <c r="HN6" s="53">
        <f t="shared" ca="1" si="86"/>
        <v>1343283856.9394002</v>
      </c>
      <c r="HO6" s="53">
        <f t="shared" ca="1" si="87"/>
        <v>1</v>
      </c>
      <c r="HP6" s="53">
        <v>1529245379</v>
      </c>
      <c r="HQ6" s="53">
        <v>9567148</v>
      </c>
      <c r="HR6" s="53">
        <f ca="1">INDIRECT("ZS(-1)",0) * 'Correction factor'!$C$13</f>
        <v>13268323.240792135</v>
      </c>
      <c r="HS6" s="53">
        <f t="shared" ca="1" si="88"/>
        <v>1542513702.240792</v>
      </c>
      <c r="HT6" s="53">
        <f t="shared" ca="1" si="89"/>
        <v>1</v>
      </c>
      <c r="HU6" s="53">
        <v>1260221853</v>
      </c>
      <c r="HV6" s="53">
        <v>10199442</v>
      </c>
      <c r="HW6" s="53">
        <f ca="1">INDIRECT("ZS(-1)",0) * 'Correction factor'!$C$13</f>
        <v>14145228.372312356</v>
      </c>
      <c r="HX6" s="53">
        <f t="shared" ca="1" si="90"/>
        <v>1274367081.3723123</v>
      </c>
      <c r="HY6" s="53">
        <f t="shared" ca="1" si="91"/>
        <v>1</v>
      </c>
      <c r="HZ6" s="53">
        <v>1272182052</v>
      </c>
      <c r="IA6" s="53">
        <v>12560946</v>
      </c>
      <c r="IB6" s="53">
        <f ca="1">INDIRECT("ZS(-1)",0) * 'Correction factor'!$C$13</f>
        <v>17420310.811344717</v>
      </c>
      <c r="IC6" s="53">
        <f t="shared" ca="1" si="92"/>
        <v>1289602362.8113446</v>
      </c>
      <c r="ID6" s="53">
        <f t="shared" ca="1" si="93"/>
        <v>1</v>
      </c>
      <c r="IE6" s="53">
        <v>1294444792</v>
      </c>
      <c r="IF6" s="53">
        <v>8928894</v>
      </c>
      <c r="IG6" s="53">
        <f ca="1">INDIRECT("ZS(-1)",0) * 'Correction factor'!$C$13</f>
        <v>12383152.406001186</v>
      </c>
      <c r="IH6" s="53">
        <f t="shared" ca="1" si="94"/>
        <v>1306827944.4060011</v>
      </c>
      <c r="II6" s="53">
        <f t="shared" ca="1" si="95"/>
        <v>1</v>
      </c>
    </row>
    <row r="7" spans="1:243" x14ac:dyDescent="0.25">
      <c r="A7" s="5">
        <v>3</v>
      </c>
      <c r="B7" s="30">
        <v>45494</v>
      </c>
      <c r="C7" s="29" t="s">
        <v>34</v>
      </c>
      <c r="D7" s="52">
        <v>1549830112</v>
      </c>
      <c r="E7" s="53">
        <v>7808635</v>
      </c>
      <c r="F7" s="53">
        <f ca="1">INDIRECT("ZS(-1)",0) * 'Correction factor'!$C$13</f>
        <v>10829506.687819911</v>
      </c>
      <c r="G7" s="53">
        <f t="shared" ca="1" si="0"/>
        <v>1560659618.68782</v>
      </c>
      <c r="H7" s="53">
        <f t="shared" ca="1" si="1"/>
        <v>1.1287429369069775</v>
      </c>
      <c r="I7" s="53">
        <v>1724129151</v>
      </c>
      <c r="J7" s="53">
        <v>9388587</v>
      </c>
      <c r="K7" s="53">
        <f ca="1">INDIRECT("ZS(-1)",0) * 'Correction factor'!$C$13</f>
        <v>13020683.602918958</v>
      </c>
      <c r="L7" s="53">
        <f t="shared" ca="1" si="2"/>
        <v>1737149834.6029189</v>
      </c>
      <c r="M7" s="53">
        <f t="shared" ca="1" si="3"/>
        <v>1.1387077071698231</v>
      </c>
      <c r="N7" s="53">
        <v>1503849956</v>
      </c>
      <c r="O7" s="53">
        <v>6618873</v>
      </c>
      <c r="P7" s="53">
        <f ca="1">INDIRECT("ZS(-1)",0) * 'Correction factor'!$C$13</f>
        <v>9179469.8329900987</v>
      </c>
      <c r="Q7" s="53">
        <f t="shared" ca="1" si="4"/>
        <v>1513029425.8329902</v>
      </c>
      <c r="R7" s="53">
        <f t="shared" ca="1" si="5"/>
        <v>1.1778987234228688</v>
      </c>
      <c r="S7" s="53">
        <v>1626364043</v>
      </c>
      <c r="T7" s="53">
        <v>6447086</v>
      </c>
      <c r="U7" s="53">
        <f ca="1">INDIRECT("ZS(-1)",0) * 'Correction factor'!$C$13</f>
        <v>8941224.8048410658</v>
      </c>
      <c r="V7" s="53">
        <f t="shared" ca="1" si="6"/>
        <v>1635305267.804841</v>
      </c>
      <c r="W7" s="53">
        <f t="shared" ca="1" si="7"/>
        <v>1.1163420480817474</v>
      </c>
      <c r="X7" s="53">
        <v>1686039252</v>
      </c>
      <c r="Y7" s="53">
        <v>7825031</v>
      </c>
      <c r="Z7" s="53">
        <f ca="1">INDIRECT("ZS(-1)",0) * 'Correction factor'!$C$13</f>
        <v>10852245.692992197</v>
      </c>
      <c r="AA7" s="53">
        <f t="shared" ca="1" si="8"/>
        <v>1696891497.6929922</v>
      </c>
      <c r="AB7" s="53">
        <f t="shared" ca="1" si="9"/>
        <v>1.1834619156497543</v>
      </c>
      <c r="AC7" s="53">
        <v>1964363333</v>
      </c>
      <c r="AD7" s="53">
        <v>11048359</v>
      </c>
      <c r="AE7" s="53">
        <f ca="1">INDIRECT("ZS(-1)",0) * 'Correction factor'!$C$13</f>
        <v>15322559.919875279</v>
      </c>
      <c r="AF7" s="53">
        <f t="shared" ca="1" si="10"/>
        <v>1979685892.9198754</v>
      </c>
      <c r="AG7" s="53">
        <f t="shared" ca="1" si="11"/>
        <v>1.2771233224263507</v>
      </c>
      <c r="AH7" s="53">
        <v>1578514262</v>
      </c>
      <c r="AI7" s="53">
        <v>7875049</v>
      </c>
      <c r="AJ7" s="53">
        <f ca="1">INDIRECT("ZS(-1)",0) * 'Correction factor'!$C$13</f>
        <v>10921613.804769913</v>
      </c>
      <c r="AK7" s="53">
        <f t="shared" ca="1" si="12"/>
        <v>1589435875.80477</v>
      </c>
      <c r="AL7" s="53">
        <f t="shared" ca="1" si="13"/>
        <v>0.90206213887712172</v>
      </c>
      <c r="AM7" s="53">
        <v>1466390320</v>
      </c>
      <c r="AN7" s="53">
        <v>17421025</v>
      </c>
      <c r="AO7" s="53">
        <f ca="1">INDIRECT("ZS(-1)",0) * 'Correction factor'!$C$13</f>
        <v>24160574.38286946</v>
      </c>
      <c r="AP7" s="53">
        <f t="shared" ca="1" si="14"/>
        <v>1490550894.3828695</v>
      </c>
      <c r="AQ7" s="53">
        <f t="shared" ca="1" si="15"/>
        <v>0.9679836547878633</v>
      </c>
      <c r="AR7" s="53">
        <v>1307935159</v>
      </c>
      <c r="AS7" s="53">
        <v>6648965</v>
      </c>
      <c r="AT7" s="53">
        <f ca="1">INDIRECT("ZS(-1)",0) * 'Correction factor'!$C$13</f>
        <v>9221203.3133294769</v>
      </c>
      <c r="AU7" s="53">
        <f t="shared" ca="1" si="16"/>
        <v>1317156362.3133295</v>
      </c>
      <c r="AV7" s="53">
        <f t="shared" ca="1" si="17"/>
        <v>0.94259192890313337</v>
      </c>
      <c r="AW7" s="53">
        <v>1306711049</v>
      </c>
      <c r="AX7" s="53">
        <v>9099608</v>
      </c>
      <c r="AY7" s="53">
        <f ca="1">INDIRECT("ZS(-1)",0) * 'Correction factor'!$C$13</f>
        <v>12619909.330188895</v>
      </c>
      <c r="AZ7" s="53">
        <f t="shared" ca="1" si="18"/>
        <v>1319330958.330189</v>
      </c>
      <c r="BA7" s="53">
        <f t="shared" ca="1" si="19"/>
        <v>0.90643596495633161</v>
      </c>
      <c r="BB7" s="53">
        <v>1310566078</v>
      </c>
      <c r="BC7" s="53">
        <v>7224683</v>
      </c>
      <c r="BD7" s="53">
        <f ca="1">INDIRECT("ZS(-1)",0) * 'Correction factor'!$C$13</f>
        <v>10019645.285748255</v>
      </c>
      <c r="BE7" s="53">
        <f t="shared" ca="1" si="20"/>
        <v>1320585723.2857482</v>
      </c>
      <c r="BF7" s="53">
        <f t="shared" ca="1" si="21"/>
        <v>0.89637065944606731</v>
      </c>
      <c r="BG7" s="53">
        <v>1629258664</v>
      </c>
      <c r="BH7" s="53">
        <v>7242441</v>
      </c>
      <c r="BI7" s="53">
        <f ca="1">INDIRECT("ZS(-1)",0) * 'Correction factor'!$C$13</f>
        <v>10044273.198278716</v>
      </c>
      <c r="BJ7" s="53">
        <f t="shared" ca="1" si="22"/>
        <v>1639302937.1982787</v>
      </c>
      <c r="BK7" s="53">
        <f t="shared" ca="1" si="23"/>
        <v>0.99849530527713504</v>
      </c>
      <c r="BL7" s="53">
        <v>36861887</v>
      </c>
      <c r="BM7" s="53">
        <v>175236902</v>
      </c>
      <c r="BN7" s="53">
        <f ca="1">INDIRECT("ZS(-1)",0) * 'Correction factor'!$C$13</f>
        <v>243029569.46532172</v>
      </c>
      <c r="BO7" s="53">
        <f t="shared" ca="1" si="24"/>
        <v>279891456.46532172</v>
      </c>
      <c r="BP7" s="53">
        <f t="shared" ca="1" si="25"/>
        <v>1.3423676211280986</v>
      </c>
      <c r="BQ7" s="53">
        <v>8744821</v>
      </c>
      <c r="BR7" s="53">
        <v>135389730</v>
      </c>
      <c r="BS7" s="53">
        <f ca="1">INDIRECT("ZS(-1)",0) * 'Correction factor'!$C$13</f>
        <v>187767002.36304194</v>
      </c>
      <c r="BT7" s="53">
        <f t="shared" ca="1" si="26"/>
        <v>196511823.36304194</v>
      </c>
      <c r="BU7" s="53">
        <f t="shared" ca="1" si="27"/>
        <v>1.1536933167021259</v>
      </c>
      <c r="BV7" s="53">
        <v>7156354</v>
      </c>
      <c r="BW7" s="53">
        <v>140712498</v>
      </c>
      <c r="BX7" s="53">
        <f ca="1">INDIRECT("ZS(-1)",0) * 'Correction factor'!$C$13</f>
        <v>195148952.17292726</v>
      </c>
      <c r="BY7" s="53">
        <f t="shared" ca="1" si="28"/>
        <v>202305306.17292726</v>
      </c>
      <c r="BZ7" s="53">
        <f t="shared" ca="1" si="29"/>
        <v>1.2875768722830603</v>
      </c>
      <c r="CA7" s="53">
        <v>7640325</v>
      </c>
      <c r="CB7" s="53">
        <v>153477112</v>
      </c>
      <c r="CC7" s="53">
        <f ca="1">INDIRECT("ZS(-1)",0) * 'Correction factor'!$C$13</f>
        <v>212851722.59060457</v>
      </c>
      <c r="CD7" s="53">
        <f t="shared" ca="1" si="30"/>
        <v>220492047.59060457</v>
      </c>
      <c r="CE7" s="53">
        <f t="shared" ca="1" si="31"/>
        <v>1.2480404159574019</v>
      </c>
      <c r="CF7" s="53">
        <v>29996992</v>
      </c>
      <c r="CG7" s="53">
        <v>98630859</v>
      </c>
      <c r="CH7" s="53">
        <f ca="1">INDIRECT("ZS(-1)",0) * 'Correction factor'!$C$13</f>
        <v>136787485.54208547</v>
      </c>
      <c r="CI7" s="53">
        <f t="shared" ca="1" si="32"/>
        <v>166784477.54208547</v>
      </c>
      <c r="CJ7" s="53">
        <f t="shared" ca="1" si="33"/>
        <v>1.2115979466197351</v>
      </c>
      <c r="CK7" s="53">
        <v>20234497</v>
      </c>
      <c r="CL7" s="53">
        <v>117685670</v>
      </c>
      <c r="CM7" s="53">
        <f ca="1">INDIRECT("ZS(-1)",0) * 'Correction factor'!$C$13</f>
        <v>163213897.22090572</v>
      </c>
      <c r="CN7" s="53">
        <f t="shared" ca="1" si="34"/>
        <v>183448394.22090572</v>
      </c>
      <c r="CO7" s="53">
        <f t="shared" ca="1" si="35"/>
        <v>1.3103812262406436</v>
      </c>
      <c r="CP7" s="53">
        <v>1318114622</v>
      </c>
      <c r="CQ7" s="53">
        <v>7134118</v>
      </c>
      <c r="CR7" s="53">
        <f ca="1">INDIRECT("ZS(-1)",0) * 'Correction factor'!$C$13</f>
        <v>9894044.0413332693</v>
      </c>
      <c r="CS7" s="53">
        <f t="shared" ca="1" si="36"/>
        <v>1328008666.0413332</v>
      </c>
      <c r="CT7" s="53">
        <f t="shared" ca="1" si="37"/>
        <v>0.90467910722243905</v>
      </c>
      <c r="CU7" s="53">
        <v>1117594272</v>
      </c>
      <c r="CV7" s="53">
        <v>6951748</v>
      </c>
      <c r="CW7" s="53">
        <f ca="1">INDIRECT("ZS(-1)",0) * 'Correction factor'!$C$13</f>
        <v>9641121.8424268384</v>
      </c>
      <c r="CX7" s="53">
        <f t="shared" ca="1" si="38"/>
        <v>1127235393.8424268</v>
      </c>
      <c r="CY7" s="53">
        <f t="shared" ca="1" si="39"/>
        <v>0.86246693451676637</v>
      </c>
      <c r="CZ7" s="53">
        <v>1340269901</v>
      </c>
      <c r="DA7" s="53">
        <v>8597167</v>
      </c>
      <c r="DB7" s="53">
        <f ca="1">INDIRECT("ZS(-1)",0) * 'Correction factor'!$C$13</f>
        <v>11923092.515248138</v>
      </c>
      <c r="DC7" s="53">
        <f t="shared" ca="1" si="40"/>
        <v>1352192993.5152481</v>
      </c>
      <c r="DD7" s="53">
        <f t="shared" ca="1" si="41"/>
        <v>0.88752954818116636</v>
      </c>
      <c r="DE7" s="53">
        <v>1199237184</v>
      </c>
      <c r="DF7" s="53">
        <v>17873214</v>
      </c>
      <c r="DG7" s="53">
        <f ca="1">INDIRECT("ZS(-1)",0) * 'Correction factor'!$C$13</f>
        <v>24787698.560098719</v>
      </c>
      <c r="DH7" s="53">
        <f t="shared" ca="1" si="42"/>
        <v>1224024882.5600986</v>
      </c>
      <c r="DI7" s="53">
        <f t="shared" ca="1" si="43"/>
        <v>0.89125852891965618</v>
      </c>
      <c r="DJ7" s="53">
        <v>1038480667</v>
      </c>
      <c r="DK7" s="53">
        <v>8517936</v>
      </c>
      <c r="DL7" s="53">
        <f ca="1">INDIRECT("ZS(-1)",0) * 'Correction factor'!$C$13</f>
        <v>11813209.975677181</v>
      </c>
      <c r="DM7" s="53">
        <f t="shared" ca="1" si="44"/>
        <v>1050293876.9756771</v>
      </c>
      <c r="DN7" s="53">
        <f t="shared" ca="1" si="45"/>
        <v>0.86569450845480622</v>
      </c>
      <c r="DO7" s="53">
        <v>1051363331</v>
      </c>
      <c r="DP7" s="53">
        <v>8467950</v>
      </c>
      <c r="DQ7" s="53">
        <f ca="1">INDIRECT("ZS(-1)",0) * 'Correction factor'!$C$13</f>
        <v>11743886.243514342</v>
      </c>
      <c r="DR7" s="53">
        <f t="shared" ca="1" si="46"/>
        <v>1063107217.2435143</v>
      </c>
      <c r="DS7" s="53">
        <f t="shared" ca="1" si="47"/>
        <v>0.80094414149166859</v>
      </c>
      <c r="DT7" s="53">
        <v>1186011944</v>
      </c>
      <c r="DU7" s="53">
        <v>10453619</v>
      </c>
      <c r="DV7" s="53">
        <f ca="1">INDIRECT("ZS(-1)",0) * 'Correction factor'!$C$13</f>
        <v>14497737.040138423</v>
      </c>
      <c r="DW7" s="53">
        <f t="shared" ca="1" si="48"/>
        <v>1200509681.0401385</v>
      </c>
      <c r="DX7" s="53">
        <f t="shared" ca="1" si="49"/>
        <v>0.88402503963095891</v>
      </c>
      <c r="DY7" s="53">
        <v>1260114983</v>
      </c>
      <c r="DZ7" s="53">
        <v>11339632</v>
      </c>
      <c r="EA7" s="53">
        <f ca="1">INDIRECT("ZS(-1)",0) * 'Correction factor'!$C$13</f>
        <v>15726515.656246793</v>
      </c>
      <c r="EB7" s="53">
        <f t="shared" ca="1" si="50"/>
        <v>1275841498.6562469</v>
      </c>
      <c r="EC7" s="53">
        <f t="shared" ca="1" si="51"/>
        <v>0.90227528266180745</v>
      </c>
      <c r="ED7" s="53">
        <v>1125802303</v>
      </c>
      <c r="EE7" s="53">
        <v>14101226</v>
      </c>
      <c r="EF7" s="53">
        <f ca="1">INDIRECT("ZS(-1)",0) * 'Correction factor'!$C$13</f>
        <v>19556468.098900769</v>
      </c>
      <c r="EG7" s="53">
        <f t="shared" ca="1" si="52"/>
        <v>1145358771.0989008</v>
      </c>
      <c r="EH7" s="53">
        <f t="shared" ca="1" si="53"/>
        <v>0.87564552788741457</v>
      </c>
      <c r="EI7" s="53">
        <v>1150968529</v>
      </c>
      <c r="EJ7" s="53">
        <v>13714920</v>
      </c>
      <c r="EK7" s="53">
        <f ca="1">INDIRECT("ZS(-1)",0) * 'Correction factor'!$C$13</f>
        <v>19020714.614387158</v>
      </c>
      <c r="EL7" s="53">
        <f t="shared" ca="1" si="54"/>
        <v>1169989243.6143873</v>
      </c>
      <c r="EM7" s="53">
        <f t="shared" ca="1" si="55"/>
        <v>0.88902051999162734</v>
      </c>
      <c r="EN7" s="53">
        <v>1230575740</v>
      </c>
      <c r="EO7" s="53">
        <v>8912360</v>
      </c>
      <c r="EP7" s="53">
        <f ca="1">INDIRECT("ZS(-1)",0) * 'Correction factor'!$C$13</f>
        <v>12360222.013739746</v>
      </c>
      <c r="EQ7" s="53">
        <f t="shared" ca="1" si="56"/>
        <v>1242935962.0137398</v>
      </c>
      <c r="ER7" s="53">
        <f t="shared" ca="1" si="57"/>
        <v>0.84509319846034425</v>
      </c>
      <c r="ES7" s="53">
        <v>1319943048</v>
      </c>
      <c r="ET7" s="53">
        <v>7375617</v>
      </c>
      <c r="EU7" s="53">
        <f ca="1">INDIRECT("ZS(-1)",0) * 'Correction factor'!$C$13</f>
        <v>10228970.0604905</v>
      </c>
      <c r="EV7" s="53">
        <f t="shared" ca="1" si="58"/>
        <v>1330172018.0604906</v>
      </c>
      <c r="EW7" s="53">
        <f t="shared" ca="1" si="59"/>
        <v>0.90925580941215722</v>
      </c>
      <c r="EX7" s="53">
        <v>1306407759</v>
      </c>
      <c r="EY7" s="53">
        <v>7353735</v>
      </c>
      <c r="EZ7" s="53">
        <f ca="1">INDIRECT("ZS(-1)",0) * 'Correction factor'!$C$13</f>
        <v>10198622.725092843</v>
      </c>
      <c r="FA7" s="53">
        <f t="shared" ca="1" si="60"/>
        <v>1316606381.7250929</v>
      </c>
      <c r="FB7" s="53">
        <f t="shared" ca="1" si="61"/>
        <v>0.93870050556817131</v>
      </c>
      <c r="FC7" s="53">
        <v>1050335689</v>
      </c>
      <c r="FD7" s="53">
        <v>9644346</v>
      </c>
      <c r="FE7" s="53">
        <f ca="1">INDIRECT("ZS(-1)",0) * 'Correction factor'!$C$13</f>
        <v>13375386.287955476</v>
      </c>
      <c r="FF7" s="53">
        <f t="shared" ca="1" si="62"/>
        <v>1063711075.2879555</v>
      </c>
      <c r="FG7" s="53">
        <f t="shared" ca="1" si="63"/>
        <v>0.82091329145311709</v>
      </c>
      <c r="FH7" s="53">
        <v>1673319491</v>
      </c>
      <c r="FI7" s="53">
        <v>10507969</v>
      </c>
      <c r="FJ7" s="53">
        <f ca="1">INDIRECT("ZS(-1)",0) * 'Correction factor'!$C$13</f>
        <v>14573113.042280028</v>
      </c>
      <c r="FK7" s="53">
        <f t="shared" ca="1" si="64"/>
        <v>1687892604.04228</v>
      </c>
      <c r="FL7" s="53">
        <f t="shared" ca="1" si="65"/>
        <v>0.95087265993523507</v>
      </c>
      <c r="FM7" s="53">
        <v>1276837302</v>
      </c>
      <c r="FN7" s="53">
        <v>7260724</v>
      </c>
      <c r="FO7" s="53">
        <f ca="1">INDIRECT("ZS(-1)",0) * 'Correction factor'!$C$13</f>
        <v>10069629.213865744</v>
      </c>
      <c r="FP7" s="53">
        <f t="shared" ca="1" si="66"/>
        <v>1286906931.2138658</v>
      </c>
      <c r="FQ7" s="53">
        <f t="shared" ca="1" si="67"/>
        <v>0.90947215179983354</v>
      </c>
      <c r="FR7" s="53">
        <v>1259099849</v>
      </c>
      <c r="FS7" s="53">
        <v>7796515</v>
      </c>
      <c r="FT7" s="53">
        <f ca="1">INDIRECT("ZS(-1)",0) * 'Correction factor'!$C$13</f>
        <v>10812697.908685481</v>
      </c>
      <c r="FU7" s="53">
        <f t="shared" ca="1" si="68"/>
        <v>1269912546.9086854</v>
      </c>
      <c r="FV7" s="53">
        <f t="shared" ca="1" si="69"/>
        <v>0.88589689704415009</v>
      </c>
      <c r="FW7" s="53">
        <v>1096360288</v>
      </c>
      <c r="FX7" s="53">
        <v>12364852</v>
      </c>
      <c r="FY7" s="53">
        <f ca="1">INDIRECT("ZS(-1)",0) * 'Correction factor'!$C$13</f>
        <v>17148355.305108178</v>
      </c>
      <c r="FZ7" s="53">
        <f t="shared" ca="1" si="70"/>
        <v>1113508643.3051081</v>
      </c>
      <c r="GA7" s="53">
        <f t="shared" ca="1" si="71"/>
        <v>0.89358976654494215</v>
      </c>
      <c r="GB7" s="53">
        <v>1253407224</v>
      </c>
      <c r="GC7" s="53">
        <v>7478906</v>
      </c>
      <c r="GD7" s="53">
        <f ca="1">INDIRECT("ZS(-1)",0) * 'Correction factor'!$C$13</f>
        <v>10372217.749270706</v>
      </c>
      <c r="GE7" s="53">
        <f t="shared" ca="1" si="72"/>
        <v>1263779441.7492707</v>
      </c>
      <c r="GF7" s="53">
        <f t="shared" ca="1" si="73"/>
        <v>0.88129061198595493</v>
      </c>
      <c r="GG7" s="53">
        <v>1185333323</v>
      </c>
      <c r="GH7" s="53">
        <v>8983858</v>
      </c>
      <c r="GI7" s="53">
        <f ca="1">INDIRECT("ZS(-1)",0) * 'Correction factor'!$C$13</f>
        <v>12459379.942003233</v>
      </c>
      <c r="GJ7" s="53">
        <f t="shared" ca="1" si="74"/>
        <v>1197792702.9420033</v>
      </c>
      <c r="GK7" s="53">
        <f t="shared" ca="1" si="75"/>
        <v>0.83521569777314231</v>
      </c>
      <c r="GL7" s="53">
        <v>1224862753</v>
      </c>
      <c r="GM7" s="53">
        <v>7914068</v>
      </c>
      <c r="GN7" s="53">
        <f ca="1">INDIRECT("ZS(-1)",0) * 'Correction factor'!$C$13</f>
        <v>10975727.810796836</v>
      </c>
      <c r="GO7" s="53">
        <f t="shared" ca="1" si="76"/>
        <v>1235838480.8107967</v>
      </c>
      <c r="GP7" s="53">
        <f t="shared" ca="1" si="77"/>
        <v>0.85254553649069775</v>
      </c>
      <c r="GQ7" s="53">
        <v>900183168</v>
      </c>
      <c r="GR7" s="53">
        <v>7080993</v>
      </c>
      <c r="GS7" s="53">
        <f ca="1">INDIRECT("ZS(-1)",0) * 'Correction factor'!$C$13</f>
        <v>9820366.94632365</v>
      </c>
      <c r="GT7" s="53">
        <f t="shared" ca="1" si="78"/>
        <v>910003534.94632363</v>
      </c>
      <c r="GU7" s="53">
        <f t="shared" ca="1" si="79"/>
        <v>0.94356813421190033</v>
      </c>
      <c r="GV7" s="53">
        <v>1278773664</v>
      </c>
      <c r="GW7" s="53">
        <v>8818691</v>
      </c>
      <c r="GX7" s="53">
        <f ca="1">INDIRECT("ZS(-1)",0) * 'Correction factor'!$C$13</f>
        <v>12230315.946681751</v>
      </c>
      <c r="GY7" s="53">
        <f t="shared" ca="1" si="80"/>
        <v>1291003979.9466817</v>
      </c>
      <c r="GZ7" s="53">
        <f t="shared" ca="1" si="81"/>
        <v>0.91649201915232259</v>
      </c>
      <c r="HA7" s="53">
        <v>1172601286</v>
      </c>
      <c r="HB7" s="53">
        <v>8283100</v>
      </c>
      <c r="HC7" s="53">
        <f ca="1">INDIRECT("ZS(-1)",0) * 'Correction factor'!$C$13</f>
        <v>11487524.624454992</v>
      </c>
      <c r="HD7" s="53">
        <f t="shared" ca="1" si="82"/>
        <v>1184088810.624455</v>
      </c>
      <c r="HE7" s="53">
        <f t="shared" ca="1" si="83"/>
        <v>0.86719882535403481</v>
      </c>
      <c r="HF7" s="53">
        <v>1250750536</v>
      </c>
      <c r="HG7" s="53">
        <v>11979786</v>
      </c>
      <c r="HH7" s="53">
        <f ca="1">INDIRECT("ZS(-1)",0) * 'Correction factor'!$C$13</f>
        <v>16614321.530671025</v>
      </c>
      <c r="HI7" s="53">
        <f t="shared" ca="1" si="84"/>
        <v>1267364857.5306711</v>
      </c>
      <c r="HJ7" s="53">
        <f t="shared" ca="1" si="85"/>
        <v>0.93357889442200193</v>
      </c>
      <c r="HK7" s="53">
        <v>1095587823</v>
      </c>
      <c r="HL7" s="53">
        <v>13798848</v>
      </c>
      <c r="HM7" s="53">
        <f ca="1">INDIRECT("ZS(-1)",0) * 'Correction factor'!$C$13</f>
        <v>19137111.249304187</v>
      </c>
      <c r="HN7" s="53">
        <f t="shared" ca="1" si="86"/>
        <v>1114724934.2493043</v>
      </c>
      <c r="HO7" s="53">
        <f t="shared" ca="1" si="87"/>
        <v>0.82985061458949183</v>
      </c>
      <c r="HP7" s="53">
        <v>1341501400</v>
      </c>
      <c r="HQ7" s="53">
        <v>7008248</v>
      </c>
      <c r="HR7" s="53">
        <f ca="1">INDIRECT("ZS(-1)",0) * 'Correction factor'!$C$13</f>
        <v>9719479.5999429505</v>
      </c>
      <c r="HS7" s="53">
        <f t="shared" ca="1" si="88"/>
        <v>1351220879.5999429</v>
      </c>
      <c r="HT7" s="53">
        <f t="shared" ca="1" si="89"/>
        <v>0.8759863057534204</v>
      </c>
      <c r="HU7" s="53">
        <v>1186498532</v>
      </c>
      <c r="HV7" s="53">
        <v>7949779</v>
      </c>
      <c r="HW7" s="53">
        <f ca="1">INDIRECT("ZS(-1)",0) * 'Correction factor'!$C$13</f>
        <v>11025254.074135913</v>
      </c>
      <c r="HX7" s="53">
        <f t="shared" ca="1" si="90"/>
        <v>1197523786.074136</v>
      </c>
      <c r="HY7" s="53">
        <f t="shared" ca="1" si="91"/>
        <v>0.93970081586270493</v>
      </c>
      <c r="HZ7" s="53">
        <v>1098935058</v>
      </c>
      <c r="IA7" s="53">
        <v>13253272</v>
      </c>
      <c r="IB7" s="53">
        <f ca="1">INDIRECT("ZS(-1)",0) * 'Correction factor'!$C$13</f>
        <v>18380472.100373033</v>
      </c>
      <c r="IC7" s="53">
        <f t="shared" ca="1" si="92"/>
        <v>1117315530.100373</v>
      </c>
      <c r="ID7" s="53">
        <f t="shared" ca="1" si="93"/>
        <v>0.86640313504436761</v>
      </c>
      <c r="IE7" s="53">
        <v>1125174999</v>
      </c>
      <c r="IF7" s="53">
        <v>6902104</v>
      </c>
      <c r="IG7" s="53">
        <f ca="1">INDIRECT("ZS(-1)",0) * 'Correction factor'!$C$13</f>
        <v>9572272.4173979908</v>
      </c>
      <c r="IH7" s="53">
        <f t="shared" ca="1" si="94"/>
        <v>1134747271.417398</v>
      </c>
      <c r="II7" s="61">
        <f t="shared" ca="1" si="95"/>
        <v>0.86832186002357048</v>
      </c>
    </row>
    <row r="8" spans="1:243" s="3" customFormat="1" x14ac:dyDescent="0.25">
      <c r="A8" s="57">
        <v>4</v>
      </c>
      <c r="B8" s="56">
        <v>45495</v>
      </c>
      <c r="C8" s="29" t="s">
        <v>35</v>
      </c>
      <c r="D8" s="52">
        <v>1745964514</v>
      </c>
      <c r="E8" s="53">
        <v>8818614</v>
      </c>
      <c r="F8" s="53">
        <f ca="1">INDIRECT("ZS(-1)",0) * 'Correction factor'!$C$13</f>
        <v>12230209.158233456</v>
      </c>
      <c r="G8" s="53">
        <f t="shared" ca="1" si="0"/>
        <v>1758194723.1582334</v>
      </c>
      <c r="H8" s="53">
        <f t="shared" ca="1" si="1"/>
        <v>1.2716096781824571</v>
      </c>
      <c r="I8" s="53">
        <v>1933199939</v>
      </c>
      <c r="J8" s="53">
        <v>10812002</v>
      </c>
      <c r="K8" s="53">
        <f ca="1">INDIRECT("ZS(-1)",0) * 'Correction factor'!$C$13</f>
        <v>14994765.150083497</v>
      </c>
      <c r="L8" s="53">
        <f t="shared" ca="1" si="2"/>
        <v>1948194704.1500835</v>
      </c>
      <c r="M8" s="53">
        <f t="shared" ca="1" si="3"/>
        <v>1.27704834694943</v>
      </c>
      <c r="N8" s="53">
        <v>1790249855</v>
      </c>
      <c r="O8" s="53">
        <v>8034895</v>
      </c>
      <c r="P8" s="53">
        <f ca="1">INDIRECT("ZS(-1)",0) * 'Correction factor'!$C$13</f>
        <v>11143298.30225523</v>
      </c>
      <c r="Q8" s="53">
        <f t="shared" ca="1" si="4"/>
        <v>1801393153.3022552</v>
      </c>
      <c r="R8" s="53">
        <f t="shared" ca="1" si="5"/>
        <v>1.4023908983060556</v>
      </c>
      <c r="S8" s="53">
        <v>1852078510</v>
      </c>
      <c r="T8" s="53">
        <v>7224203</v>
      </c>
      <c r="U8" s="53">
        <f ca="1">INDIRECT("ZS(-1)",0) * 'Correction factor'!$C$13</f>
        <v>10018979.591525108</v>
      </c>
      <c r="V8" s="53">
        <f t="shared" ca="1" si="6"/>
        <v>1862097489.5915251</v>
      </c>
      <c r="W8" s="53">
        <f t="shared" ca="1" si="7"/>
        <v>1.2711618840737215</v>
      </c>
      <c r="X8" s="53">
        <v>2003050974</v>
      </c>
      <c r="Y8" s="53">
        <v>8809699</v>
      </c>
      <c r="Z8" s="53">
        <f ca="1">INDIRECT("ZS(-1)",0) * 'Correction factor'!$C$13</f>
        <v>12217845.274901489</v>
      </c>
      <c r="AA8" s="53">
        <f t="shared" ca="1" si="8"/>
        <v>2015268819.2749014</v>
      </c>
      <c r="AB8" s="53">
        <f t="shared" ca="1" si="9"/>
        <v>1.4055076006042877</v>
      </c>
      <c r="AC8" s="53">
        <v>2368534041</v>
      </c>
      <c r="AD8" s="53">
        <v>12659188</v>
      </c>
      <c r="AE8" s="53">
        <f ca="1">INDIRECT("ZS(-1)",0) * 'Correction factor'!$C$13</f>
        <v>17556559.002741139</v>
      </c>
      <c r="AF8" s="53">
        <f t="shared" ca="1" si="10"/>
        <v>2386090600.0027413</v>
      </c>
      <c r="AG8" s="53">
        <f t="shared" ca="1" si="11"/>
        <v>1.5393007373463772</v>
      </c>
      <c r="AH8" s="53">
        <v>1152710707</v>
      </c>
      <c r="AI8" s="53">
        <v>8819543</v>
      </c>
      <c r="AJ8" s="53">
        <f ca="1">INDIRECT("ZS(-1)",0) * 'Correction factor'!$C$13</f>
        <v>12231497.553927835</v>
      </c>
      <c r="AK8" s="53">
        <f t="shared" ca="1" si="12"/>
        <v>1164942204.5539279</v>
      </c>
      <c r="AL8" s="53">
        <f t="shared" ca="1" si="13"/>
        <v>0.6611466827348883</v>
      </c>
      <c r="AM8" s="53">
        <v>1218735993</v>
      </c>
      <c r="AN8" s="53">
        <v>20519792</v>
      </c>
      <c r="AO8" s="53">
        <f ca="1">INDIRECT("ZS(-1)",0) * 'Correction factor'!$C$13</f>
        <v>28458139.571983259</v>
      </c>
      <c r="AP8" s="53">
        <f t="shared" ca="1" si="14"/>
        <v>1247194132.5719833</v>
      </c>
      <c r="AQ8" s="53">
        <f t="shared" ca="1" si="15"/>
        <v>0.80994452401898609</v>
      </c>
      <c r="AR8" s="53">
        <v>1080537262</v>
      </c>
      <c r="AS8" s="53">
        <v>7217414</v>
      </c>
      <c r="AT8" s="53">
        <f ca="1">INDIRECT("ZS(-1)",0) * 'Correction factor'!$C$13</f>
        <v>10009564.178856492</v>
      </c>
      <c r="AU8" s="53">
        <f t="shared" ca="1" si="16"/>
        <v>1090546826.1788564</v>
      </c>
      <c r="AV8" s="53">
        <f t="shared" ca="1" si="17"/>
        <v>0.78042415149689603</v>
      </c>
      <c r="AW8" s="53">
        <v>1041470709</v>
      </c>
      <c r="AX8" s="53">
        <v>11005206</v>
      </c>
      <c r="AY8" s="53">
        <f ca="1">INDIRECT("ZS(-1)",0) * 'Correction factor'!$C$13</f>
        <v>15262712.622351514</v>
      </c>
      <c r="AZ8" s="53">
        <f t="shared" ca="1" si="18"/>
        <v>1056733421.6223515</v>
      </c>
      <c r="BA8" s="53">
        <f t="shared" ca="1" si="19"/>
        <v>0.72602039138244667</v>
      </c>
      <c r="BB8" s="53">
        <v>973848831</v>
      </c>
      <c r="BC8" s="53">
        <v>7532688</v>
      </c>
      <c r="BD8" s="53">
        <f ca="1">INDIRECT("ZS(-1)",0) * 'Correction factor'!$C$13</f>
        <v>10446806.013248255</v>
      </c>
      <c r="BE8" s="53">
        <f t="shared" ca="1" si="20"/>
        <v>984295637.01324821</v>
      </c>
      <c r="BF8" s="53">
        <f t="shared" ca="1" si="21"/>
        <v>0.66810788098194629</v>
      </c>
      <c r="BG8" s="53">
        <v>1457747550</v>
      </c>
      <c r="BH8" s="53">
        <v>7981363</v>
      </c>
      <c r="BI8" s="53">
        <f ca="1">INDIRECT("ZS(-1)",0) * 'Correction factor'!$C$13</f>
        <v>11069056.754018903</v>
      </c>
      <c r="BJ8" s="53">
        <f t="shared" ca="1" si="22"/>
        <v>1468816606.7540188</v>
      </c>
      <c r="BK8" s="53">
        <f t="shared" ca="1" si="23"/>
        <v>0.89465250923270268</v>
      </c>
      <c r="BL8" s="53">
        <v>40442625</v>
      </c>
      <c r="BM8" s="53">
        <v>241448259</v>
      </c>
      <c r="BN8" s="53">
        <f ca="1">INDIRECT("ZS(-1)",0) * 'Correction factor'!$C$13</f>
        <v>334855648.34352916</v>
      </c>
      <c r="BO8" s="53">
        <f t="shared" ca="1" si="24"/>
        <v>375298273.34352916</v>
      </c>
      <c r="BP8" s="53">
        <f t="shared" ca="1" si="25"/>
        <v>1.7999415086257018</v>
      </c>
      <c r="BQ8" s="53">
        <v>9287122</v>
      </c>
      <c r="BR8" s="53">
        <v>171783621</v>
      </c>
      <c r="BS8" s="53">
        <f ca="1">INDIRECT("ZS(-1)",0) * 'Correction factor'!$C$13</f>
        <v>238240341.93907398</v>
      </c>
      <c r="BT8" s="53">
        <f t="shared" ca="1" si="26"/>
        <v>247527463.93907398</v>
      </c>
      <c r="BU8" s="53">
        <f t="shared" ca="1" si="27"/>
        <v>1.4531989778506302</v>
      </c>
      <c r="BV8" s="53">
        <v>13423677</v>
      </c>
      <c r="BW8" s="53">
        <v>190410809</v>
      </c>
      <c r="BX8" s="53">
        <f ca="1">INDIRECT("ZS(-1)",0) * 'Correction factor'!$C$13</f>
        <v>264073699.11626035</v>
      </c>
      <c r="BY8" s="53">
        <f t="shared" ca="1" si="28"/>
        <v>277497376.11626035</v>
      </c>
      <c r="BZ8" s="53">
        <f t="shared" ca="1" si="29"/>
        <v>1.7661385673251544</v>
      </c>
      <c r="CA8" s="53">
        <v>10766516</v>
      </c>
      <c r="CB8" s="53">
        <v>204367980</v>
      </c>
      <c r="CC8" s="53">
        <f ca="1">INDIRECT("ZS(-1)",0) * 'Correction factor'!$C$13</f>
        <v>283430382.67075437</v>
      </c>
      <c r="CD8" s="53">
        <f t="shared" ca="1" si="30"/>
        <v>294196898.67075437</v>
      </c>
      <c r="CE8" s="53">
        <f t="shared" ca="1" si="31"/>
        <v>1.6652284007637443</v>
      </c>
      <c r="CF8" s="53">
        <v>35926148</v>
      </c>
      <c r="CG8" s="53">
        <v>120454603</v>
      </c>
      <c r="CH8" s="53">
        <f ca="1">INDIRECT("ZS(-1)",0) * 'Correction factor'!$C$13</f>
        <v>167054027.85085899</v>
      </c>
      <c r="CI8" s="53">
        <f t="shared" ca="1" si="32"/>
        <v>202980175.85085899</v>
      </c>
      <c r="CJ8" s="53">
        <f t="shared" ca="1" si="33"/>
        <v>1.4745398845846238</v>
      </c>
      <c r="CK8" s="53">
        <v>28151635</v>
      </c>
      <c r="CL8" s="53">
        <v>150093226</v>
      </c>
      <c r="CM8" s="53">
        <f ca="1">INDIRECT("ZS(-1)",0) * 'Correction factor'!$C$13</f>
        <v>208158736.41980517</v>
      </c>
      <c r="CN8" s="53">
        <f t="shared" ca="1" si="34"/>
        <v>236310371.41980517</v>
      </c>
      <c r="CO8" s="53">
        <f t="shared" ca="1" si="35"/>
        <v>1.6879770225820698</v>
      </c>
      <c r="CP8" s="53">
        <v>1086147530</v>
      </c>
      <c r="CQ8" s="53">
        <v>7592099</v>
      </c>
      <c r="CR8" s="53">
        <f ca="1">INDIRECT("ZS(-1)",0) * 'Correction factor'!$C$13</f>
        <v>10529200.928855153</v>
      </c>
      <c r="CS8" s="53">
        <f t="shared" ca="1" si="36"/>
        <v>1096676730.9288552</v>
      </c>
      <c r="CT8" s="53">
        <f t="shared" ca="1" si="37"/>
        <v>0.74708889423577007</v>
      </c>
      <c r="CU8" s="53">
        <v>954855980</v>
      </c>
      <c r="CV8" s="53">
        <v>7583324</v>
      </c>
      <c r="CW8" s="53">
        <f ca="1">INDIRECT("ZS(-1)",0) * 'Correction factor'!$C$13</f>
        <v>10517031.20633827</v>
      </c>
      <c r="CX8" s="53">
        <f t="shared" ca="1" si="38"/>
        <v>965373011.20633829</v>
      </c>
      <c r="CY8" s="53">
        <f t="shared" ca="1" si="39"/>
        <v>0.73862327796703098</v>
      </c>
      <c r="CZ8" s="53">
        <v>985248044</v>
      </c>
      <c r="DA8" s="53">
        <v>9839675</v>
      </c>
      <c r="DB8" s="53">
        <f ca="1">INDIRECT("ZS(-1)",0) * 'Correction factor'!$C$13</f>
        <v>13646280.844023876</v>
      </c>
      <c r="DC8" s="53">
        <f t="shared" ca="1" si="40"/>
        <v>998894324.84402382</v>
      </c>
      <c r="DD8" s="53">
        <f t="shared" ca="1" si="41"/>
        <v>0.6556373484119451</v>
      </c>
      <c r="DE8" s="53">
        <v>999430196</v>
      </c>
      <c r="DF8" s="53">
        <v>20983333</v>
      </c>
      <c r="DG8" s="53">
        <f ca="1">INDIRECT("ZS(-1)",0) * 'Correction factor'!$C$13</f>
        <v>29101007.417589918</v>
      </c>
      <c r="DH8" s="53">
        <f t="shared" ca="1" si="42"/>
        <v>1028531203.4175899</v>
      </c>
      <c r="DI8" s="53">
        <f t="shared" ca="1" si="43"/>
        <v>0.74891223239566473</v>
      </c>
      <c r="DJ8" s="53">
        <v>842185051</v>
      </c>
      <c r="DK8" s="53">
        <v>9888608</v>
      </c>
      <c r="DL8" s="53">
        <f ca="1">INDIRECT("ZS(-1)",0) * 'Correction factor'!$C$13</f>
        <v>13714144.209484689</v>
      </c>
      <c r="DM8" s="53">
        <f t="shared" ca="1" si="44"/>
        <v>855899195.2094847</v>
      </c>
      <c r="DN8" s="53">
        <f t="shared" ca="1" si="45"/>
        <v>0.70546658352164993</v>
      </c>
      <c r="DO8" s="53">
        <v>748386288</v>
      </c>
      <c r="DP8" s="53">
        <v>9614544</v>
      </c>
      <c r="DQ8" s="53">
        <f ca="1">INDIRECT("ZS(-1)",0) * 'Correction factor'!$C$13</f>
        <v>13334054.997875916</v>
      </c>
      <c r="DR8" s="53">
        <f t="shared" ca="1" si="46"/>
        <v>761720342.99787593</v>
      </c>
      <c r="DS8" s="53">
        <f t="shared" ca="1" si="47"/>
        <v>0.57387950743205718</v>
      </c>
      <c r="DT8" s="53">
        <v>922631532</v>
      </c>
      <c r="DU8" s="53">
        <v>11853455</v>
      </c>
      <c r="DV8" s="53">
        <f ca="1">INDIRECT("ZS(-1)",0) * 'Correction factor'!$C$13</f>
        <v>16439117.745453894</v>
      </c>
      <c r="DW8" s="53">
        <f t="shared" ca="1" si="48"/>
        <v>939070649.74545383</v>
      </c>
      <c r="DX8" s="53">
        <f t="shared" ca="1" si="49"/>
        <v>0.69150793322901916</v>
      </c>
      <c r="DY8" s="53">
        <v>1036201632</v>
      </c>
      <c r="DZ8" s="53">
        <v>14886645</v>
      </c>
      <c r="EA8" s="53">
        <f ca="1">INDIRECT("ZS(-1)",0) * 'Correction factor'!$C$13</f>
        <v>20645736.621919304</v>
      </c>
      <c r="EB8" s="53">
        <f t="shared" ca="1" si="50"/>
        <v>1056847368.6219193</v>
      </c>
      <c r="EC8" s="53">
        <f t="shared" ca="1" si="51"/>
        <v>0.7474026038955891</v>
      </c>
      <c r="ED8" s="53">
        <v>936711428</v>
      </c>
      <c r="EE8" s="53">
        <v>17899560</v>
      </c>
      <c r="EF8" s="53">
        <f ca="1">INDIRECT("ZS(-1)",0) * 'Correction factor'!$C$13</f>
        <v>24824236.85177163</v>
      </c>
      <c r="EG8" s="53">
        <f t="shared" ca="1" si="52"/>
        <v>961535664.85177159</v>
      </c>
      <c r="EH8" s="53">
        <f t="shared" ca="1" si="53"/>
        <v>0.73510975432081682</v>
      </c>
      <c r="EI8" s="53">
        <v>898601394</v>
      </c>
      <c r="EJ8" s="53">
        <v>16750009</v>
      </c>
      <c r="EK8" s="53">
        <f ca="1">INDIRECT("ZS(-1)",0) * 'Correction factor'!$C$13</f>
        <v>23229967.143622886</v>
      </c>
      <c r="EL8" s="53">
        <f t="shared" ca="1" si="54"/>
        <v>921831361.14362288</v>
      </c>
      <c r="EM8" s="53">
        <f t="shared" ca="1" si="55"/>
        <v>0.70045686360053261</v>
      </c>
      <c r="EN8" s="53">
        <v>988878603</v>
      </c>
      <c r="EO8" s="53">
        <v>10408914</v>
      </c>
      <c r="EP8" s="53">
        <f ca="1">INDIRECT("ZS(-1)",0) * 'Correction factor'!$C$13</f>
        <v>14435737.331293153</v>
      </c>
      <c r="EQ8" s="53">
        <f t="shared" ca="1" si="56"/>
        <v>1003314340.3312931</v>
      </c>
      <c r="ER8" s="53">
        <f t="shared" ca="1" si="57"/>
        <v>0.68217040205191992</v>
      </c>
      <c r="ES8" s="53">
        <v>1089008693</v>
      </c>
      <c r="ET8" s="53">
        <v>7971868</v>
      </c>
      <c r="EU8" s="53">
        <f ca="1">INDIRECT("ZS(-1)",0) * 'Correction factor'!$C$13</f>
        <v>11055888.490167301</v>
      </c>
      <c r="EV8" s="53">
        <f t="shared" ca="1" si="58"/>
        <v>1100064581.4901674</v>
      </c>
      <c r="EW8" s="53">
        <f t="shared" ca="1" si="59"/>
        <v>0.75196297762068953</v>
      </c>
      <c r="EX8" s="53">
        <v>1115991581</v>
      </c>
      <c r="EY8" s="53">
        <v>8075904</v>
      </c>
      <c r="EZ8" s="53">
        <f ca="1">INDIRECT("ZS(-1)",0) * 'Correction factor'!$C$13</f>
        <v>11200172.165582279</v>
      </c>
      <c r="FA8" s="53">
        <f t="shared" ca="1" si="60"/>
        <v>1127191753.1655822</v>
      </c>
      <c r="FB8" s="53">
        <f t="shared" ca="1" si="61"/>
        <v>0.80365360768070127</v>
      </c>
      <c r="FC8" s="53">
        <v>824711482</v>
      </c>
      <c r="FD8" s="53">
        <v>11052403</v>
      </c>
      <c r="FE8" s="53">
        <f ca="1">INDIRECT("ZS(-1)",0) * 'Correction factor'!$C$13</f>
        <v>15328168.393705282</v>
      </c>
      <c r="FF8" s="53">
        <f t="shared" ca="1" si="62"/>
        <v>840039650.39370525</v>
      </c>
      <c r="FG8" s="53">
        <f t="shared" ca="1" si="63"/>
        <v>0.64829607435378245</v>
      </c>
      <c r="FH8" s="53">
        <v>1306889387</v>
      </c>
      <c r="FI8" s="53">
        <v>11265814</v>
      </c>
      <c r="FJ8" s="53">
        <f ca="1">INDIRECT("ZS(-1)",0) * 'Correction factor'!$C$13</f>
        <v>15624140.205904769</v>
      </c>
      <c r="FK8" s="53">
        <f t="shared" ca="1" si="64"/>
        <v>1322513527.2059047</v>
      </c>
      <c r="FL8" s="53">
        <f t="shared" ca="1" si="65"/>
        <v>0.74503671169774754</v>
      </c>
      <c r="FM8" s="53">
        <v>1101203266</v>
      </c>
      <c r="FN8" s="53">
        <v>7905057</v>
      </c>
      <c r="FO8" s="53">
        <f ca="1">INDIRECT("ZS(-1)",0) * 'Correction factor'!$C$13</f>
        <v>10963230.788620239</v>
      </c>
      <c r="FP8" s="53">
        <f t="shared" ca="1" si="66"/>
        <v>1112166496.7886202</v>
      </c>
      <c r="FQ8" s="53">
        <f t="shared" ca="1" si="67"/>
        <v>0.78598104685002645</v>
      </c>
      <c r="FR8" s="53">
        <v>1001351548</v>
      </c>
      <c r="FS8" s="53">
        <v>8566068</v>
      </c>
      <c r="FT8" s="53">
        <f ca="1">INDIRECT("ZS(-1)",0) * 'Correction factor'!$C$13</f>
        <v>11879962.46390312</v>
      </c>
      <c r="FU8" s="53">
        <f t="shared" ca="1" si="68"/>
        <v>1013231510.4639031</v>
      </c>
      <c r="FV8" s="53">
        <f t="shared" ca="1" si="69"/>
        <v>0.70683501260963078</v>
      </c>
      <c r="FW8" s="53">
        <v>872367731</v>
      </c>
      <c r="FX8" s="53">
        <v>17545904</v>
      </c>
      <c r="FY8" s="53">
        <f ca="1">INDIRECT("ZS(-1)",0) * 'Correction factor'!$C$13</f>
        <v>24333764.443061575</v>
      </c>
      <c r="FZ8" s="53">
        <f t="shared" ca="1" si="70"/>
        <v>896701495.44306159</v>
      </c>
      <c r="GA8" s="53">
        <f t="shared" ca="1" si="71"/>
        <v>0.71960220945847608</v>
      </c>
      <c r="GB8" s="53">
        <v>1004750799</v>
      </c>
      <c r="GC8" s="53">
        <v>7902171</v>
      </c>
      <c r="GD8" s="53">
        <f ca="1">INDIRECT("ZS(-1)",0) * 'Correction factor'!$C$13</f>
        <v>10959228.302103575</v>
      </c>
      <c r="GE8" s="53">
        <f t="shared" ca="1" si="72"/>
        <v>1015710027.3021035</v>
      </c>
      <c r="GF8" s="53">
        <f t="shared" ca="1" si="73"/>
        <v>0.70830057998279539</v>
      </c>
      <c r="GG8" s="53">
        <v>848808601</v>
      </c>
      <c r="GH8" s="53">
        <v>9682317</v>
      </c>
      <c r="GI8" s="53">
        <f ca="1">INDIRECT("ZS(-1)",0) * 'Correction factor'!$C$13</f>
        <v>13428046.861595199</v>
      </c>
      <c r="GJ8" s="53">
        <f t="shared" ca="1" si="74"/>
        <v>862236647.86159515</v>
      </c>
      <c r="GK8" s="53">
        <f t="shared" ca="1" si="75"/>
        <v>0.60123390443143065</v>
      </c>
      <c r="GL8" s="53">
        <v>989223798</v>
      </c>
      <c r="GM8" s="53">
        <v>9062582</v>
      </c>
      <c r="GN8" s="53">
        <f ca="1">INDIRECT("ZS(-1)",0) * 'Correction factor'!$C$13</f>
        <v>12568559.342050992</v>
      </c>
      <c r="GO8" s="53">
        <f t="shared" ca="1" si="76"/>
        <v>1001792357.342051</v>
      </c>
      <c r="GP8" s="53">
        <f t="shared" ca="1" si="77"/>
        <v>0.69108837117786415</v>
      </c>
      <c r="GQ8" s="53">
        <v>696144676</v>
      </c>
      <c r="GR8" s="53">
        <v>7838703</v>
      </c>
      <c r="GS8" s="53">
        <f ca="1">INDIRECT("ZS(-1)",0) * 'Correction factor'!$C$13</f>
        <v>10871206.883448131</v>
      </c>
      <c r="GT8" s="53">
        <f t="shared" ca="1" si="78"/>
        <v>707015882.88344812</v>
      </c>
      <c r="GU8" s="53">
        <f t="shared" ca="1" si="79"/>
        <v>0.7330934791477095</v>
      </c>
      <c r="GV8" s="53">
        <v>1010689635</v>
      </c>
      <c r="GW8" s="53">
        <v>9850428</v>
      </c>
      <c r="GX8" s="53">
        <f ca="1">INDIRECT("ZS(-1)",0) * 'Correction factor'!$C$13</f>
        <v>13661193.781485306</v>
      </c>
      <c r="GY8" s="53">
        <f t="shared" ca="1" si="80"/>
        <v>1024350828.7814853</v>
      </c>
      <c r="GZ8" s="53">
        <f t="shared" ca="1" si="81"/>
        <v>0.72719323408210657</v>
      </c>
      <c r="HA8" s="53">
        <v>942583244</v>
      </c>
      <c r="HB8" s="53">
        <v>9785933</v>
      </c>
      <c r="HC8" s="53">
        <f ca="1">INDIRECT("ZS(-1)",0) * 'Correction factor'!$C$13</f>
        <v>13571748.054564923</v>
      </c>
      <c r="HD8" s="53">
        <f t="shared" ca="1" si="82"/>
        <v>956154992.05456495</v>
      </c>
      <c r="HE8" s="53">
        <f t="shared" ca="1" si="83"/>
        <v>0.70026545181930311</v>
      </c>
      <c r="HF8" s="53">
        <v>1056090065</v>
      </c>
      <c r="HG8" s="53">
        <v>15727772</v>
      </c>
      <c r="HH8" s="53">
        <f ca="1">INDIRECT("ZS(-1)",0) * 'Correction factor'!$C$13</f>
        <v>21812264.506985757</v>
      </c>
      <c r="HI8" s="53">
        <f t="shared" ca="1" si="84"/>
        <v>1077902329.5069857</v>
      </c>
      <c r="HJ8" s="53">
        <f t="shared" ca="1" si="85"/>
        <v>0.79401512445020495</v>
      </c>
      <c r="HK8" s="53">
        <v>861559711</v>
      </c>
      <c r="HL8" s="53">
        <v>17792015</v>
      </c>
      <c r="HM8" s="53">
        <f ca="1">INDIRECT("ZS(-1)",0) * 'Correction factor'!$C$13</f>
        <v>24675086.674212866</v>
      </c>
      <c r="HN8" s="53">
        <f t="shared" ca="1" si="86"/>
        <v>886234797.67421281</v>
      </c>
      <c r="HO8" s="53">
        <f t="shared" ca="1" si="87"/>
        <v>0.65975243660967609</v>
      </c>
      <c r="HP8" s="53">
        <v>1079200244</v>
      </c>
      <c r="HQ8" s="53">
        <v>7511423</v>
      </c>
      <c r="HR8" s="53">
        <f ca="1">INDIRECT("ZS(-1)",0) * 'Correction factor'!$C$13</f>
        <v>10417314.372299934</v>
      </c>
      <c r="HS8" s="53">
        <f t="shared" ca="1" si="88"/>
        <v>1089617558.3722999</v>
      </c>
      <c r="HT8" s="53">
        <f t="shared" ca="1" si="89"/>
        <v>0.70639084553312226</v>
      </c>
      <c r="HU8" s="53">
        <v>1025421020</v>
      </c>
      <c r="HV8" s="53">
        <v>8653011</v>
      </c>
      <c r="HW8" s="53">
        <f ca="1">INDIRECT("ZS(-1)",0) * 'Correction factor'!$C$13</f>
        <v>12000540.490659283</v>
      </c>
      <c r="HX8" s="53">
        <f t="shared" ca="1" si="90"/>
        <v>1037421560.4906592</v>
      </c>
      <c r="HY8" s="53">
        <f t="shared" ca="1" si="91"/>
        <v>0.81406807791480584</v>
      </c>
      <c r="HZ8" s="53">
        <v>866896158</v>
      </c>
      <c r="IA8" s="53">
        <v>15300757</v>
      </c>
      <c r="IB8" s="53">
        <f ca="1">INDIRECT("ZS(-1)",0) * 'Correction factor'!$C$13</f>
        <v>21220053.218034562</v>
      </c>
      <c r="IC8" s="53">
        <f t="shared" ca="1" si="92"/>
        <v>888116211.21803451</v>
      </c>
      <c r="ID8" s="53">
        <f t="shared" ca="1" si="93"/>
        <v>0.68867446030568158</v>
      </c>
      <c r="IE8" s="53">
        <v>878196700</v>
      </c>
      <c r="IF8" s="53">
        <v>7577978</v>
      </c>
      <c r="IG8" s="53">
        <f ca="1">INDIRECT("ZS(-1)",0) * 'Correction factor'!$C$13</f>
        <v>10509617.036927985</v>
      </c>
      <c r="IH8" s="53">
        <f t="shared" ca="1" si="94"/>
        <v>888706317.03692794</v>
      </c>
      <c r="II8" s="53">
        <f t="shared" ca="1" si="95"/>
        <v>0.68004844925540364</v>
      </c>
    </row>
    <row r="9" spans="1:243" x14ac:dyDescent="0.25">
      <c r="A9" s="5">
        <v>5</v>
      </c>
      <c r="B9" s="30">
        <v>45496</v>
      </c>
      <c r="C9" s="29" t="s">
        <v>36</v>
      </c>
      <c r="D9" s="52">
        <v>2181207661</v>
      </c>
      <c r="E9" s="53">
        <v>9615573</v>
      </c>
      <c r="F9" s="53">
        <f ca="1">INDIRECT("ZS(-1)",0) * 'Correction factor'!$C$13</f>
        <v>13335482.079866784</v>
      </c>
      <c r="G9" s="53">
        <f t="shared" ca="1" si="0"/>
        <v>2194543143.0798669</v>
      </c>
      <c r="H9" s="53">
        <f t="shared" ca="1" si="1"/>
        <v>1.5871975175289839</v>
      </c>
      <c r="I9" s="53">
        <v>2123135102</v>
      </c>
      <c r="J9" s="53">
        <v>11245161</v>
      </c>
      <c r="K9" s="53">
        <f ca="1">INDIRECT("ZS(-1)",0) * 'Correction factor'!$C$13</f>
        <v>15595497.32509096</v>
      </c>
      <c r="L9" s="53">
        <f t="shared" ca="1" si="2"/>
        <v>2138730599.3250909</v>
      </c>
      <c r="M9" s="53">
        <f t="shared" ca="1" si="3"/>
        <v>1.4019452833025781</v>
      </c>
      <c r="N9" s="53">
        <v>1986219034</v>
      </c>
      <c r="O9" s="53">
        <v>7792191</v>
      </c>
      <c r="P9" s="53">
        <f ca="1">INDIRECT("ZS(-1)",0) * 'Correction factor'!$C$13</f>
        <v>10806701.113225311</v>
      </c>
      <c r="Q9" s="53">
        <f t="shared" ca="1" si="4"/>
        <v>1997025735.1132252</v>
      </c>
      <c r="R9" s="53">
        <f t="shared" ca="1" si="5"/>
        <v>1.5546915505211947</v>
      </c>
      <c r="S9" s="53">
        <v>2049296652</v>
      </c>
      <c r="T9" s="53">
        <v>7200698</v>
      </c>
      <c r="U9" s="53">
        <f ca="1">INDIRECT("ZS(-1)",0) * 'Correction factor'!$C$13</f>
        <v>9986381.3775354419</v>
      </c>
      <c r="V9" s="53">
        <f t="shared" ca="1" si="6"/>
        <v>2059283033.3775353</v>
      </c>
      <c r="W9" s="53">
        <f t="shared" ca="1" si="7"/>
        <v>1.4057707049073236</v>
      </c>
      <c r="X9" s="53">
        <v>2314445272</v>
      </c>
      <c r="Y9" s="53">
        <v>8888008</v>
      </c>
      <c r="Z9" s="53">
        <f ca="1">INDIRECT("ZS(-1)",0) * 'Correction factor'!$C$13</f>
        <v>12326449.126818819</v>
      </c>
      <c r="AA9" s="53">
        <f t="shared" ca="1" si="8"/>
        <v>2326771721.1268187</v>
      </c>
      <c r="AB9" s="53">
        <f t="shared" ca="1" si="9"/>
        <v>1.622758863550285</v>
      </c>
      <c r="AC9" s="53">
        <v>2761607239</v>
      </c>
      <c r="AD9" s="53">
        <v>13098537</v>
      </c>
      <c r="AE9" s="53">
        <f ca="1">INDIRECT("ZS(-1)",0) * 'Correction factor'!$C$13</f>
        <v>18165875.85950125</v>
      </c>
      <c r="AF9" s="53">
        <f t="shared" ca="1" si="10"/>
        <v>2779773114.8595014</v>
      </c>
      <c r="AG9" s="53">
        <f t="shared" ca="1" si="11"/>
        <v>1.7932708864256666</v>
      </c>
      <c r="AH9" s="53">
        <v>924371438</v>
      </c>
      <c r="AI9" s="53">
        <v>8542388</v>
      </c>
      <c r="AJ9" s="53">
        <f ca="1">INDIRECT("ZS(-1)",0) * 'Correction factor'!$C$13</f>
        <v>11847121.548894595</v>
      </c>
      <c r="AK9" s="53">
        <f t="shared" ca="1" si="12"/>
        <v>936218559.54889464</v>
      </c>
      <c r="AL9" s="53">
        <f t="shared" ca="1" si="13"/>
        <v>0.53133777155717532</v>
      </c>
      <c r="AM9" s="53">
        <v>1162204860</v>
      </c>
      <c r="AN9" s="53">
        <v>27704696</v>
      </c>
      <c r="AO9" s="53">
        <f ca="1">INDIRECT("ZS(-1)",0) * 'Correction factor'!$C$13</f>
        <v>38422616.835851274</v>
      </c>
      <c r="AP9" s="53">
        <f t="shared" ca="1" si="14"/>
        <v>1200627476.8358512</v>
      </c>
      <c r="AQ9" s="53">
        <f t="shared" ca="1" si="15"/>
        <v>0.77970351595909559</v>
      </c>
      <c r="AR9" s="53">
        <v>971610548</v>
      </c>
      <c r="AS9" s="53">
        <v>7492931</v>
      </c>
      <c r="AT9" s="53">
        <f ca="1">INDIRECT("ZS(-1)",0) * 'Correction factor'!$C$13</f>
        <v>10391668.502353245</v>
      </c>
      <c r="AU9" s="53">
        <f t="shared" ca="1" si="16"/>
        <v>982002216.50235319</v>
      </c>
      <c r="AV9" s="53">
        <f t="shared" ca="1" si="17"/>
        <v>0.70274675803442255</v>
      </c>
      <c r="AW9" s="53">
        <v>1019647984</v>
      </c>
      <c r="AX9" s="53">
        <v>10877298</v>
      </c>
      <c r="AY9" s="53">
        <f ca="1">INDIRECT("ZS(-1)",0) * 'Correction factor'!$C$13</f>
        <v>15085321.754238756</v>
      </c>
      <c r="AZ9" s="53">
        <f t="shared" ca="1" si="18"/>
        <v>1034733305.7542387</v>
      </c>
      <c r="BA9" s="53">
        <f t="shared" ca="1" si="19"/>
        <v>0.71090538469655551</v>
      </c>
      <c r="BB9" s="53">
        <v>877949869</v>
      </c>
      <c r="BC9" s="53">
        <v>7958379</v>
      </c>
      <c r="BD9" s="53">
        <f ca="1">INDIRECT("ZS(-1)",0) * 'Correction factor'!$C$13</f>
        <v>11037181.095633941</v>
      </c>
      <c r="BE9" s="53">
        <f t="shared" ca="1" si="20"/>
        <v>888987050.09563398</v>
      </c>
      <c r="BF9" s="53">
        <f t="shared" ca="1" si="21"/>
        <v>0.60341551046801112</v>
      </c>
      <c r="BG9" s="53">
        <v>1408587536</v>
      </c>
      <c r="BH9" s="53">
        <v>8644166</v>
      </c>
      <c r="BI9" s="53">
        <f ca="1">INDIRECT("ZS(-1)",0) * 'Correction factor'!$C$13</f>
        <v>11988273.687734859</v>
      </c>
      <c r="BJ9" s="53">
        <f t="shared" ca="1" si="22"/>
        <v>1420575809.6877348</v>
      </c>
      <c r="BK9" s="53">
        <f t="shared" ca="1" si="23"/>
        <v>0.86526916079813243</v>
      </c>
      <c r="BL9" s="53">
        <v>42409598</v>
      </c>
      <c r="BM9" s="53">
        <v>321681493</v>
      </c>
      <c r="BN9" s="53">
        <f ca="1">INDIRECT("ZS(-1)",0) * 'Correction factor'!$C$13</f>
        <v>446128149.13123661</v>
      </c>
      <c r="BO9" s="53">
        <f t="shared" ca="1" si="24"/>
        <v>488537747.13123661</v>
      </c>
      <c r="BP9" s="53">
        <f t="shared" ca="1" si="25"/>
        <v>2.3430413408459692</v>
      </c>
      <c r="BQ9" s="53">
        <v>10634900</v>
      </c>
      <c r="BR9" s="53">
        <v>211726835</v>
      </c>
      <c r="BS9" s="53">
        <f ca="1">INDIRECT("ZS(-1)",0) * 'Correction factor'!$C$13</f>
        <v>293636106.1342274</v>
      </c>
      <c r="BT9" s="53">
        <f t="shared" ca="1" si="26"/>
        <v>304271006.1342274</v>
      </c>
      <c r="BU9" s="53">
        <f t="shared" ca="1" si="27"/>
        <v>1.7863323449743589</v>
      </c>
      <c r="BV9" s="53">
        <v>15049128</v>
      </c>
      <c r="BW9" s="53">
        <v>249213541</v>
      </c>
      <c r="BX9" s="53">
        <f ca="1">INDIRECT("ZS(-1)",0) * 'Correction factor'!$C$13</f>
        <v>345625030.36123234</v>
      </c>
      <c r="BY9" s="53">
        <f t="shared" ca="1" si="28"/>
        <v>360674158.36123234</v>
      </c>
      <c r="BZ9" s="53">
        <f t="shared" ca="1" si="29"/>
        <v>2.2955191513322091</v>
      </c>
      <c r="CA9" s="53">
        <v>10967323</v>
      </c>
      <c r="CB9" s="53">
        <v>269717160</v>
      </c>
      <c r="CC9" s="53">
        <f ca="1">INDIRECT("ZS(-1)",0) * 'Correction factor'!$C$13</f>
        <v>374060740.19848448</v>
      </c>
      <c r="CD9" s="53">
        <f t="shared" ca="1" si="30"/>
        <v>385028063.19848448</v>
      </c>
      <c r="CE9" s="53">
        <f t="shared" ca="1" si="31"/>
        <v>2.1793556248419788</v>
      </c>
      <c r="CF9" s="53">
        <v>24646176</v>
      </c>
      <c r="CG9" s="53">
        <v>11837039</v>
      </c>
      <c r="CH9" s="53">
        <f ca="1">INDIRECT("ZS(-1)",0) * 'Correction factor'!$C$13</f>
        <v>16416351.003022309</v>
      </c>
      <c r="CI9" s="53">
        <f t="shared" ca="1" si="32"/>
        <v>41062527.003022313</v>
      </c>
      <c r="CJ9" s="53">
        <f t="shared" ca="1" si="33"/>
        <v>0.29829678476718735</v>
      </c>
      <c r="CK9" s="53">
        <v>6109336</v>
      </c>
      <c r="CL9" s="53">
        <v>25725683</v>
      </c>
      <c r="CM9" s="53">
        <f ca="1">INDIRECT("ZS(-1)",0) * 'Correction factor'!$C$13</f>
        <v>35677996.999121487</v>
      </c>
      <c r="CN9" s="53">
        <f t="shared" ca="1" si="34"/>
        <v>41787332.999121487</v>
      </c>
      <c r="CO9" s="53">
        <f t="shared" ca="1" si="35"/>
        <v>0.2984890485919271</v>
      </c>
      <c r="CP9" s="53">
        <v>1102252590</v>
      </c>
      <c r="CQ9" s="53">
        <v>8189177</v>
      </c>
      <c r="CR9" s="53">
        <f ca="1">INDIRECT("ZS(-1)",0) * 'Correction factor'!$C$13</f>
        <v>11357266.294203917</v>
      </c>
      <c r="CS9" s="53">
        <f t="shared" ca="1" si="36"/>
        <v>1113609856.294204</v>
      </c>
      <c r="CT9" s="53">
        <f t="shared" ca="1" si="37"/>
        <v>0.75862424421482866</v>
      </c>
      <c r="CU9" s="53">
        <v>957464522</v>
      </c>
      <c r="CV9" s="53">
        <v>7848909</v>
      </c>
      <c r="CW9" s="53">
        <f ca="1">INDIRECT("ZS(-1)",0) * 'Correction factor'!$C$13</f>
        <v>10885361.206867767</v>
      </c>
      <c r="CX9" s="53">
        <f t="shared" ca="1" si="38"/>
        <v>968349883.20686781</v>
      </c>
      <c r="CY9" s="53">
        <f t="shared" ca="1" si="39"/>
        <v>0.74090093326668749</v>
      </c>
      <c r="CZ9" s="53">
        <v>912439205</v>
      </c>
      <c r="DA9" s="53">
        <v>10803110</v>
      </c>
      <c r="DB9" s="53">
        <f ca="1">INDIRECT("ZS(-1)",0) * 'Correction factor'!$C$13</f>
        <v>14982433.164599724</v>
      </c>
      <c r="DC9" s="53">
        <f t="shared" ca="1" si="40"/>
        <v>927421638.16459978</v>
      </c>
      <c r="DD9" s="53">
        <f t="shared" ca="1" si="41"/>
        <v>0.60872531616499803</v>
      </c>
      <c r="DE9" s="53">
        <v>913892022</v>
      </c>
      <c r="DF9" s="53">
        <v>23121120</v>
      </c>
      <c r="DG9" s="53">
        <f ca="1">INDIRECT("ZS(-1)",0) * 'Correction factor'!$C$13</f>
        <v>32065825.034706667</v>
      </c>
      <c r="DH9" s="53">
        <f t="shared" ca="1" si="42"/>
        <v>945957847.03470671</v>
      </c>
      <c r="DI9" s="53">
        <f t="shared" ca="1" si="43"/>
        <v>0.6887874676246728</v>
      </c>
      <c r="DJ9" s="53">
        <v>784556222</v>
      </c>
      <c r="DK9" s="53">
        <v>10793015</v>
      </c>
      <c r="DL9" s="53">
        <f ca="1">INDIRECT("ZS(-1)",0) * 'Correction factor'!$C$13</f>
        <v>14968432.78296919</v>
      </c>
      <c r="DM9" s="53">
        <f t="shared" ca="1" si="44"/>
        <v>799524654.78296924</v>
      </c>
      <c r="DN9" s="53">
        <f t="shared" ca="1" si="45"/>
        <v>0.65900041711456148</v>
      </c>
      <c r="DO9" s="53">
        <v>726536944</v>
      </c>
      <c r="DP9" s="53">
        <v>10570035</v>
      </c>
      <c r="DQ9" s="53">
        <f ca="1">INDIRECT("ZS(-1)",0) * 'Correction factor'!$C$13</f>
        <v>14659190.079058701</v>
      </c>
      <c r="DR9" s="53">
        <f t="shared" ca="1" si="46"/>
        <v>741196134.07905865</v>
      </c>
      <c r="DS9" s="53">
        <f t="shared" ca="1" si="47"/>
        <v>0.55841658457193299</v>
      </c>
      <c r="DT9" s="53">
        <v>864407054</v>
      </c>
      <c r="DU9" s="53">
        <v>13694241</v>
      </c>
      <c r="DV9" s="53">
        <f ca="1">INDIRECT("ZS(-1)",0) * 'Correction factor'!$C$13</f>
        <v>18992035.675136261</v>
      </c>
      <c r="DW9" s="53">
        <f t="shared" ca="1" si="48"/>
        <v>883399089.67513621</v>
      </c>
      <c r="DX9" s="53">
        <f t="shared" ca="1" si="49"/>
        <v>0.65051280101580844</v>
      </c>
      <c r="DY9" s="53">
        <v>1040582729</v>
      </c>
      <c r="DZ9" s="53">
        <v>17894726</v>
      </c>
      <c r="EA9" s="53">
        <f ca="1">INDIRECT("ZS(-1)",0) * 'Correction factor'!$C$13</f>
        <v>24817532.756199367</v>
      </c>
      <c r="EB9" s="53">
        <f t="shared" ca="1" si="50"/>
        <v>1065400261.7561994</v>
      </c>
      <c r="EC9" s="53">
        <f t="shared" ca="1" si="51"/>
        <v>0.7534512110920446</v>
      </c>
      <c r="ED9" s="53">
        <v>886132409</v>
      </c>
      <c r="EE9" s="53">
        <v>22160374</v>
      </c>
      <c r="EF9" s="53">
        <f ca="1">INDIRECT("ZS(-1)",0) * 'Correction factor'!$C$13</f>
        <v>30733401.988643404</v>
      </c>
      <c r="EG9" s="53">
        <f t="shared" ca="1" si="52"/>
        <v>916865810.98864341</v>
      </c>
      <c r="EH9" s="53">
        <f t="shared" ca="1" si="53"/>
        <v>0.70095891988043957</v>
      </c>
      <c r="EI9" s="53">
        <v>840406442</v>
      </c>
      <c r="EJ9" s="53">
        <v>19919545</v>
      </c>
      <c r="EK9" s="53">
        <f ca="1">INDIRECT("ZS(-1)",0) * 'Correction factor'!$C$13</f>
        <v>27625679.237898771</v>
      </c>
      <c r="EL9" s="53">
        <f t="shared" ca="1" si="54"/>
        <v>868032121.23789883</v>
      </c>
      <c r="EM9" s="53">
        <f t="shared" ca="1" si="55"/>
        <v>0.65957731834216204</v>
      </c>
      <c r="EN9" s="53">
        <v>1006797661</v>
      </c>
      <c r="EO9" s="53">
        <v>10800682</v>
      </c>
      <c r="EP9" s="53">
        <f ca="1">INDIRECT("ZS(-1)",0) * 'Correction factor'!$C$13</f>
        <v>14979065.861320978</v>
      </c>
      <c r="EQ9" s="53">
        <f t="shared" ca="1" si="56"/>
        <v>1021776726.861321</v>
      </c>
      <c r="ER9" s="53">
        <f t="shared" ca="1" si="57"/>
        <v>0.69472329114734388</v>
      </c>
      <c r="ES9" s="53">
        <v>1029234005</v>
      </c>
      <c r="ET9" s="53">
        <v>8286166</v>
      </c>
      <c r="EU9" s="53">
        <f ca="1">INDIRECT("ZS(-1)",0) * 'Correction factor'!$C$13</f>
        <v>11491776.746305335</v>
      </c>
      <c r="EV9" s="53">
        <f t="shared" ca="1" si="58"/>
        <v>1040725781.7463053</v>
      </c>
      <c r="EW9" s="53">
        <f t="shared" ca="1" si="59"/>
        <v>0.71140119489027154</v>
      </c>
      <c r="EX9" s="53">
        <v>1054165829</v>
      </c>
      <c r="EY9" s="53">
        <v>8060862</v>
      </c>
      <c r="EZ9" s="53">
        <f ca="1">INDIRECT("ZS(-1)",0) * 'Correction factor'!$C$13</f>
        <v>11179310.972864449</v>
      </c>
      <c r="FA9" s="53">
        <f t="shared" ca="1" si="60"/>
        <v>1065345139.9728644</v>
      </c>
      <c r="FB9" s="53">
        <f t="shared" ca="1" si="61"/>
        <v>0.75955884414506059</v>
      </c>
      <c r="FC9" s="53">
        <v>814280744</v>
      </c>
      <c r="FD9" s="53">
        <v>13570921</v>
      </c>
      <c r="FE9" s="53">
        <f ca="1">INDIRECT("ZS(-1)",0) * 'Correction factor'!$C$13</f>
        <v>18821007.734306403</v>
      </c>
      <c r="FF9" s="53">
        <f t="shared" ca="1" si="62"/>
        <v>833101751.73430645</v>
      </c>
      <c r="FG9" s="53">
        <f t="shared" ca="1" si="63"/>
        <v>0.64294178844234418</v>
      </c>
      <c r="FH9" s="53">
        <v>1314883428</v>
      </c>
      <c r="FI9" s="53">
        <v>12894317</v>
      </c>
      <c r="FJ9" s="53">
        <f ca="1">INDIRECT("ZS(-1)",0) * 'Correction factor'!$C$13</f>
        <v>17882650.704812042</v>
      </c>
      <c r="FK9" s="53">
        <f t="shared" ca="1" si="64"/>
        <v>1332766078.704812</v>
      </c>
      <c r="FL9" s="53">
        <f t="shared" ca="1" si="65"/>
        <v>0.75081247663180894</v>
      </c>
      <c r="FM9" s="53">
        <v>1048557925</v>
      </c>
      <c r="FN9" s="53">
        <v>8147498</v>
      </c>
      <c r="FO9" s="53">
        <f ca="1">INDIRECT("ZS(-1)",0) * 'Correction factor'!$C$13</f>
        <v>11299463.232690394</v>
      </c>
      <c r="FP9" s="53">
        <f t="shared" ca="1" si="66"/>
        <v>1059857388.2326903</v>
      </c>
      <c r="FQ9" s="53">
        <f t="shared" ca="1" si="67"/>
        <v>0.74901358917053507</v>
      </c>
      <c r="FR9" s="53">
        <v>1002389886</v>
      </c>
      <c r="FS9" s="53">
        <v>8700896</v>
      </c>
      <c r="FT9" s="53">
        <f ca="1">INDIRECT("ZS(-1)",0) * 'Correction factor'!$C$13</f>
        <v>12066950.423732895</v>
      </c>
      <c r="FU9" s="53">
        <f t="shared" ca="1" si="68"/>
        <v>1014456836.4237329</v>
      </c>
      <c r="FV9" s="53">
        <f t="shared" ca="1" si="69"/>
        <v>0.70768980569622819</v>
      </c>
      <c r="FW9" s="53">
        <v>812412444</v>
      </c>
      <c r="FX9" s="53">
        <v>25185825</v>
      </c>
      <c r="FY9" s="53">
        <f ca="1">INDIRECT("ZS(-1)",0) * 'Correction factor'!$C$13</f>
        <v>34929287.93262355</v>
      </c>
      <c r="FZ9" s="53">
        <f t="shared" ca="1" si="70"/>
        <v>847341731.93262351</v>
      </c>
      <c r="GA9" s="53">
        <f t="shared" ca="1" si="71"/>
        <v>0.67999104001026534</v>
      </c>
      <c r="GB9" s="53">
        <v>913494709</v>
      </c>
      <c r="GC9" s="53">
        <v>7992426</v>
      </c>
      <c r="GD9" s="53">
        <f ca="1">INDIRECT("ZS(-1)",0) * 'Correction factor'!$C$13</f>
        <v>11084399.618999446</v>
      </c>
      <c r="GE9" s="53">
        <f t="shared" ca="1" si="72"/>
        <v>924579108.61899948</v>
      </c>
      <c r="GF9" s="53">
        <f t="shared" ca="1" si="73"/>
        <v>0.64475086517978397</v>
      </c>
      <c r="GG9" s="53">
        <v>793209919</v>
      </c>
      <c r="GH9" s="53">
        <v>9507853</v>
      </c>
      <c r="GI9" s="53">
        <f ca="1">INDIRECT("ZS(-1)",0) * 'Correction factor'!$C$13</f>
        <v>13186089.201289164</v>
      </c>
      <c r="GJ9" s="53">
        <f t="shared" ca="1" si="74"/>
        <v>806396008.20128918</v>
      </c>
      <c r="GK9" s="53">
        <f t="shared" ca="1" si="75"/>
        <v>0.56229646667327182</v>
      </c>
      <c r="GL9" s="53">
        <v>941887640</v>
      </c>
      <c r="GM9" s="53">
        <v>9402168</v>
      </c>
      <c r="GN9" s="53">
        <f ca="1">INDIRECT("ZS(-1)",0) * 'Correction factor'!$C$13</f>
        <v>13039518.588845087</v>
      </c>
      <c r="GO9" s="53">
        <f t="shared" ca="1" si="76"/>
        <v>954927158.58884513</v>
      </c>
      <c r="GP9" s="53">
        <f t="shared" ca="1" si="77"/>
        <v>0.65875832430346848</v>
      </c>
      <c r="GQ9" s="53">
        <v>565295842</v>
      </c>
      <c r="GR9" s="53">
        <v>7938872</v>
      </c>
      <c r="GS9" s="53">
        <f ca="1">INDIRECT("ZS(-1)",0) * 'Correction factor'!$C$13</f>
        <v>11010127.559777891</v>
      </c>
      <c r="GT9" s="53">
        <f t="shared" ca="1" si="78"/>
        <v>576305969.55977786</v>
      </c>
      <c r="GU9" s="53">
        <f t="shared" ca="1" si="79"/>
        <v>0.59756245723240498</v>
      </c>
      <c r="GV9" s="53">
        <v>934801845</v>
      </c>
      <c r="GW9" s="53">
        <v>9988261</v>
      </c>
      <c r="GX9" s="53">
        <f ca="1">INDIRECT("ZS(-1)",0) * 'Correction factor'!$C$13</f>
        <v>13852349.264524568</v>
      </c>
      <c r="GY9" s="53">
        <f t="shared" ca="1" si="80"/>
        <v>948654194.26452458</v>
      </c>
      <c r="GZ9" s="53">
        <f t="shared" ca="1" si="81"/>
        <v>0.67345570694113677</v>
      </c>
      <c r="HA9" s="53">
        <v>869053518</v>
      </c>
      <c r="HB9" s="53">
        <v>11265840</v>
      </c>
      <c r="HC9" s="53">
        <f ca="1">INDIRECT("ZS(-1)",0) * 'Correction factor'!$C$13</f>
        <v>15624176.264341855</v>
      </c>
      <c r="HD9" s="53">
        <f t="shared" ca="1" si="82"/>
        <v>884677694.26434183</v>
      </c>
      <c r="HE9" s="53">
        <f t="shared" ca="1" si="83"/>
        <v>0.64791715823947205</v>
      </c>
      <c r="HF9" s="53">
        <v>1007790161</v>
      </c>
      <c r="HG9" s="53">
        <v>20288749</v>
      </c>
      <c r="HH9" s="53">
        <f ca="1">INDIRECT("ZS(-1)",0) * 'Correction factor'!$C$13</f>
        <v>28137714.591986887</v>
      </c>
      <c r="HI9" s="53">
        <f t="shared" ca="1" si="84"/>
        <v>1035927875.5919869</v>
      </c>
      <c r="HJ9" s="53">
        <f t="shared" ca="1" si="85"/>
        <v>0.76309548513159342</v>
      </c>
      <c r="HK9" s="53">
        <v>796484701</v>
      </c>
      <c r="HL9" s="53">
        <v>24293157</v>
      </c>
      <c r="HM9" s="53">
        <f ca="1">INDIRECT("ZS(-1)",0) * 'Correction factor'!$C$13</f>
        <v>33691279.743483856</v>
      </c>
      <c r="HN9" s="53">
        <f t="shared" ca="1" si="86"/>
        <v>830175980.7434839</v>
      </c>
      <c r="HO9" s="53">
        <f t="shared" ca="1" si="87"/>
        <v>0.61801977032240607</v>
      </c>
      <c r="HP9" s="53">
        <v>1018332044</v>
      </c>
      <c r="HQ9" s="53">
        <v>7215959</v>
      </c>
      <c r="HR9" s="53">
        <f ca="1">INDIRECT("ZS(-1)",0) * 'Correction factor'!$C$13</f>
        <v>10007546.293242581</v>
      </c>
      <c r="HS9" s="53">
        <f t="shared" ca="1" si="88"/>
        <v>1028339590.2932426</v>
      </c>
      <c r="HT9" s="53">
        <f t="shared" ca="1" si="89"/>
        <v>0.66666480096700953</v>
      </c>
      <c r="HU9" s="53">
        <v>920901443</v>
      </c>
      <c r="HV9" s="53">
        <v>9561891</v>
      </c>
      <c r="HW9" s="53">
        <f ca="1">INDIRECT("ZS(-1)",0) * 'Correction factor'!$C$13</f>
        <v>13261032.502185723</v>
      </c>
      <c r="HX9" s="53">
        <f t="shared" ca="1" si="90"/>
        <v>934162475.5021857</v>
      </c>
      <c r="HY9" s="53">
        <f t="shared" ca="1" si="91"/>
        <v>0.73304033755817466</v>
      </c>
      <c r="HZ9" s="53">
        <v>846016303</v>
      </c>
      <c r="IA9" s="53">
        <v>18269655</v>
      </c>
      <c r="IB9" s="53">
        <f ca="1">INDIRECT("ZS(-1)",0) * 'Correction factor'!$C$13</f>
        <v>25337507.900761463</v>
      </c>
      <c r="IC9" s="53">
        <f t="shared" ca="1" si="92"/>
        <v>871353810.90076149</v>
      </c>
      <c r="ID9" s="53">
        <f t="shared" ca="1" si="93"/>
        <v>0.67567634491705053</v>
      </c>
      <c r="IE9" s="53">
        <v>1017327810</v>
      </c>
      <c r="IF9" s="53">
        <v>8197961</v>
      </c>
      <c r="IG9" s="53">
        <f ca="1">INDIRECT("ZS(-1)",0) * 'Correction factor'!$C$13</f>
        <v>11369448.498487484</v>
      </c>
      <c r="IH9" s="53">
        <f t="shared" ca="1" si="94"/>
        <v>1028697258.4984875</v>
      </c>
      <c r="II9" s="61">
        <f t="shared" ca="1" si="95"/>
        <v>0.78717115202649446</v>
      </c>
    </row>
    <row r="10" spans="1:243" s="3" customFormat="1" x14ac:dyDescent="0.25">
      <c r="A10" s="57">
        <v>6</v>
      </c>
      <c r="B10" s="56">
        <v>45497</v>
      </c>
      <c r="C10" s="29" t="s">
        <v>37</v>
      </c>
      <c r="D10" s="52">
        <v>2589062900</v>
      </c>
      <c r="E10" s="53">
        <v>9849348</v>
      </c>
      <c r="F10" s="53">
        <f ca="1">INDIRECT("ZS(-1)",0) * 'Correction factor'!$C$13</f>
        <v>13659695.969483228</v>
      </c>
      <c r="G10" s="53">
        <f t="shared" ca="1" si="0"/>
        <v>2602722595.9694834</v>
      </c>
      <c r="H10" s="53">
        <f t="shared" ca="1" si="1"/>
        <v>1.8824122260552953</v>
      </c>
      <c r="I10" s="53">
        <v>2212871654</v>
      </c>
      <c r="J10" s="53">
        <v>12055990</v>
      </c>
      <c r="K10" s="53">
        <f ca="1">INDIRECT("ZS(-1)",0) * 'Correction factor'!$C$13</f>
        <v>16720006.036047271</v>
      </c>
      <c r="L10" s="53">
        <f t="shared" ca="1" si="2"/>
        <v>2229591660.0360475</v>
      </c>
      <c r="M10" s="53">
        <f t="shared" ca="1" si="3"/>
        <v>1.4615050219343593</v>
      </c>
      <c r="N10" s="53">
        <v>2198443562</v>
      </c>
      <c r="O10" s="53">
        <v>8376558</v>
      </c>
      <c r="P10" s="53">
        <f ca="1">INDIRECT("ZS(-1)",0) * 'Correction factor'!$C$13</f>
        <v>11617138.063427396</v>
      </c>
      <c r="Q10" s="53">
        <f t="shared" ca="1" si="4"/>
        <v>2210060700.0634274</v>
      </c>
      <c r="R10" s="53">
        <f t="shared" ca="1" si="5"/>
        <v>1.7205400191464024</v>
      </c>
      <c r="S10" s="53">
        <v>2160382176</v>
      </c>
      <c r="T10" s="53">
        <v>7413437</v>
      </c>
      <c r="U10" s="53">
        <f ca="1">INDIRECT("ZS(-1)",0) * 'Correction factor'!$C$13</f>
        <v>10281421.217822524</v>
      </c>
      <c r="V10" s="53">
        <f t="shared" ca="1" si="6"/>
        <v>2170663597.2178226</v>
      </c>
      <c r="W10" s="53">
        <f t="shared" ca="1" si="7"/>
        <v>1.4818047085896286</v>
      </c>
      <c r="X10" s="53">
        <v>2478190317</v>
      </c>
      <c r="Y10" s="53">
        <v>8914185</v>
      </c>
      <c r="Z10" s="53">
        <f ca="1">INDIRECT("ZS(-1)",0) * 'Correction factor'!$C$13</f>
        <v>12362753.038650665</v>
      </c>
      <c r="AA10" s="53">
        <f t="shared" ca="1" si="8"/>
        <v>2490553070.0386505</v>
      </c>
      <c r="AB10" s="53">
        <f t="shared" ca="1" si="9"/>
        <v>1.7369847814680879</v>
      </c>
      <c r="AC10" s="53">
        <v>3061325631</v>
      </c>
      <c r="AD10" s="53">
        <v>14126248</v>
      </c>
      <c r="AE10" s="53">
        <f ca="1">INDIRECT("ZS(-1)",0) * 'Correction factor'!$C$13</f>
        <v>19591170.18400817</v>
      </c>
      <c r="AF10" s="53">
        <f t="shared" ca="1" si="10"/>
        <v>3080916801.1840081</v>
      </c>
      <c r="AG10" s="53">
        <f t="shared" ca="1" si="11"/>
        <v>1.9875429305827437</v>
      </c>
      <c r="AH10" s="53">
        <v>847460801</v>
      </c>
      <c r="AI10" s="53">
        <v>9811430</v>
      </c>
      <c r="AJ10" s="53">
        <f ca="1">INDIRECT("ZS(-1)",0) * 'Correction factor'!$C$13</f>
        <v>13607108.899580644</v>
      </c>
      <c r="AK10" s="53">
        <f t="shared" ca="1" si="12"/>
        <v>861067909.8995806</v>
      </c>
      <c r="AL10" s="53">
        <f t="shared" ca="1" si="13"/>
        <v>0.48868706963669589</v>
      </c>
      <c r="AM10" s="53">
        <v>1164776482</v>
      </c>
      <c r="AN10" s="53">
        <v>42264766</v>
      </c>
      <c r="AO10" s="53">
        <f ca="1">INDIRECT("ZS(-1)",0) * 'Correction factor'!$C$13</f>
        <v>58615438.685012631</v>
      </c>
      <c r="AP10" s="53">
        <f t="shared" ca="1" si="14"/>
        <v>1223391920.6850126</v>
      </c>
      <c r="AQ10" s="53">
        <f t="shared" ca="1" si="15"/>
        <v>0.79448704977827977</v>
      </c>
      <c r="AR10" s="53">
        <v>908477064</v>
      </c>
      <c r="AS10" s="53">
        <v>8109317</v>
      </c>
      <c r="AT10" s="53">
        <f ca="1">INDIRECT("ZS(-1)",0) * 'Correction factor'!$C$13</f>
        <v>11246511.417828046</v>
      </c>
      <c r="AU10" s="53">
        <f t="shared" ca="1" si="16"/>
        <v>919723575.41782808</v>
      </c>
      <c r="AV10" s="53">
        <f t="shared" ca="1" si="17"/>
        <v>0.65817851533449934</v>
      </c>
      <c r="AW10" s="53">
        <v>1005128509</v>
      </c>
      <c r="AX10" s="53">
        <v>11457075</v>
      </c>
      <c r="AY10" s="53">
        <f ca="1">INDIRECT("ZS(-1)",0) * 'Correction factor'!$C$13</f>
        <v>15889393.003432009</v>
      </c>
      <c r="AZ10" s="53">
        <f t="shared" ca="1" si="18"/>
        <v>1021017902.003432</v>
      </c>
      <c r="BA10" s="53">
        <f t="shared" ca="1" si="19"/>
        <v>0.70148232435287738</v>
      </c>
      <c r="BB10" s="53">
        <v>846358442</v>
      </c>
      <c r="BC10" s="53">
        <v>8822036</v>
      </c>
      <c r="BD10" s="53">
        <f ca="1">INDIRECT("ZS(-1)",0) * 'Correction factor'!$C$13</f>
        <v>12234955.003299298</v>
      </c>
      <c r="BE10" s="53">
        <f t="shared" ca="1" si="20"/>
        <v>858593397.00329936</v>
      </c>
      <c r="BF10" s="53">
        <f t="shared" ca="1" si="21"/>
        <v>0.5827852867839588</v>
      </c>
      <c r="BG10" s="53">
        <v>1410569353</v>
      </c>
      <c r="BH10" s="53">
        <v>9217230</v>
      </c>
      <c r="BI10" s="53">
        <f ca="1">INDIRECT("ZS(-1)",0) * 'Correction factor'!$C$13</f>
        <v>12783034.925844828</v>
      </c>
      <c r="BJ10" s="53">
        <f t="shared" ca="1" si="22"/>
        <v>1423352387.9258449</v>
      </c>
      <c r="BK10" s="53">
        <f t="shared" ca="1" si="23"/>
        <v>0.86696036763524442</v>
      </c>
      <c r="BL10" s="53">
        <v>52265004</v>
      </c>
      <c r="BM10" s="53">
        <v>448961715</v>
      </c>
      <c r="BN10" s="53">
        <f ca="1">INDIRECT("ZS(-1)",0) * 'Correction factor'!$C$13</f>
        <v>622648375.18562424</v>
      </c>
      <c r="BO10" s="53">
        <f t="shared" ca="1" si="24"/>
        <v>674913379.18562424</v>
      </c>
      <c r="BP10" s="53">
        <f t="shared" ca="1" si="25"/>
        <v>3.2369043297224867</v>
      </c>
      <c r="BQ10" s="53">
        <v>12978601</v>
      </c>
      <c r="BR10" s="53">
        <v>275382211</v>
      </c>
      <c r="BS10" s="53">
        <f ca="1">INDIRECT("ZS(-1)",0) * 'Correction factor'!$C$13</f>
        <v>381917389.6245802</v>
      </c>
      <c r="BT10" s="53">
        <f t="shared" ca="1" si="26"/>
        <v>394895990.6245802</v>
      </c>
      <c r="BU10" s="53">
        <f t="shared" ca="1" si="27"/>
        <v>2.3183789014789955</v>
      </c>
      <c r="BV10" s="53">
        <v>22144342</v>
      </c>
      <c r="BW10" s="53">
        <v>350521234</v>
      </c>
      <c r="BX10" s="53">
        <f ca="1">INDIRECT("ZS(-1)",0) * 'Correction factor'!$C$13</f>
        <v>486124917.84106803</v>
      </c>
      <c r="BY10" s="53">
        <f t="shared" ca="1" si="28"/>
        <v>508269259.84106803</v>
      </c>
      <c r="BZ10" s="53">
        <f t="shared" ca="1" si="29"/>
        <v>3.234891640975484</v>
      </c>
      <c r="CA10" s="53">
        <v>16410804</v>
      </c>
      <c r="CB10" s="53">
        <v>381108289</v>
      </c>
      <c r="CC10" s="53">
        <f ca="1">INDIRECT("ZS(-1)",0) * 'Correction factor'!$C$13</f>
        <v>528544971.6255278</v>
      </c>
      <c r="CD10" s="53">
        <f t="shared" ca="1" si="30"/>
        <v>544955775.62552786</v>
      </c>
      <c r="CE10" s="53">
        <f t="shared" ca="1" si="31"/>
        <v>3.0845866793023213</v>
      </c>
      <c r="CF10" s="53">
        <v>22822882</v>
      </c>
      <c r="CG10" s="53">
        <v>11491106</v>
      </c>
      <c r="CH10" s="53">
        <f ca="1">INDIRECT("ZS(-1)",0) * 'Correction factor'!$C$13</f>
        <v>15936589.336990077</v>
      </c>
      <c r="CI10" s="53">
        <f t="shared" ca="1" si="32"/>
        <v>38759471.336990073</v>
      </c>
      <c r="CJ10" s="53">
        <f t="shared" ca="1" si="33"/>
        <v>0.28156634583763229</v>
      </c>
      <c r="CK10" s="53">
        <v>2362420</v>
      </c>
      <c r="CL10" s="53">
        <v>35274125</v>
      </c>
      <c r="CM10" s="53">
        <f ca="1">INDIRECT("ZS(-1)",0) * 'Correction factor'!$C$13</f>
        <v>48920377.581292443</v>
      </c>
      <c r="CN10" s="53">
        <f t="shared" ca="1" si="34"/>
        <v>51282797.581292443</v>
      </c>
      <c r="CO10" s="53">
        <f t="shared" ca="1" si="35"/>
        <v>0.36631563587688581</v>
      </c>
      <c r="CP10" s="53">
        <v>1301411033</v>
      </c>
      <c r="CQ10" s="53">
        <v>8778364</v>
      </c>
      <c r="CR10" s="53">
        <f ca="1">INDIRECT("ZS(-1)",0) * 'Correction factor'!$C$13</f>
        <v>12174387.923896756</v>
      </c>
      <c r="CS10" s="53">
        <f t="shared" ca="1" si="36"/>
        <v>1313585420.9238968</v>
      </c>
      <c r="CT10" s="53">
        <f t="shared" ca="1" si="37"/>
        <v>0.89485356251798409</v>
      </c>
      <c r="CU10" s="53">
        <v>1065589017</v>
      </c>
      <c r="CV10" s="53">
        <v>8797633</v>
      </c>
      <c r="CW10" s="53">
        <f ca="1">INDIRECT("ZS(-1)",0) * 'Correction factor'!$C$13</f>
        <v>12201111.386367163</v>
      </c>
      <c r="CX10" s="53">
        <f t="shared" ca="1" si="38"/>
        <v>1077790128.3863671</v>
      </c>
      <c r="CY10" s="53">
        <f t="shared" ca="1" si="39"/>
        <v>0.82463552258878281</v>
      </c>
      <c r="CZ10" s="53">
        <v>927923526</v>
      </c>
      <c r="DA10" s="53">
        <v>13659389</v>
      </c>
      <c r="DB10" s="53">
        <f ca="1">INDIRECT("ZS(-1)",0) * 'Correction factor'!$C$13</f>
        <v>18943700.727084022</v>
      </c>
      <c r="DC10" s="53">
        <f t="shared" ca="1" si="40"/>
        <v>946867226.72708404</v>
      </c>
      <c r="DD10" s="53">
        <f t="shared" ca="1" si="41"/>
        <v>0.62148868242539557</v>
      </c>
      <c r="DE10" s="53">
        <v>994469580</v>
      </c>
      <c r="DF10" s="53">
        <v>24041169</v>
      </c>
      <c r="DG10" s="53">
        <f ca="1">INDIRECT("ZS(-1)",0) * 'Correction factor'!$C$13</f>
        <v>33341806.918687928</v>
      </c>
      <c r="DH10" s="53">
        <f t="shared" ca="1" si="42"/>
        <v>1027811386.9186879</v>
      </c>
      <c r="DI10" s="53">
        <f t="shared" ca="1" si="43"/>
        <v>0.74838810694442259</v>
      </c>
      <c r="DJ10" s="53">
        <v>810811955</v>
      </c>
      <c r="DK10" s="53">
        <v>12423507</v>
      </c>
      <c r="DL10" s="53">
        <f ca="1">INDIRECT("ZS(-1)",0) * 'Correction factor'!$C$13</f>
        <v>17229701.752313621</v>
      </c>
      <c r="DM10" s="53">
        <f t="shared" ca="1" si="44"/>
        <v>828041656.75231361</v>
      </c>
      <c r="DN10" s="53">
        <f t="shared" ca="1" si="45"/>
        <v>0.68250527850968135</v>
      </c>
      <c r="DO10" s="53">
        <v>777608981</v>
      </c>
      <c r="DP10" s="53">
        <v>12307469</v>
      </c>
      <c r="DQ10" s="53">
        <f ca="1">INDIRECT("ZS(-1)",0) * 'Correction factor'!$C$13</f>
        <v>17068772.947594073</v>
      </c>
      <c r="DR10" s="53">
        <f t="shared" ca="1" si="46"/>
        <v>794677753.94759405</v>
      </c>
      <c r="DS10" s="53">
        <f t="shared" ca="1" si="47"/>
        <v>0.59870959492535247</v>
      </c>
      <c r="DT10" s="53">
        <v>939076626</v>
      </c>
      <c r="DU10" s="53">
        <v>18257878</v>
      </c>
      <c r="DV10" s="53">
        <f ca="1">INDIRECT("ZS(-1)",0) * 'Correction factor'!$C$13</f>
        <v>25321174.815623987</v>
      </c>
      <c r="DW10" s="53">
        <f t="shared" ca="1" si="48"/>
        <v>964397800.815624</v>
      </c>
      <c r="DX10" s="53">
        <f t="shared" ca="1" si="49"/>
        <v>0.71015820825982734</v>
      </c>
      <c r="DY10" s="53">
        <v>1163920300</v>
      </c>
      <c r="DZ10" s="53">
        <v>24322351</v>
      </c>
      <c r="EA10" s="53">
        <f ca="1">INDIRECT("ZS(-1)",0) * 'Correction factor'!$C$13</f>
        <v>33731767.820880771</v>
      </c>
      <c r="EB10" s="53">
        <f t="shared" ca="1" si="50"/>
        <v>1197652067.8208809</v>
      </c>
      <c r="EC10" s="53">
        <f t="shared" ca="1" si="51"/>
        <v>0.84697970646174714</v>
      </c>
      <c r="ED10" s="53">
        <v>1016516238</v>
      </c>
      <c r="EE10" s="53">
        <v>31830837</v>
      </c>
      <c r="EF10" s="53">
        <f ca="1">INDIRECT("ZS(-1)",0) * 'Correction factor'!$C$13</f>
        <v>44145008.976652831</v>
      </c>
      <c r="EG10" s="53">
        <f t="shared" ca="1" si="52"/>
        <v>1060661246.9766529</v>
      </c>
      <c r="EH10" s="53">
        <f t="shared" ca="1" si="53"/>
        <v>0.81089288435579343</v>
      </c>
      <c r="EI10" s="53">
        <v>863315403</v>
      </c>
      <c r="EJ10" s="53">
        <v>27310106</v>
      </c>
      <c r="EK10" s="53">
        <f ca="1">INDIRECT("ZS(-1)",0) * 'Correction factor'!$C$13</f>
        <v>37875374.57853654</v>
      </c>
      <c r="EL10" s="53">
        <f t="shared" ca="1" si="54"/>
        <v>901190777.57853651</v>
      </c>
      <c r="EM10" s="53">
        <f t="shared" ca="1" si="55"/>
        <v>0.68477304220293045</v>
      </c>
      <c r="EN10" s="53">
        <v>1175111768</v>
      </c>
      <c r="EO10" s="53">
        <v>12054985</v>
      </c>
      <c r="EP10" s="53">
        <f ca="1">INDIRECT("ZS(-1)",0) * 'Correction factor'!$C$13</f>
        <v>16718612.238767559</v>
      </c>
      <c r="EQ10" s="53">
        <f t="shared" ca="1" si="56"/>
        <v>1191830380.2387676</v>
      </c>
      <c r="ER10" s="53">
        <f t="shared" ca="1" si="57"/>
        <v>0.81034564840039147</v>
      </c>
      <c r="ES10" s="53">
        <v>1136669121</v>
      </c>
      <c r="ET10" s="53">
        <v>9177519</v>
      </c>
      <c r="EU10" s="53">
        <f ca="1">INDIRECT("ZS(-1)",0) * 'Correction factor'!$C$13</f>
        <v>12727961.210646201</v>
      </c>
      <c r="EV10" s="53">
        <f t="shared" ca="1" si="58"/>
        <v>1149397082.2106462</v>
      </c>
      <c r="EW10" s="53">
        <f t="shared" ca="1" si="59"/>
        <v>0.78568482882782031</v>
      </c>
      <c r="EX10" s="53">
        <v>1080193217</v>
      </c>
      <c r="EY10" s="53">
        <v>8566235</v>
      </c>
      <c r="EZ10" s="53">
        <f ca="1">INDIRECT("ZS(-1)",0) * 'Correction factor'!$C$13</f>
        <v>11880194.070018254</v>
      </c>
      <c r="FA10" s="53">
        <f t="shared" ca="1" si="60"/>
        <v>1092073411.0700183</v>
      </c>
      <c r="FB10" s="53">
        <f t="shared" ca="1" si="61"/>
        <v>0.77861529255676232</v>
      </c>
      <c r="FC10" s="53">
        <v>889450199</v>
      </c>
      <c r="FD10" s="53">
        <v>16173570</v>
      </c>
      <c r="FE10" s="53">
        <f ca="1">INDIRECT("ZS(-1)",0) * 'Correction factor'!$C$13</f>
        <v>22430525.243006427</v>
      </c>
      <c r="FF10" s="53">
        <f t="shared" ca="1" si="62"/>
        <v>911880724.24300647</v>
      </c>
      <c r="FG10" s="53">
        <f t="shared" ca="1" si="63"/>
        <v>0.70373903604259558</v>
      </c>
      <c r="FH10" s="53">
        <v>1491272047</v>
      </c>
      <c r="FI10" s="53">
        <v>15805661</v>
      </c>
      <c r="FJ10" s="53">
        <f ca="1">INDIRECT("ZS(-1)",0) * 'Correction factor'!$C$13</f>
        <v>21920285.876457836</v>
      </c>
      <c r="FK10" s="53">
        <f t="shared" ca="1" si="64"/>
        <v>1513192332.8764579</v>
      </c>
      <c r="FL10" s="53">
        <f t="shared" ca="1" si="65"/>
        <v>0.85245543176738714</v>
      </c>
      <c r="FM10" s="53">
        <v>1174919108</v>
      </c>
      <c r="FN10" s="53">
        <v>8578916</v>
      </c>
      <c r="FO10" s="53">
        <f ca="1">INDIRECT("ZS(-1)",0) * 'Correction factor'!$C$13</f>
        <v>11897780.879275987</v>
      </c>
      <c r="FP10" s="53">
        <f t="shared" ca="1" si="66"/>
        <v>1186816888.879276</v>
      </c>
      <c r="FQ10" s="53">
        <f t="shared" ca="1" si="67"/>
        <v>0.83873735041842112</v>
      </c>
      <c r="FR10" s="53">
        <v>1126621381</v>
      </c>
      <c r="FS10" s="53">
        <v>9783581</v>
      </c>
      <c r="FT10" s="53">
        <f ca="1">INDIRECT("ZS(-1)",0) * 'Correction factor'!$C$13</f>
        <v>13568486.152871508</v>
      </c>
      <c r="FU10" s="53">
        <f t="shared" ca="1" si="68"/>
        <v>1140189867.1528716</v>
      </c>
      <c r="FV10" s="53">
        <f t="shared" ca="1" si="69"/>
        <v>0.79540175251496459</v>
      </c>
      <c r="FW10" s="53">
        <v>889095089</v>
      </c>
      <c r="FX10" s="53">
        <v>37271653</v>
      </c>
      <c r="FY10" s="53">
        <f ca="1">INDIRECT("ZS(-1)",0) * 'Correction factor'!$C$13</f>
        <v>51690675.185817115</v>
      </c>
      <c r="FZ10" s="53">
        <f t="shared" ca="1" si="70"/>
        <v>940785764.18581712</v>
      </c>
      <c r="GA10" s="53">
        <f t="shared" ca="1" si="71"/>
        <v>0.75497979871293996</v>
      </c>
      <c r="GB10" s="53">
        <v>977356063</v>
      </c>
      <c r="GC10" s="53">
        <v>8581801</v>
      </c>
      <c r="GD10" s="53">
        <f ca="1">INDIRECT("ZS(-1)",0) * 'Correction factor'!$C$13</f>
        <v>11901781.978929685</v>
      </c>
      <c r="GE10" s="53">
        <f t="shared" ca="1" si="72"/>
        <v>989257844.97892964</v>
      </c>
      <c r="GF10" s="53">
        <f t="shared" ca="1" si="73"/>
        <v>0.68985427584313763</v>
      </c>
      <c r="GG10" s="53">
        <v>817461680</v>
      </c>
      <c r="GH10" s="53">
        <v>10138432</v>
      </c>
      <c r="GI10" s="53">
        <f ca="1">INDIRECT("ZS(-1)",0) * 'Correction factor'!$C$13</f>
        <v>14060615.862824604</v>
      </c>
      <c r="GJ10" s="53">
        <f t="shared" ca="1" si="74"/>
        <v>831522295.86282456</v>
      </c>
      <c r="GK10" s="53">
        <f t="shared" ca="1" si="75"/>
        <v>0.57981691894362941</v>
      </c>
      <c r="GL10" s="53">
        <v>960536722</v>
      </c>
      <c r="GM10" s="53">
        <v>10078566</v>
      </c>
      <c r="GN10" s="53">
        <f ca="1">INDIRECT("ZS(-1)",0) * 'Correction factor'!$C$13</f>
        <v>13977589.924568683</v>
      </c>
      <c r="GO10" s="53">
        <f t="shared" ca="1" si="76"/>
        <v>974514311.92456865</v>
      </c>
      <c r="GP10" s="53">
        <f t="shared" ca="1" si="77"/>
        <v>0.67227055944440228</v>
      </c>
      <c r="GQ10" s="53">
        <v>507958134</v>
      </c>
      <c r="GR10" s="53">
        <v>8308762</v>
      </c>
      <c r="GS10" s="53">
        <f ca="1">INDIRECT("ZS(-1)",0) * 'Correction factor'!$C$13</f>
        <v>11523114.301859921</v>
      </c>
      <c r="GT10" s="53">
        <f t="shared" ca="1" si="78"/>
        <v>519481248.30185992</v>
      </c>
      <c r="GU10" s="53">
        <f t="shared" ca="1" si="79"/>
        <v>0.53864181115204923</v>
      </c>
      <c r="GV10" s="53">
        <v>902852226</v>
      </c>
      <c r="GW10" s="53">
        <v>10903971</v>
      </c>
      <c r="GX10" s="53">
        <f ca="1">INDIRECT("ZS(-1)",0) * 'Correction factor'!$C$13</f>
        <v>15122313.550101185</v>
      </c>
      <c r="GY10" s="53">
        <f t="shared" ca="1" si="80"/>
        <v>917974539.55010116</v>
      </c>
      <c r="GZ10" s="53">
        <f t="shared" ca="1" si="81"/>
        <v>0.65167602296426852</v>
      </c>
      <c r="HA10" s="53">
        <v>821565213</v>
      </c>
      <c r="HB10" s="53">
        <v>13784166</v>
      </c>
      <c r="HC10" s="53">
        <f ca="1">INDIRECT("ZS(-1)",0) * 'Correction factor'!$C$13</f>
        <v>19116749.327253718</v>
      </c>
      <c r="HD10" s="53">
        <f t="shared" ca="1" si="82"/>
        <v>840681962.3272537</v>
      </c>
      <c r="HE10" s="53">
        <f t="shared" ca="1" si="83"/>
        <v>0.61569571782546029</v>
      </c>
      <c r="HF10" s="53">
        <v>980640579</v>
      </c>
      <c r="HG10" s="53">
        <v>31998929</v>
      </c>
      <c r="HH10" s="53">
        <f ca="1">INDIRECT("ZS(-1)",0) * 'Correction factor'!$C$13</f>
        <v>44378129.546146609</v>
      </c>
      <c r="HI10" s="53">
        <f t="shared" ca="1" si="84"/>
        <v>1025018708.5461466</v>
      </c>
      <c r="HJ10" s="53">
        <f t="shared" ca="1" si="85"/>
        <v>0.75505946610423613</v>
      </c>
      <c r="HK10" s="53">
        <v>761439061</v>
      </c>
      <c r="HL10" s="53">
        <v>40478054</v>
      </c>
      <c r="HM10" s="53">
        <f ca="1">INDIRECT("ZS(-1)",0) * 'Correction factor'!$C$13</f>
        <v>56137513.983293563</v>
      </c>
      <c r="HN10" s="53">
        <f t="shared" ca="1" si="86"/>
        <v>817576574.98329353</v>
      </c>
      <c r="HO10" s="53">
        <f t="shared" ca="1" si="87"/>
        <v>0.60864021462008611</v>
      </c>
      <c r="HP10" s="53">
        <v>1002016241</v>
      </c>
      <c r="HQ10" s="53">
        <v>8128968</v>
      </c>
      <c r="HR10" s="53">
        <f ca="1">INDIRECT("ZS(-1)",0) * 'Correction factor'!$C$13</f>
        <v>11273764.661951039</v>
      </c>
      <c r="HS10" s="53">
        <f t="shared" ca="1" si="88"/>
        <v>1013290005.6619511</v>
      </c>
      <c r="HT10" s="53">
        <f t="shared" ca="1" si="89"/>
        <v>0.65690826874986996</v>
      </c>
      <c r="HU10" s="53">
        <v>923674056</v>
      </c>
      <c r="HV10" s="53">
        <v>10612998</v>
      </c>
      <c r="HW10" s="53">
        <f ca="1">INDIRECT("ZS(-1)",0) * 'Correction factor'!$C$13</f>
        <v>14718773.872619137</v>
      </c>
      <c r="HX10" s="53">
        <f t="shared" ca="1" si="90"/>
        <v>938392829.87261915</v>
      </c>
      <c r="HY10" s="53">
        <f t="shared" ca="1" si="91"/>
        <v>0.73635991041302118</v>
      </c>
      <c r="HZ10" s="53">
        <v>831283027</v>
      </c>
      <c r="IA10" s="53">
        <v>25070450</v>
      </c>
      <c r="IB10" s="53">
        <f ca="1">INDIRECT("ZS(-1)",0) * 'Correction factor'!$C$13</f>
        <v>34769278.618049726</v>
      </c>
      <c r="IC10" s="53">
        <f t="shared" ca="1" si="92"/>
        <v>866052305.61804974</v>
      </c>
      <c r="ID10" s="53">
        <f t="shared" ca="1" si="93"/>
        <v>0.67156538371257946</v>
      </c>
      <c r="IE10" s="53">
        <v>1017926322</v>
      </c>
      <c r="IF10" s="53">
        <v>8548807</v>
      </c>
      <c r="IG10" s="53">
        <f ca="1">INDIRECT("ZS(-1)",0) * 'Correction factor'!$C$13</f>
        <v>11856023.822266206</v>
      </c>
      <c r="IH10" s="53">
        <f t="shared" ca="1" si="94"/>
        <v>1029782345.8222662</v>
      </c>
      <c r="II10" s="61">
        <f t="shared" ca="1" si="95"/>
        <v>0.78800147351481553</v>
      </c>
    </row>
    <row r="11" spans="1:243" x14ac:dyDescent="0.25">
      <c r="A11" s="5">
        <v>7</v>
      </c>
      <c r="B11" s="30">
        <v>45498</v>
      </c>
      <c r="C11" s="29" t="s">
        <v>38</v>
      </c>
      <c r="D11" s="52">
        <v>2927706026</v>
      </c>
      <c r="E11" s="53">
        <v>9222411</v>
      </c>
      <c r="F11" s="53">
        <f ca="1">INDIRECT("ZS(-1)",0) * 'Correction factor'!$C$13</f>
        <v>12790220.262865907</v>
      </c>
      <c r="G11" s="53">
        <f t="shared" ca="1" si="0"/>
        <v>2940496246.262866</v>
      </c>
      <c r="H11" s="53">
        <f t="shared" ca="1" si="1"/>
        <v>2.1267061242741141</v>
      </c>
      <c r="I11" s="53">
        <v>2435317287</v>
      </c>
      <c r="J11" s="53">
        <v>11131293</v>
      </c>
      <c r="K11" s="53">
        <f ca="1">INDIRECT("ZS(-1)",0) * 'Correction factor'!$C$13</f>
        <v>15437578.013005214</v>
      </c>
      <c r="L11" s="53">
        <f t="shared" ca="1" si="2"/>
        <v>2450754865.0130053</v>
      </c>
      <c r="M11" s="53">
        <f t="shared" ca="1" si="3"/>
        <v>1.6064782654814291</v>
      </c>
      <c r="N11" s="53">
        <v>2458278727</v>
      </c>
      <c r="O11" s="53">
        <v>8142009</v>
      </c>
      <c r="P11" s="53">
        <f ca="1">INDIRECT("ZS(-1)",0) * 'Correction factor'!$C$13</f>
        <v>11291850.741876129</v>
      </c>
      <c r="Q11" s="53">
        <f t="shared" ca="1" si="4"/>
        <v>2469570577.7418761</v>
      </c>
      <c r="R11" s="53">
        <f t="shared" ca="1" si="5"/>
        <v>1.9225693706012037</v>
      </c>
      <c r="S11" s="53">
        <v>2385538481</v>
      </c>
      <c r="T11" s="53">
        <v>6677433</v>
      </c>
      <c r="U11" s="53">
        <f ca="1">INDIRECT("ZS(-1)",0) * 'Correction factor'!$C$13</f>
        <v>9260684.5282138772</v>
      </c>
      <c r="V11" s="53">
        <f t="shared" ca="1" si="6"/>
        <v>2394799165.528214</v>
      </c>
      <c r="W11" s="53">
        <f t="shared" ca="1" si="7"/>
        <v>1.6348109786125107</v>
      </c>
      <c r="X11" s="53">
        <v>2771496073</v>
      </c>
      <c r="Y11" s="53">
        <v>8609637</v>
      </c>
      <c r="Z11" s="53">
        <f ca="1">INDIRECT("ZS(-1)",0) * 'Correction factor'!$C$13</f>
        <v>11940386.696420278</v>
      </c>
      <c r="AA11" s="53">
        <f t="shared" ca="1" si="8"/>
        <v>2783436459.6964202</v>
      </c>
      <c r="AB11" s="53">
        <f t="shared" ca="1" si="9"/>
        <v>1.9412502503313709</v>
      </c>
      <c r="AC11" s="53">
        <v>3448369156</v>
      </c>
      <c r="AD11" s="53">
        <v>13641328</v>
      </c>
      <c r="AE11" s="53">
        <f ca="1">INDIRECT("ZS(-1)",0) * 'Correction factor'!$C$13</f>
        <v>18918652.595075198</v>
      </c>
      <c r="AF11" s="53">
        <f t="shared" ca="1" si="10"/>
        <v>3467287808.5950751</v>
      </c>
      <c r="AG11" s="53">
        <f t="shared" ca="1" si="11"/>
        <v>2.2367963229712955</v>
      </c>
      <c r="AH11" s="53">
        <v>638395449</v>
      </c>
      <c r="AI11" s="53">
        <v>8010784</v>
      </c>
      <c r="AJ11" s="53">
        <f ca="1">INDIRECT("ZS(-1)",0) * 'Correction factor'!$C$13</f>
        <v>11109859.64930884</v>
      </c>
      <c r="AK11" s="53">
        <f t="shared" ca="1" si="12"/>
        <v>649505308.6493088</v>
      </c>
      <c r="AL11" s="53">
        <f t="shared" ca="1" si="13"/>
        <v>0.36861766923159961</v>
      </c>
      <c r="AM11" s="53">
        <v>1208344024</v>
      </c>
      <c r="AN11" s="53">
        <v>69659764</v>
      </c>
      <c r="AO11" s="53">
        <f ca="1">INDIRECT("ZS(-1)",0) * 'Correction factor'!$C$13</f>
        <v>96608546.834364355</v>
      </c>
      <c r="AP11" s="53">
        <f t="shared" ca="1" si="14"/>
        <v>1304952570.8343644</v>
      </c>
      <c r="AQ11" s="53">
        <f t="shared" ca="1" si="15"/>
        <v>0.84745362510017186</v>
      </c>
      <c r="AR11" s="53">
        <v>852758703</v>
      </c>
      <c r="AS11" s="53">
        <v>6975036</v>
      </c>
      <c r="AT11" s="53">
        <f ca="1">INDIRECT("ZS(-1)",0) * 'Correction factor'!$C$13</f>
        <v>9673419.1071531251</v>
      </c>
      <c r="AU11" s="53">
        <f t="shared" ca="1" si="16"/>
        <v>862432122.10715318</v>
      </c>
      <c r="AV11" s="53">
        <f t="shared" ca="1" si="17"/>
        <v>0.61717923610623215</v>
      </c>
      <c r="AW11" s="53">
        <v>967057006</v>
      </c>
      <c r="AX11" s="53">
        <v>9835476</v>
      </c>
      <c r="AY11" s="53">
        <f ca="1">INDIRECT("ZS(-1)",0) * 'Correction factor'!$C$13</f>
        <v>13640457.406434316</v>
      </c>
      <c r="AZ11" s="53">
        <f t="shared" ca="1" si="18"/>
        <v>980697463.4064343</v>
      </c>
      <c r="BA11" s="53">
        <f t="shared" ca="1" si="19"/>
        <v>0.67378048393416312</v>
      </c>
      <c r="BB11" s="53">
        <v>838822792</v>
      </c>
      <c r="BC11" s="53">
        <v>8011517</v>
      </c>
      <c r="BD11" s="53">
        <f ca="1">INDIRECT("ZS(-1)",0) * 'Correction factor'!$C$13</f>
        <v>11110876.219862103</v>
      </c>
      <c r="BE11" s="53">
        <f t="shared" ca="1" si="20"/>
        <v>849933668.2198621</v>
      </c>
      <c r="BF11" s="53">
        <f t="shared" ca="1" si="21"/>
        <v>0.5769073443956978</v>
      </c>
      <c r="BG11" s="53">
        <v>1436612761</v>
      </c>
      <c r="BH11" s="53">
        <v>8599576</v>
      </c>
      <c r="BI11" s="53">
        <f ca="1">INDIRECT("ZS(-1)",0) * 'Correction factor'!$C$13</f>
        <v>11926433.468130551</v>
      </c>
      <c r="BJ11" s="53">
        <f t="shared" ca="1" si="22"/>
        <v>1448539194.4681306</v>
      </c>
      <c r="BK11" s="53">
        <f t="shared" ca="1" si="23"/>
        <v>0.88230158829478733</v>
      </c>
      <c r="BL11" s="53">
        <v>69475213</v>
      </c>
      <c r="BM11" s="53">
        <v>648495614</v>
      </c>
      <c r="BN11" s="53">
        <f ca="1">INDIRECT("ZS(-1)",0) * 'Correction factor'!$C$13</f>
        <v>899374549.94821501</v>
      </c>
      <c r="BO11" s="53">
        <f t="shared" ca="1" si="24"/>
        <v>968849762.94821501</v>
      </c>
      <c r="BP11" s="53">
        <f t="shared" ca="1" si="25"/>
        <v>4.6466318334388133</v>
      </c>
      <c r="BQ11" s="53">
        <v>18285221</v>
      </c>
      <c r="BR11" s="53">
        <v>363859452</v>
      </c>
      <c r="BS11" s="53">
        <f ca="1">INDIRECT("ZS(-1)",0) * 'Correction factor'!$C$13</f>
        <v>504623198.40285635</v>
      </c>
      <c r="BT11" s="53">
        <f t="shared" ca="1" si="26"/>
        <v>522908419.40285635</v>
      </c>
      <c r="BU11" s="53">
        <f t="shared" ca="1" si="27"/>
        <v>3.069921892678372</v>
      </c>
      <c r="BV11" s="53">
        <v>29397560</v>
      </c>
      <c r="BW11" s="53">
        <v>500123501</v>
      </c>
      <c r="BX11" s="53">
        <f ca="1">INDIRECT("ZS(-1)",0) * 'Correction factor'!$C$13</f>
        <v>693602761.40649521</v>
      </c>
      <c r="BY11" s="53">
        <f t="shared" ca="1" si="28"/>
        <v>723000321.40649521</v>
      </c>
      <c r="BZ11" s="53">
        <f t="shared" ca="1" si="29"/>
        <v>4.6015525252733038</v>
      </c>
      <c r="CA11" s="53">
        <v>25230381</v>
      </c>
      <c r="CB11" s="53">
        <v>543187621</v>
      </c>
      <c r="CC11" s="53">
        <f ca="1">INDIRECT("ZS(-1)",0) * 'Correction factor'!$C$13</f>
        <v>753326794.54994214</v>
      </c>
      <c r="CD11" s="53">
        <f t="shared" ca="1" si="30"/>
        <v>778557175.54994214</v>
      </c>
      <c r="CE11" s="53">
        <f t="shared" ca="1" si="31"/>
        <v>4.4068293248566741</v>
      </c>
      <c r="CF11" s="53">
        <v>23455050</v>
      </c>
      <c r="CG11" s="53">
        <v>10688326</v>
      </c>
      <c r="CH11" s="53">
        <f ca="1">INDIRECT("ZS(-1)",0) * 'Correction factor'!$C$13</f>
        <v>14823243.486038141</v>
      </c>
      <c r="CI11" s="53">
        <f t="shared" ca="1" si="32"/>
        <v>38278293.486038141</v>
      </c>
      <c r="CJ11" s="53">
        <f t="shared" ca="1" si="33"/>
        <v>0.27807085210365967</v>
      </c>
      <c r="CK11" s="53">
        <v>2457922</v>
      </c>
      <c r="CL11" s="53">
        <v>50312570</v>
      </c>
      <c r="CM11" s="53">
        <f ca="1">INDIRECT("ZS(-1)",0) * 'Correction factor'!$C$13</f>
        <v>69776640.001281589</v>
      </c>
      <c r="CN11" s="53">
        <f t="shared" ca="1" si="34"/>
        <v>72234562.001281589</v>
      </c>
      <c r="CO11" s="53">
        <f t="shared" ca="1" si="35"/>
        <v>0.51597515657843973</v>
      </c>
      <c r="CP11" s="53">
        <v>1708152361</v>
      </c>
      <c r="CQ11" s="53">
        <v>8749045</v>
      </c>
      <c r="CR11" s="53">
        <f ca="1">INDIRECT("ZS(-1)",0) * 'Correction factor'!$C$13</f>
        <v>12133726.488629237</v>
      </c>
      <c r="CS11" s="53">
        <f t="shared" ca="1" si="36"/>
        <v>1720286087.4886293</v>
      </c>
      <c r="CT11" s="53">
        <f t="shared" ca="1" si="37"/>
        <v>1.1719101852216054</v>
      </c>
      <c r="CU11" s="53">
        <v>1415166486</v>
      </c>
      <c r="CV11" s="53">
        <v>8591135</v>
      </c>
      <c r="CW11" s="53">
        <f ca="1">INDIRECT("ZS(-1)",0) * 'Correction factor'!$C$13</f>
        <v>11914726.957843941</v>
      </c>
      <c r="CX11" s="53">
        <f t="shared" ca="1" si="38"/>
        <v>1427081212.957844</v>
      </c>
      <c r="CY11" s="53">
        <f t="shared" ca="1" si="39"/>
        <v>1.091884060569404</v>
      </c>
      <c r="CZ11" s="53">
        <v>1015829347</v>
      </c>
      <c r="DA11" s="53">
        <v>17363817</v>
      </c>
      <c r="DB11" s="53">
        <f ca="1">INDIRECT("ZS(-1)",0) * 'Correction factor'!$C$13</f>
        <v>24081234.726374209</v>
      </c>
      <c r="DC11" s="53">
        <f t="shared" ca="1" si="40"/>
        <v>1039910581.7263741</v>
      </c>
      <c r="DD11" s="53">
        <f t="shared" ca="1" si="41"/>
        <v>0.68255890481214443</v>
      </c>
      <c r="DE11" s="53">
        <v>1233605683</v>
      </c>
      <c r="DF11" s="53">
        <v>31491690</v>
      </c>
      <c r="DG11" s="53">
        <f ca="1">INDIRECT("ZS(-1)",0) * 'Correction factor'!$C$13</f>
        <v>43674658.562700324</v>
      </c>
      <c r="DH11" s="53">
        <f t="shared" ca="1" si="42"/>
        <v>1277280341.5627003</v>
      </c>
      <c r="DI11" s="53">
        <f t="shared" ca="1" si="43"/>
        <v>0.93003583052836702</v>
      </c>
      <c r="DJ11" s="53">
        <v>966132491</v>
      </c>
      <c r="DK11" s="53">
        <v>12393119</v>
      </c>
      <c r="DL11" s="53">
        <f ca="1">INDIRECT("ZS(-1)",0) * 'Correction factor'!$C$13</f>
        <v>17187557.760536637</v>
      </c>
      <c r="DM11" s="53">
        <f t="shared" ca="1" si="44"/>
        <v>983320048.76053667</v>
      </c>
      <c r="DN11" s="53">
        <f t="shared" ca="1" si="45"/>
        <v>0.81049198222186947</v>
      </c>
      <c r="DO11" s="53">
        <v>947548759</v>
      </c>
      <c r="DP11" s="53">
        <v>13587822</v>
      </c>
      <c r="DQ11" s="53">
        <f ca="1">INDIRECT("ZS(-1)",0) * 'Correction factor'!$C$13</f>
        <v>18844447.105275955</v>
      </c>
      <c r="DR11" s="53">
        <f t="shared" ca="1" si="46"/>
        <v>966393206.10527599</v>
      </c>
      <c r="DS11" s="53">
        <f t="shared" ca="1" si="47"/>
        <v>0.7280798815516587</v>
      </c>
      <c r="DT11" s="53">
        <v>1132979781</v>
      </c>
      <c r="DU11" s="53">
        <v>26897256</v>
      </c>
      <c r="DV11" s="53">
        <f ca="1">INDIRECT("ZS(-1)",0) * 'Correction factor'!$C$13</f>
        <v>37302808.203482971</v>
      </c>
      <c r="DW11" s="53">
        <f t="shared" ca="1" si="48"/>
        <v>1170282589.2034829</v>
      </c>
      <c r="DX11" s="53">
        <f t="shared" ca="1" si="49"/>
        <v>0.8617665718477785</v>
      </c>
      <c r="DY11" s="53">
        <v>1458970963</v>
      </c>
      <c r="DZ11" s="53">
        <v>36479519</v>
      </c>
      <c r="EA11" s="53">
        <f ca="1">INDIRECT("ZS(-1)",0) * 'Correction factor'!$C$13</f>
        <v>50592093.877989367</v>
      </c>
      <c r="EB11" s="53">
        <f t="shared" ca="1" si="50"/>
        <v>1509563056.8779893</v>
      </c>
      <c r="EC11" s="53">
        <f t="shared" ca="1" si="51"/>
        <v>1.0675632006600753</v>
      </c>
      <c r="ED11" s="53">
        <v>1326629722</v>
      </c>
      <c r="EE11" s="53">
        <v>46815004</v>
      </c>
      <c r="EF11" s="53">
        <f ca="1">INDIRECT("ZS(-1)",0) * 'Correction factor'!$C$13</f>
        <v>64925995.248633839</v>
      </c>
      <c r="EG11" s="53">
        <f t="shared" ca="1" si="52"/>
        <v>1391555717.2486339</v>
      </c>
      <c r="EH11" s="53">
        <f t="shared" ca="1" si="53"/>
        <v>1.0638671230027299</v>
      </c>
      <c r="EI11" s="53">
        <v>1015502308</v>
      </c>
      <c r="EJ11" s="53">
        <v>37857363</v>
      </c>
      <c r="EK11" s="53">
        <f ca="1">INDIRECT("ZS(-1)",0) * 'Correction factor'!$C$13</f>
        <v>52502974.692981049</v>
      </c>
      <c r="EL11" s="53">
        <f t="shared" ca="1" si="54"/>
        <v>1068005282.692981</v>
      </c>
      <c r="EM11" s="53">
        <f t="shared" ca="1" si="55"/>
        <v>0.81152764177587111</v>
      </c>
      <c r="EN11" s="53">
        <v>1534226588</v>
      </c>
      <c r="EO11" s="53">
        <v>11852028</v>
      </c>
      <c r="EP11" s="53">
        <f ca="1">INDIRECT("ZS(-1)",0) * 'Correction factor'!$C$13</f>
        <v>16437138.692003001</v>
      </c>
      <c r="EQ11" s="53">
        <f t="shared" ca="1" si="56"/>
        <v>1550663726.692003</v>
      </c>
      <c r="ER11" s="53">
        <f t="shared" ca="1" si="57"/>
        <v>1.054322514253631</v>
      </c>
      <c r="ES11" s="53">
        <v>1426341844</v>
      </c>
      <c r="ET11" s="53">
        <v>9102192</v>
      </c>
      <c r="EU11" s="53">
        <f ca="1">INDIRECT("ZS(-1)",0) * 'Correction factor'!$C$13</f>
        <v>12623492.984090164</v>
      </c>
      <c r="EV11" s="53">
        <f t="shared" ca="1" si="58"/>
        <v>1438965336.9840901</v>
      </c>
      <c r="EW11" s="53">
        <f t="shared" ca="1" si="59"/>
        <v>0.98362285060187338</v>
      </c>
      <c r="EX11" s="53">
        <v>1135028438</v>
      </c>
      <c r="EY11" s="53">
        <v>7433868</v>
      </c>
      <c r="EZ11" s="53">
        <f ca="1">INDIRECT("ZS(-1)",0) * 'Correction factor'!$C$13</f>
        <v>10309756.215058127</v>
      </c>
      <c r="FA11" s="53">
        <f t="shared" ca="1" si="60"/>
        <v>1145338194.2150581</v>
      </c>
      <c r="FB11" s="53">
        <f t="shared" ca="1" si="61"/>
        <v>0.81659147098126261</v>
      </c>
      <c r="FC11" s="53">
        <v>1103100625</v>
      </c>
      <c r="FD11" s="53">
        <v>20461900</v>
      </c>
      <c r="FE11" s="53">
        <f ca="1">INDIRECT("ZS(-1)",0) * 'Correction factor'!$C$13</f>
        <v>28377851.301220026</v>
      </c>
      <c r="FF11" s="53">
        <f t="shared" ca="1" si="62"/>
        <v>1131478476.3012199</v>
      </c>
      <c r="FG11" s="53">
        <f t="shared" ca="1" si="63"/>
        <v>0.87321241807823224</v>
      </c>
      <c r="FH11" s="53">
        <v>1902853495</v>
      </c>
      <c r="FI11" s="53">
        <v>18292315</v>
      </c>
      <c r="FJ11" s="53">
        <f ca="1">INDIRECT("ZS(-1)",0) * 'Correction factor'!$C$13</f>
        <v>25368934.2155458</v>
      </c>
      <c r="FK11" s="53">
        <f t="shared" ca="1" si="64"/>
        <v>1928222429.2155459</v>
      </c>
      <c r="FL11" s="53">
        <f t="shared" ca="1" si="65"/>
        <v>1.0862622336421113</v>
      </c>
      <c r="FM11" s="53">
        <v>1495684187</v>
      </c>
      <c r="FN11" s="53">
        <v>7901407</v>
      </c>
      <c r="FO11" s="53">
        <f ca="1">INDIRECT("ZS(-1)",0) * 'Correction factor'!$C$13</f>
        <v>10958168.738798402</v>
      </c>
      <c r="FP11" s="53">
        <f t="shared" ca="1" si="66"/>
        <v>1506642355.7387984</v>
      </c>
      <c r="FQ11" s="53">
        <f t="shared" ca="1" si="67"/>
        <v>1.06476174153018</v>
      </c>
      <c r="FR11" s="53">
        <v>1462794360</v>
      </c>
      <c r="FS11" s="53">
        <v>9656360</v>
      </c>
      <c r="FT11" s="53">
        <f ca="1">INDIRECT("ZS(-1)",0) * 'Correction factor'!$C$13</f>
        <v>13392048.059615627</v>
      </c>
      <c r="FU11" s="53">
        <f t="shared" ca="1" si="68"/>
        <v>1476186408.0596156</v>
      </c>
      <c r="FV11" s="53">
        <f t="shared" ca="1" si="69"/>
        <v>1.0297945016309837</v>
      </c>
      <c r="FW11" s="53">
        <v>1133338763</v>
      </c>
      <c r="FX11" s="53">
        <v>59683149</v>
      </c>
      <c r="FY11" s="53">
        <f ca="1">INDIRECT("ZS(-1)",0) * 'Correction factor'!$C$13</f>
        <v>82772348.975928858</v>
      </c>
      <c r="FZ11" s="53">
        <f t="shared" ca="1" si="70"/>
        <v>1216111111.9759288</v>
      </c>
      <c r="GA11" s="53">
        <f t="shared" ca="1" si="71"/>
        <v>0.9759281629083113</v>
      </c>
      <c r="GB11" s="53">
        <v>1181565562</v>
      </c>
      <c r="GC11" s="53">
        <v>8026924</v>
      </c>
      <c r="GD11" s="53">
        <f ca="1">INDIRECT("ZS(-1)",0) * 'Correction factor'!$C$13</f>
        <v>11132243.617562115</v>
      </c>
      <c r="GE11" s="53">
        <f t="shared" ca="1" si="72"/>
        <v>1192697805.6175621</v>
      </c>
      <c r="GF11" s="53">
        <f t="shared" ca="1" si="73"/>
        <v>0.83172216947294186</v>
      </c>
      <c r="GG11" s="53">
        <v>968062395</v>
      </c>
      <c r="GH11" s="53">
        <v>9490670</v>
      </c>
      <c r="GI11" s="53">
        <f ca="1">INDIRECT("ZS(-1)",0) * 'Correction factor'!$C$13</f>
        <v>13162258.73496351</v>
      </c>
      <c r="GJ11" s="53">
        <f t="shared" ca="1" si="74"/>
        <v>981224653.73496354</v>
      </c>
      <c r="GK11" s="53">
        <f t="shared" ca="1" si="75"/>
        <v>0.68420372893283443</v>
      </c>
      <c r="GL11" s="53">
        <v>986326239</v>
      </c>
      <c r="GM11" s="53">
        <v>10339295</v>
      </c>
      <c r="GN11" s="53">
        <f ca="1">INDIRECT("ZS(-1)",0) * 'Correction factor'!$C$13</f>
        <v>14339185.318540689</v>
      </c>
      <c r="GO11" s="53">
        <f t="shared" ca="1" si="76"/>
        <v>1000665424.3185407</v>
      </c>
      <c r="GP11" s="53">
        <f t="shared" ca="1" si="77"/>
        <v>0.69031095427910616</v>
      </c>
      <c r="GQ11" s="53">
        <v>460738942</v>
      </c>
      <c r="GR11" s="53">
        <v>7603328</v>
      </c>
      <c r="GS11" s="53">
        <f ca="1">INDIRECT("ZS(-1)",0) * 'Correction factor'!$C$13</f>
        <v>10544774.013087869</v>
      </c>
      <c r="GT11" s="53">
        <f t="shared" ca="1" si="78"/>
        <v>471283716.01308787</v>
      </c>
      <c r="GU11" s="53">
        <f t="shared" ca="1" si="79"/>
        <v>0.48866655955259586</v>
      </c>
      <c r="GV11" s="53">
        <v>870228737</v>
      </c>
      <c r="GW11" s="53">
        <v>11326650</v>
      </c>
      <c r="GX11" s="53">
        <f ca="1">INDIRECT("ZS(-1)",0) * 'Correction factor'!$C$13</f>
        <v>15708511.401236631</v>
      </c>
      <c r="GY11" s="53">
        <f t="shared" ca="1" si="80"/>
        <v>885937248.40123665</v>
      </c>
      <c r="GZ11" s="53">
        <f t="shared" ca="1" si="81"/>
        <v>0.62893254416073585</v>
      </c>
      <c r="HA11" s="53">
        <v>785750634</v>
      </c>
      <c r="HB11" s="53">
        <v>16349681</v>
      </c>
      <c r="HC11" s="53">
        <f ca="1">INDIRECT("ZS(-1)",0) * 'Correction factor'!$C$13</f>
        <v>22674767.06661563</v>
      </c>
      <c r="HD11" s="53">
        <f t="shared" ca="1" si="82"/>
        <v>808425401.06661558</v>
      </c>
      <c r="HE11" s="53">
        <f t="shared" ca="1" si="83"/>
        <v>0.59207177020920532</v>
      </c>
      <c r="HF11" s="53">
        <v>962410784</v>
      </c>
      <c r="HG11" s="53">
        <v>55412787</v>
      </c>
      <c r="HH11" s="53">
        <f ca="1">INDIRECT("ZS(-1)",0) * 'Correction factor'!$C$13</f>
        <v>76849942.071468353</v>
      </c>
      <c r="HI11" s="53">
        <f t="shared" ca="1" si="84"/>
        <v>1039260726.0714684</v>
      </c>
      <c r="HJ11" s="53">
        <f t="shared" ca="1" si="85"/>
        <v>0.76555056256838661</v>
      </c>
      <c r="HK11" s="53">
        <v>707879368</v>
      </c>
      <c r="HL11" s="53">
        <v>70009653</v>
      </c>
      <c r="HM11" s="53">
        <f ca="1">INDIRECT("ZS(-1)",0) * 'Correction factor'!$C$13</f>
        <v>97093794.930285677</v>
      </c>
      <c r="HN11" s="53">
        <f t="shared" ca="1" si="86"/>
        <v>804973162.93028569</v>
      </c>
      <c r="HO11" s="53">
        <f t="shared" ca="1" si="87"/>
        <v>0.59925767645594552</v>
      </c>
      <c r="HP11" s="53">
        <v>992663873</v>
      </c>
      <c r="HQ11" s="53">
        <v>7474613</v>
      </c>
      <c r="HR11" s="53">
        <f ca="1">INDIRECT("ZS(-1)",0) * 'Correction factor'!$C$13</f>
        <v>10366263.946562447</v>
      </c>
      <c r="HS11" s="53">
        <f t="shared" ca="1" si="88"/>
        <v>1003030136.9465624</v>
      </c>
      <c r="HT11" s="53">
        <f t="shared" ca="1" si="89"/>
        <v>0.65025687323844972</v>
      </c>
      <c r="HU11" s="53">
        <v>943797945</v>
      </c>
      <c r="HV11" s="53">
        <v>10839172</v>
      </c>
      <c r="HW11" s="53">
        <f ca="1">INDIRECT("ZS(-1)",0) * 'Correction factor'!$C$13</f>
        <v>15032446.216839476</v>
      </c>
      <c r="HX11" s="53">
        <f t="shared" ca="1" si="90"/>
        <v>958830391.21683943</v>
      </c>
      <c r="HY11" s="53">
        <f t="shared" ca="1" si="91"/>
        <v>0.75239733137512887</v>
      </c>
      <c r="HZ11" s="53">
        <v>852043405</v>
      </c>
      <c r="IA11" s="53">
        <v>34872300</v>
      </c>
      <c r="IB11" s="53">
        <f ca="1">INDIRECT("ZS(-1)",0) * 'Correction factor'!$C$13</f>
        <v>48363101.370426752</v>
      </c>
      <c r="IC11" s="53">
        <f t="shared" ca="1" si="92"/>
        <v>900406506.37042677</v>
      </c>
      <c r="ID11" s="53">
        <f t="shared" ca="1" si="93"/>
        <v>0.69820475856413022</v>
      </c>
      <c r="IE11" s="53">
        <v>1052590108</v>
      </c>
      <c r="IF11" s="53">
        <v>7705783</v>
      </c>
      <c r="IG11" s="53">
        <f ca="1">INDIRECT("ZS(-1)",0) * 'Correction factor'!$C$13</f>
        <v>10686865.05815536</v>
      </c>
      <c r="IH11" s="53">
        <f t="shared" ca="1" si="94"/>
        <v>1063276973.0581554</v>
      </c>
      <c r="II11" s="61">
        <f t="shared" ca="1" si="95"/>
        <v>0.81363195331842397</v>
      </c>
    </row>
    <row r="12" spans="1:243" s="3" customFormat="1" x14ac:dyDescent="0.25">
      <c r="A12" s="57">
        <v>8</v>
      </c>
      <c r="B12" s="56">
        <v>45499</v>
      </c>
      <c r="C12" s="29" t="s">
        <v>39</v>
      </c>
      <c r="D12" s="52">
        <v>3192279349</v>
      </c>
      <c r="E12" s="53">
        <v>9447949</v>
      </c>
      <c r="F12" s="53">
        <f ca="1">INDIRECT("ZS(-1)",0) * 'Correction factor'!$C$13</f>
        <v>13103010.562240576</v>
      </c>
      <c r="G12" s="53">
        <f t="shared" ca="1" si="0"/>
        <v>3205382359.5622406</v>
      </c>
      <c r="H12" s="53">
        <f t="shared" ca="1" si="1"/>
        <v>2.3182843043533783</v>
      </c>
      <c r="I12" s="53">
        <v>2687596079</v>
      </c>
      <c r="J12" s="53">
        <v>11389460</v>
      </c>
      <c r="K12" s="53">
        <f ca="1">INDIRECT("ZS(-1)",0) * 'Correction factor'!$C$13</f>
        <v>15795620.264061179</v>
      </c>
      <c r="L12" s="53">
        <f t="shared" ca="1" si="2"/>
        <v>2703391699.264061</v>
      </c>
      <c r="M12" s="53">
        <f t="shared" ca="1" si="3"/>
        <v>1.7720825815549592</v>
      </c>
      <c r="N12" s="53">
        <v>2625309189</v>
      </c>
      <c r="O12" s="53">
        <v>8916758</v>
      </c>
      <c r="P12" s="53">
        <f ca="1">INDIRECT("ZS(-1)",0) * 'Correction factor'!$C$13</f>
        <v>12366321.437059319</v>
      </c>
      <c r="Q12" s="53">
        <f t="shared" ca="1" si="4"/>
        <v>2637675510.4370594</v>
      </c>
      <c r="R12" s="53">
        <f t="shared" ca="1" si="5"/>
        <v>2.0534396512725333</v>
      </c>
      <c r="S12" s="53">
        <v>2527389794</v>
      </c>
      <c r="T12" s="53">
        <v>6849587</v>
      </c>
      <c r="U12" s="53">
        <f ca="1">INDIRECT("ZS(-1)",0) * 'Correction factor'!$C$13</f>
        <v>9499438.5350710228</v>
      </c>
      <c r="V12" s="53">
        <f t="shared" ca="1" si="6"/>
        <v>2536889232.5350709</v>
      </c>
      <c r="W12" s="53">
        <f t="shared" ca="1" si="7"/>
        <v>1.7318088416643633</v>
      </c>
      <c r="X12" s="53">
        <v>2947574243</v>
      </c>
      <c r="Y12" s="53">
        <v>8632660</v>
      </c>
      <c r="Z12" s="53">
        <f ca="1">INDIRECT("ZS(-1)",0) * 'Correction factor'!$C$13</f>
        <v>11972316.44246087</v>
      </c>
      <c r="AA12" s="53">
        <f t="shared" ca="1" si="8"/>
        <v>2959546559.442461</v>
      </c>
      <c r="AB12" s="53">
        <f t="shared" ca="1" si="9"/>
        <v>2.0640746007946005</v>
      </c>
      <c r="AC12" s="53">
        <v>3559155801</v>
      </c>
      <c r="AD12" s="53">
        <v>14760327</v>
      </c>
      <c r="AE12" s="53">
        <f ca="1">INDIRECT("ZS(-1)",0) * 'Correction factor'!$C$13</f>
        <v>20470550.865920715</v>
      </c>
      <c r="AF12" s="53">
        <f t="shared" ca="1" si="10"/>
        <v>3579626351.8659205</v>
      </c>
      <c r="AG12" s="53">
        <f t="shared" ca="1" si="11"/>
        <v>2.3092675034407342</v>
      </c>
      <c r="AH12" s="53">
        <v>616611747</v>
      </c>
      <c r="AI12" s="53">
        <v>8276320</v>
      </c>
      <c r="AJ12" s="53">
        <f ca="1">INDIRECT("ZS(-1)",0) * 'Correction factor'!$C$13</f>
        <v>11478121.693553058</v>
      </c>
      <c r="AK12" s="53">
        <f t="shared" ca="1" si="12"/>
        <v>628089868.69355309</v>
      </c>
      <c r="AL12" s="53">
        <f t="shared" ca="1" si="13"/>
        <v>0.35646363529694819</v>
      </c>
      <c r="AM12" s="53">
        <v>1223345436</v>
      </c>
      <c r="AN12" s="53">
        <v>120927918</v>
      </c>
      <c r="AO12" s="53">
        <f ca="1">INDIRECT("ZS(-1)",0) * 'Correction factor'!$C$13</f>
        <v>167710450.89508447</v>
      </c>
      <c r="AP12" s="53">
        <f t="shared" ca="1" si="14"/>
        <v>1391055886.8950844</v>
      </c>
      <c r="AQ12" s="53">
        <f t="shared" ca="1" si="15"/>
        <v>0.90337026832510381</v>
      </c>
      <c r="AR12" s="53">
        <v>782694280</v>
      </c>
      <c r="AS12" s="53">
        <v>7601709</v>
      </c>
      <c r="AT12" s="53">
        <f ca="1">INDIRECT("ZS(-1)",0) * 'Correction factor'!$C$13</f>
        <v>10542528.681947717</v>
      </c>
      <c r="AU12" s="53">
        <f t="shared" ca="1" si="16"/>
        <v>793236808.68194771</v>
      </c>
      <c r="AV12" s="53">
        <f t="shared" ca="1" si="17"/>
        <v>0.56766123974779681</v>
      </c>
      <c r="AW12" s="53">
        <v>922519336</v>
      </c>
      <c r="AX12" s="53">
        <v>11733228</v>
      </c>
      <c r="AY12" s="53">
        <f ca="1">INDIRECT("ZS(-1)",0) * 'Correction factor'!$C$13</f>
        <v>16272379.371774431</v>
      </c>
      <c r="AZ12" s="53">
        <f t="shared" ca="1" si="18"/>
        <v>938791715.37177444</v>
      </c>
      <c r="BA12" s="53">
        <f t="shared" ca="1" si="19"/>
        <v>0.64498946912686317</v>
      </c>
      <c r="BB12" s="53">
        <v>813508406</v>
      </c>
      <c r="BC12" s="53">
        <v>9033651</v>
      </c>
      <c r="BD12" s="53">
        <f ca="1">INDIRECT("ZS(-1)",0) * 'Correction factor'!$C$13</f>
        <v>12528436.009613847</v>
      </c>
      <c r="BE12" s="53">
        <f t="shared" ca="1" si="20"/>
        <v>826036842.00961387</v>
      </c>
      <c r="BF12" s="53">
        <f t="shared" ca="1" si="21"/>
        <v>0.56068695560075288</v>
      </c>
      <c r="BG12" s="53">
        <v>1401891587</v>
      </c>
      <c r="BH12" s="53">
        <v>9245436</v>
      </c>
      <c r="BI12" s="53">
        <f ca="1">INDIRECT("ZS(-1)",0) * 'Correction factor'!$C$13</f>
        <v>12822152.782632427</v>
      </c>
      <c r="BJ12" s="53">
        <f t="shared" ca="1" si="22"/>
        <v>1414713739.7826324</v>
      </c>
      <c r="BK12" s="53">
        <f t="shared" ca="1" si="23"/>
        <v>0.86169858872958294</v>
      </c>
      <c r="BL12" s="53">
        <v>91588071</v>
      </c>
      <c r="BM12" s="53">
        <v>969287011</v>
      </c>
      <c r="BN12" s="53">
        <f ca="1">INDIRECT("ZS(-1)",0) * 'Correction factor'!$C$13</f>
        <v>1344268257.9018576</v>
      </c>
      <c r="BO12" s="53">
        <f t="shared" ca="1" si="24"/>
        <v>1435856328.9018576</v>
      </c>
      <c r="BP12" s="53">
        <f t="shared" ca="1" si="25"/>
        <v>6.8864089988703174</v>
      </c>
      <c r="BQ12" s="53">
        <v>25710728</v>
      </c>
      <c r="BR12" s="53">
        <v>529857995</v>
      </c>
      <c r="BS12" s="53">
        <f ca="1">INDIRECT("ZS(-1)",0) * 'Correction factor'!$C$13</f>
        <v>734840429.91474807</v>
      </c>
      <c r="BT12" s="53">
        <f t="shared" ca="1" si="26"/>
        <v>760551157.91474807</v>
      </c>
      <c r="BU12" s="53">
        <f t="shared" ca="1" si="27"/>
        <v>4.4650890357639881</v>
      </c>
      <c r="BV12" s="53">
        <v>53203804</v>
      </c>
      <c r="BW12" s="53">
        <v>764419863</v>
      </c>
      <c r="BX12" s="53">
        <f ca="1">INDIRECT("ZS(-1)",0) * 'Correction factor'!$C$13</f>
        <v>1060145597.6186466</v>
      </c>
      <c r="BY12" s="53">
        <f t="shared" ca="1" si="28"/>
        <v>1113349401.6186466</v>
      </c>
      <c r="BZ12" s="53">
        <f t="shared" ca="1" si="29"/>
        <v>7.0859384136420118</v>
      </c>
      <c r="CA12" s="53">
        <v>48093677</v>
      </c>
      <c r="CB12" s="53">
        <v>818317590</v>
      </c>
      <c r="CC12" s="53">
        <f ca="1">INDIRECT("ZS(-1)",0) * 'Correction factor'!$C$13</f>
        <v>1134894359.0865333</v>
      </c>
      <c r="CD12" s="53">
        <f t="shared" ca="1" si="30"/>
        <v>1182988036.0865333</v>
      </c>
      <c r="CE12" s="53">
        <f t="shared" ca="1" si="31"/>
        <v>6.6960096600462551</v>
      </c>
      <c r="CF12" s="53">
        <v>27352509</v>
      </c>
      <c r="CG12" s="53">
        <v>11570060</v>
      </c>
      <c r="CH12" s="53">
        <f ca="1">INDIRECT("ZS(-1)",0) * 'Correction factor'!$C$13</f>
        <v>16046087.71551976</v>
      </c>
      <c r="CI12" s="53">
        <f t="shared" ca="1" si="32"/>
        <v>43398596.715519756</v>
      </c>
      <c r="CJ12" s="53">
        <f t="shared" ca="1" si="33"/>
        <v>0.31526705267541194</v>
      </c>
      <c r="CK12" s="53">
        <v>10666293</v>
      </c>
      <c r="CL12" s="53">
        <v>77076393</v>
      </c>
      <c r="CM12" s="53">
        <f ca="1">INDIRECT("ZS(-1)",0) * 'Correction factor'!$C$13</f>
        <v>106894394.91877079</v>
      </c>
      <c r="CN12" s="53">
        <f t="shared" ca="1" si="34"/>
        <v>117560687.91877079</v>
      </c>
      <c r="CO12" s="53">
        <f t="shared" ca="1" si="35"/>
        <v>0.83974198328053329</v>
      </c>
      <c r="CP12" s="53">
        <v>2278592079</v>
      </c>
      <c r="CQ12" s="53">
        <v>8826594</v>
      </c>
      <c r="CR12" s="53">
        <f ca="1">INDIRECT("ZS(-1)",0) * 'Correction factor'!$C$13</f>
        <v>12241276.324693253</v>
      </c>
      <c r="CS12" s="53">
        <f t="shared" ca="1" si="36"/>
        <v>2290833355.3246932</v>
      </c>
      <c r="CT12" s="53">
        <f t="shared" ca="1" si="37"/>
        <v>1.5605839989496153</v>
      </c>
      <c r="CU12" s="53">
        <v>1967861614</v>
      </c>
      <c r="CV12" s="53">
        <v>8671136</v>
      </c>
      <c r="CW12" s="53">
        <f ca="1">INDIRECT("ZS(-1)",0) * 'Correction factor'!$C$13</f>
        <v>12025677.381897859</v>
      </c>
      <c r="CX12" s="53">
        <f t="shared" ca="1" si="38"/>
        <v>1979887291.3818979</v>
      </c>
      <c r="CY12" s="53">
        <f t="shared" ca="1" si="39"/>
        <v>1.5148453749896611</v>
      </c>
      <c r="CZ12" s="53">
        <v>1221363332</v>
      </c>
      <c r="DA12" s="53">
        <v>27377067</v>
      </c>
      <c r="DB12" s="53">
        <f ca="1">INDIRECT("ZS(-1)",0) * 'Correction factor'!$C$13</f>
        <v>37968240.309528336</v>
      </c>
      <c r="DC12" s="53">
        <f t="shared" ca="1" si="40"/>
        <v>1259331572.3095284</v>
      </c>
      <c r="DD12" s="53">
        <f t="shared" ca="1" si="41"/>
        <v>0.82657874041820334</v>
      </c>
      <c r="DE12" s="53">
        <v>1654278860</v>
      </c>
      <c r="DF12" s="53">
        <v>45578557</v>
      </c>
      <c r="DG12" s="53">
        <f ca="1">INDIRECT("ZS(-1)",0) * 'Correction factor'!$C$13</f>
        <v>63211212.69628828</v>
      </c>
      <c r="DH12" s="53">
        <f t="shared" ca="1" si="42"/>
        <v>1717490072.6962883</v>
      </c>
      <c r="DI12" s="53">
        <f t="shared" ca="1" si="43"/>
        <v>1.2505690835498597</v>
      </c>
      <c r="DJ12" s="53">
        <v>1230335295</v>
      </c>
      <c r="DK12" s="53">
        <v>15227527</v>
      </c>
      <c r="DL12" s="53">
        <f ca="1">INDIRECT("ZS(-1)",0) * 'Correction factor'!$C$13</f>
        <v>21118493.243115894</v>
      </c>
      <c r="DM12" s="53">
        <f t="shared" ca="1" si="44"/>
        <v>1251453788.2431159</v>
      </c>
      <c r="DN12" s="53">
        <f t="shared" ca="1" si="45"/>
        <v>1.0314986079768589</v>
      </c>
      <c r="DO12" s="53">
        <v>1260054891</v>
      </c>
      <c r="DP12" s="53">
        <v>17172217</v>
      </c>
      <c r="DQ12" s="53">
        <f ca="1">INDIRECT("ZS(-1)",0) * 'Correction factor'!$C$13</f>
        <v>23815511.782301873</v>
      </c>
      <c r="DR12" s="53">
        <f t="shared" ca="1" si="46"/>
        <v>1283870402.7823019</v>
      </c>
      <c r="DS12" s="53">
        <f t="shared" ca="1" si="47"/>
        <v>0.96726695187837308</v>
      </c>
      <c r="DT12" s="53">
        <v>1530852697</v>
      </c>
      <c r="DU12" s="53">
        <v>47242548</v>
      </c>
      <c r="DV12" s="53">
        <f ca="1">INDIRECT("ZS(-1)",0) * 'Correction factor'!$C$13</f>
        <v>65518940.188093461</v>
      </c>
      <c r="DW12" s="53">
        <f t="shared" ca="1" si="48"/>
        <v>1596371637.1880934</v>
      </c>
      <c r="DX12" s="53">
        <f t="shared" ca="1" si="49"/>
        <v>1.175527796334163</v>
      </c>
      <c r="DY12" s="53">
        <v>1895851058</v>
      </c>
      <c r="DZ12" s="53">
        <v>56845886</v>
      </c>
      <c r="EA12" s="53">
        <f ca="1">INDIRECT("ZS(-1)",0) * 'Correction factor'!$C$13</f>
        <v>78837453.999584854</v>
      </c>
      <c r="EB12" s="53">
        <f t="shared" ca="1" si="50"/>
        <v>1974688511.9995849</v>
      </c>
      <c r="EC12" s="53">
        <f t="shared" ca="1" si="51"/>
        <v>1.3964999862522114</v>
      </c>
      <c r="ED12" s="53">
        <v>1741772810</v>
      </c>
      <c r="EE12" s="53">
        <v>82094893</v>
      </c>
      <c r="EF12" s="53">
        <f ca="1">INDIRECT("ZS(-1)",0) * 'Correction factor'!$C$13</f>
        <v>113854366.7080559</v>
      </c>
      <c r="EG12" s="53">
        <f t="shared" ca="1" si="52"/>
        <v>1855627176.708056</v>
      </c>
      <c r="EH12" s="53">
        <f t="shared" ca="1" si="53"/>
        <v>1.4186573497418584</v>
      </c>
      <c r="EI12" s="53">
        <v>1309312025</v>
      </c>
      <c r="EJ12" s="53">
        <v>58820242</v>
      </c>
      <c r="EK12" s="53">
        <f ca="1">INDIRECT("ZS(-1)",0) * 'Correction factor'!$C$13</f>
        <v>81575615.215487167</v>
      </c>
      <c r="EL12" s="53">
        <f t="shared" ca="1" si="54"/>
        <v>1390887640.2154872</v>
      </c>
      <c r="EM12" s="53">
        <f t="shared" ca="1" si="55"/>
        <v>1.056870958346898</v>
      </c>
      <c r="EN12" s="53">
        <v>2010631445</v>
      </c>
      <c r="EO12" s="53">
        <v>11991182</v>
      </c>
      <c r="EP12" s="53">
        <f ca="1">INDIRECT("ZS(-1)",0) * 'Correction factor'!$C$13</f>
        <v>16630126.221018877</v>
      </c>
      <c r="EQ12" s="53">
        <f t="shared" ca="1" si="56"/>
        <v>2027261571.2210188</v>
      </c>
      <c r="ER12" s="53">
        <f t="shared" ca="1" si="57"/>
        <v>1.3783694556260455</v>
      </c>
      <c r="ES12" s="53">
        <v>1896959154</v>
      </c>
      <c r="ET12" s="53">
        <v>10049416</v>
      </c>
      <c r="EU12" s="53">
        <f ca="1">INDIRECT("ZS(-1)",0) * 'Correction factor'!$C$13</f>
        <v>13937162.869142229</v>
      </c>
      <c r="EV12" s="53">
        <f t="shared" ca="1" si="58"/>
        <v>1910896316.8691423</v>
      </c>
      <c r="EW12" s="53">
        <f t="shared" ca="1" si="59"/>
        <v>1.3062172062760593</v>
      </c>
      <c r="EX12" s="53">
        <v>1277610741</v>
      </c>
      <c r="EY12" s="53">
        <v>7943061</v>
      </c>
      <c r="EZ12" s="53">
        <f ca="1">INDIRECT("ZS(-1)",0) * 'Correction factor'!$C$13</f>
        <v>11015937.128737804</v>
      </c>
      <c r="FA12" s="53">
        <f t="shared" ca="1" si="60"/>
        <v>1288626678.1287377</v>
      </c>
      <c r="FB12" s="53">
        <f t="shared" ca="1" si="61"/>
        <v>0.91875182365677655</v>
      </c>
      <c r="FC12" s="53">
        <v>1460317819</v>
      </c>
      <c r="FD12" s="53">
        <v>26391948</v>
      </c>
      <c r="FE12" s="53">
        <f ca="1">INDIRECT("ZS(-1)",0) * 'Correction factor'!$C$13</f>
        <v>36602015.252421878</v>
      </c>
      <c r="FF12" s="53">
        <f t="shared" ca="1" si="62"/>
        <v>1496919834.2524219</v>
      </c>
      <c r="FG12" s="53">
        <f t="shared" ca="1" si="63"/>
        <v>1.1552398172078375</v>
      </c>
      <c r="FH12" s="53">
        <v>2466520784</v>
      </c>
      <c r="FI12" s="53">
        <v>20574498</v>
      </c>
      <c r="FJ12" s="53">
        <f ca="1">INDIRECT("ZS(-1)",0) * 'Correction factor'!$C$13</f>
        <v>28534009.297340367</v>
      </c>
      <c r="FK12" s="53">
        <f t="shared" ca="1" si="64"/>
        <v>2495054793.2973404</v>
      </c>
      <c r="FL12" s="53">
        <f t="shared" ca="1" si="65"/>
        <v>1.4055866956849181</v>
      </c>
      <c r="FM12" s="53">
        <v>1949575461</v>
      </c>
      <c r="FN12" s="53">
        <v>8452440</v>
      </c>
      <c r="FO12" s="53">
        <f ca="1">INDIRECT("ZS(-1)",0) * 'Correction factor'!$C$13</f>
        <v>11722375.998928946</v>
      </c>
      <c r="FP12" s="53">
        <f t="shared" ca="1" si="66"/>
        <v>1961297836.998929</v>
      </c>
      <c r="FQ12" s="53">
        <f t="shared" ca="1" si="67"/>
        <v>1.3860720778411457</v>
      </c>
      <c r="FR12" s="53">
        <v>1974107937</v>
      </c>
      <c r="FS12" s="53">
        <v>10675029</v>
      </c>
      <c r="FT12" s="53">
        <f ca="1">INDIRECT("ZS(-1)",0) * 'Correction factor'!$C$13</f>
        <v>14804802.36919404</v>
      </c>
      <c r="FU12" s="53">
        <f t="shared" ca="1" si="68"/>
        <v>1988912739.369194</v>
      </c>
      <c r="FV12" s="53">
        <f t="shared" ca="1" si="69"/>
        <v>1.3874747742180125</v>
      </c>
      <c r="FW12" s="53">
        <v>1548302972</v>
      </c>
      <c r="FX12" s="53">
        <v>96832338</v>
      </c>
      <c r="FY12" s="53">
        <f ca="1">INDIRECT("ZS(-1)",0) * 'Correction factor'!$C$13</f>
        <v>134293183.37561408</v>
      </c>
      <c r="FZ12" s="53">
        <f t="shared" ca="1" si="70"/>
        <v>1682596155.3756142</v>
      </c>
      <c r="GA12" s="53">
        <f t="shared" ca="1" si="71"/>
        <v>1.3502820249411664</v>
      </c>
      <c r="GB12" s="53">
        <v>1503067170</v>
      </c>
      <c r="GC12" s="53">
        <v>8346114</v>
      </c>
      <c r="GD12" s="53">
        <f ca="1">INDIRECT("ZS(-1)",0) * 'Correction factor'!$C$13</f>
        <v>11574916.407324377</v>
      </c>
      <c r="GE12" s="53">
        <f t="shared" ca="1" si="72"/>
        <v>1514642086.4073243</v>
      </c>
      <c r="GF12" s="53">
        <f t="shared" ca="1" si="73"/>
        <v>1.0562284898557655</v>
      </c>
      <c r="GG12" s="53">
        <v>1224017056</v>
      </c>
      <c r="GH12" s="53">
        <v>10547478</v>
      </c>
      <c r="GI12" s="53">
        <f ca="1">INDIRECT("ZS(-1)",0) * 'Correction factor'!$C$13</f>
        <v>14627906.611159746</v>
      </c>
      <c r="GJ12" s="53">
        <f t="shared" ca="1" si="74"/>
        <v>1238644962.6111598</v>
      </c>
      <c r="GK12" s="53">
        <f t="shared" ca="1" si="75"/>
        <v>0.8637018026570491</v>
      </c>
      <c r="GL12" s="53">
        <v>1012680563</v>
      </c>
      <c r="GM12" s="53">
        <v>13619555</v>
      </c>
      <c r="GN12" s="53">
        <f ca="1">INDIRECT("ZS(-1)",0) * 'Correction factor'!$C$13</f>
        <v>18888456.427740715</v>
      </c>
      <c r="GO12" s="53">
        <f t="shared" ca="1" si="76"/>
        <v>1031569019.4277407</v>
      </c>
      <c r="GP12" s="53">
        <f t="shared" ca="1" si="77"/>
        <v>0.7116298583923516</v>
      </c>
      <c r="GQ12" s="53">
        <v>438219755</v>
      </c>
      <c r="GR12" s="53">
        <v>7941948</v>
      </c>
      <c r="GS12" s="53">
        <f ca="1">INDIRECT("ZS(-1)",0) * 'Correction factor'!$C$13</f>
        <v>11014393.550257884</v>
      </c>
      <c r="GT12" s="53">
        <f t="shared" ca="1" si="78"/>
        <v>449234148.55025786</v>
      </c>
      <c r="GU12" s="53">
        <f t="shared" ca="1" si="79"/>
        <v>0.46580371514363528</v>
      </c>
      <c r="GV12" s="53">
        <v>835894768</v>
      </c>
      <c r="GW12" s="53">
        <v>14295729</v>
      </c>
      <c r="GX12" s="53">
        <f ca="1">INDIRECT("ZS(-1)",0) * 'Correction factor'!$C$13</f>
        <v>19826217.106160175</v>
      </c>
      <c r="GY12" s="53">
        <f t="shared" ca="1" si="80"/>
        <v>855720985.10616016</v>
      </c>
      <c r="GZ12" s="53">
        <f t="shared" ca="1" si="81"/>
        <v>0.60748182472942425</v>
      </c>
      <c r="HA12" s="53">
        <v>760713528</v>
      </c>
      <c r="HB12" s="53">
        <v>25035569</v>
      </c>
      <c r="HC12" s="53">
        <f ca="1">INDIRECT("ZS(-1)",0) * 'Correction factor'!$C$13</f>
        <v>34720903.450971499</v>
      </c>
      <c r="HD12" s="53">
        <f t="shared" ca="1" si="82"/>
        <v>795434431.45097148</v>
      </c>
      <c r="HE12" s="53">
        <f t="shared" ca="1" si="83"/>
        <v>0.58255748927874429</v>
      </c>
      <c r="HF12" s="53">
        <v>922441840</v>
      </c>
      <c r="HG12" s="53">
        <v>102119641</v>
      </c>
      <c r="HH12" s="53">
        <f ca="1">INDIRECT("ZS(-1)",0) * 'Correction factor'!$C$13</f>
        <v>141625948.09044966</v>
      </c>
      <c r="HI12" s="53">
        <f t="shared" ca="1" si="84"/>
        <v>1064067788.0904497</v>
      </c>
      <c r="HJ12" s="53">
        <f t="shared" ca="1" si="85"/>
        <v>0.78382418708616142</v>
      </c>
      <c r="HK12" s="53">
        <v>638162224</v>
      </c>
      <c r="HL12" s="53">
        <v>123368999</v>
      </c>
      <c r="HM12" s="53">
        <f ca="1">INDIRECT("ZS(-1)",0) * 'Correction factor'!$C$13</f>
        <v>171095895.72827363</v>
      </c>
      <c r="HN12" s="53">
        <f t="shared" ca="1" si="86"/>
        <v>809258119.72827363</v>
      </c>
      <c r="HO12" s="53">
        <f t="shared" ca="1" si="87"/>
        <v>0.60244758808620291</v>
      </c>
      <c r="HP12" s="53">
        <v>980536698</v>
      </c>
      <c r="HQ12" s="53">
        <v>7767839</v>
      </c>
      <c r="HR12" s="53">
        <f ca="1">INDIRECT("ZS(-1)",0) * 'Correction factor'!$C$13</f>
        <v>10772928.226304384</v>
      </c>
      <c r="HS12" s="53">
        <f t="shared" ca="1" si="88"/>
        <v>991309626.22630441</v>
      </c>
      <c r="HT12" s="53">
        <f t="shared" ca="1" si="89"/>
        <v>0.64265855453098419</v>
      </c>
      <c r="HU12" s="53">
        <v>962063799</v>
      </c>
      <c r="HV12" s="53">
        <v>12321039</v>
      </c>
      <c r="HW12" s="53">
        <f ca="1">INDIRECT("ZS(-1)",0) * 'Correction factor'!$C$13</f>
        <v>17087592.678027589</v>
      </c>
      <c r="HX12" s="53">
        <f t="shared" ca="1" si="90"/>
        <v>979151391.67802763</v>
      </c>
      <c r="HY12" s="53">
        <f t="shared" ca="1" si="91"/>
        <v>0.76834328663262452</v>
      </c>
      <c r="HZ12" s="53">
        <v>860153026</v>
      </c>
      <c r="IA12" s="53">
        <v>57704505</v>
      </c>
      <c r="IB12" s="53">
        <f ca="1">INDIRECT("ZS(-1)",0) * 'Correction factor'!$C$13</f>
        <v>80028240.891633108</v>
      </c>
      <c r="IC12" s="53">
        <f t="shared" ca="1" si="92"/>
        <v>940181266.89163315</v>
      </c>
      <c r="ID12" s="53">
        <f t="shared" ca="1" si="93"/>
        <v>0.7290474133763446</v>
      </c>
      <c r="IE12" s="53">
        <v>1050756861</v>
      </c>
      <c r="IF12" s="53">
        <v>8402749</v>
      </c>
      <c r="IG12" s="53">
        <f ca="1">INDIRECT("ZS(-1)",0) * 'Correction factor'!$C$13</f>
        <v>11653461.391340749</v>
      </c>
      <c r="IH12" s="53">
        <f t="shared" ca="1" si="94"/>
        <v>1062410322.3913407</v>
      </c>
      <c r="II12" s="61">
        <f t="shared" ca="1" si="95"/>
        <v>0.81296878211021373</v>
      </c>
    </row>
    <row r="13" spans="1:243" x14ac:dyDescent="0.25">
      <c r="A13" s="5">
        <v>9</v>
      </c>
      <c r="B13" s="30">
        <v>45500</v>
      </c>
      <c r="C13" s="29" t="s">
        <v>40</v>
      </c>
      <c r="D13" s="52">
        <v>3783802070</v>
      </c>
      <c r="E13" s="53">
        <v>11838572</v>
      </c>
      <c r="F13" s="53">
        <f ca="1">INDIRECT("ZS(-1)",0) * 'Correction factor'!$C$13</f>
        <v>16418477.063947482</v>
      </c>
      <c r="G13" s="53">
        <f t="shared" ca="1" si="0"/>
        <v>3800220547.0639477</v>
      </c>
      <c r="H13" s="53">
        <f t="shared" ca="1" si="1"/>
        <v>2.7484994484535501</v>
      </c>
      <c r="I13" s="53">
        <v>2858625520</v>
      </c>
      <c r="J13" s="53">
        <v>12931297</v>
      </c>
      <c r="K13" s="53">
        <f ca="1">INDIRECT("ZS(-1)",0) * 'Correction factor'!$C$13</f>
        <v>17933936.897253562</v>
      </c>
      <c r="L13" s="53">
        <f t="shared" ca="1" si="2"/>
        <v>2876559456.8972535</v>
      </c>
      <c r="M13" s="53">
        <f t="shared" ca="1" si="3"/>
        <v>1.8855946438551614</v>
      </c>
      <c r="N13" s="53">
        <v>3257325751</v>
      </c>
      <c r="O13" s="53">
        <v>11519769</v>
      </c>
      <c r="P13" s="53">
        <f ca="1">INDIRECT("ZS(-1)",0) * 'Correction factor'!$C$13</f>
        <v>15976340.990152631</v>
      </c>
      <c r="Q13" s="53">
        <f t="shared" ca="1" si="4"/>
        <v>3273302091.9901528</v>
      </c>
      <c r="R13" s="53">
        <f t="shared" ca="1" si="5"/>
        <v>2.5482771780264071</v>
      </c>
      <c r="S13" s="53">
        <v>2695733237</v>
      </c>
      <c r="T13" s="53">
        <v>8388342</v>
      </c>
      <c r="U13" s="53">
        <f ca="1">INDIRECT("ZS(-1)",0) * 'Correction factor'!$C$13</f>
        <v>11633480.856605623</v>
      </c>
      <c r="V13" s="53">
        <f t="shared" ca="1" si="6"/>
        <v>2707366717.8566055</v>
      </c>
      <c r="W13" s="53">
        <f t="shared" ca="1" si="7"/>
        <v>1.8481853915736859</v>
      </c>
      <c r="X13" s="53">
        <v>3264326461</v>
      </c>
      <c r="Y13" s="53">
        <v>10797711</v>
      </c>
      <c r="Z13" s="53">
        <f ca="1">INDIRECT("ZS(-1)",0) * 'Correction factor'!$C$13</f>
        <v>14974945.491452299</v>
      </c>
      <c r="AA13" s="53">
        <f t="shared" ca="1" si="8"/>
        <v>3279301406.4914522</v>
      </c>
      <c r="AB13" s="53">
        <f t="shared" ca="1" si="9"/>
        <v>2.2870810124251442</v>
      </c>
      <c r="AC13" s="53">
        <v>4103594972</v>
      </c>
      <c r="AD13" s="53">
        <v>16462064</v>
      </c>
      <c r="AE13" s="53">
        <f ca="1">INDIRECT("ZS(-1)",0) * 'Correction factor'!$C$13</f>
        <v>22830626.887198519</v>
      </c>
      <c r="AF13" s="53">
        <f t="shared" ca="1" si="10"/>
        <v>4126425598.8871984</v>
      </c>
      <c r="AG13" s="53">
        <f t="shared" ca="1" si="11"/>
        <v>2.6620154184274201</v>
      </c>
      <c r="AH13" s="53">
        <v>585229886</v>
      </c>
      <c r="AI13" s="53">
        <v>10485061</v>
      </c>
      <c r="AJ13" s="53">
        <f ca="1">INDIRECT("ZS(-1)",0) * 'Correction factor'!$C$13</f>
        <v>14541342.785480399</v>
      </c>
      <c r="AK13" s="53">
        <f t="shared" ca="1" si="12"/>
        <v>599771228.78548038</v>
      </c>
      <c r="AL13" s="53">
        <f t="shared" ca="1" si="13"/>
        <v>0.34039178661501701</v>
      </c>
      <c r="AM13" s="53">
        <v>1225010104</v>
      </c>
      <c r="AN13" s="53">
        <v>228636089</v>
      </c>
      <c r="AO13" s="53">
        <f ca="1">INDIRECT("ZS(-1)",0) * 'Correction factor'!$C$13</f>
        <v>317086924.27069372</v>
      </c>
      <c r="AP13" s="53">
        <f t="shared" ca="1" si="14"/>
        <v>1542097028.2706938</v>
      </c>
      <c r="AQ13" s="53">
        <f t="shared" ca="1" si="15"/>
        <v>1.0014584024526043</v>
      </c>
      <c r="AR13" s="53">
        <v>645062047</v>
      </c>
      <c r="AS13" s="53">
        <v>9013770</v>
      </c>
      <c r="AT13" s="53">
        <f ca="1">INDIRECT("ZS(-1)",0) * 'Correction factor'!$C$13</f>
        <v>12500863.78700893</v>
      </c>
      <c r="AU13" s="53">
        <f t="shared" ca="1" si="16"/>
        <v>657562910.78700888</v>
      </c>
      <c r="AV13" s="53">
        <f t="shared" ca="1" si="17"/>
        <v>0.47056941012326253</v>
      </c>
      <c r="AW13" s="53">
        <v>481208926</v>
      </c>
      <c r="AX13" s="53">
        <v>12441010</v>
      </c>
      <c r="AY13" s="53">
        <f ca="1">INDIRECT("ZS(-1)",0) * 'Correction factor'!$C$13</f>
        <v>17253976.014788039</v>
      </c>
      <c r="AZ13" s="53">
        <f t="shared" ca="1" si="18"/>
        <v>498462902.01478803</v>
      </c>
      <c r="BA13" s="53">
        <f t="shared" ca="1" si="19"/>
        <v>0.34246501890212566</v>
      </c>
      <c r="BB13" s="53">
        <v>739228871</v>
      </c>
      <c r="BC13" s="53">
        <v>10782436</v>
      </c>
      <c r="BD13" s="53">
        <f ca="1">INDIRECT("ZS(-1)",0) * 'Correction factor'!$C$13</f>
        <v>14953761.159663651</v>
      </c>
      <c r="BE13" s="53">
        <f t="shared" ca="1" si="20"/>
        <v>754182632.15966368</v>
      </c>
      <c r="BF13" s="53">
        <f t="shared" ca="1" si="21"/>
        <v>0.51191465378688628</v>
      </c>
      <c r="BG13" s="53">
        <v>1237732583</v>
      </c>
      <c r="BH13" s="53">
        <v>11025585</v>
      </c>
      <c r="BI13" s="53">
        <f ca="1">INDIRECT("ZS(-1)",0) * 'Correction factor'!$C$13</f>
        <v>15290975.502712945</v>
      </c>
      <c r="BJ13" s="53">
        <f t="shared" ca="1" si="22"/>
        <v>1253023558.502713</v>
      </c>
      <c r="BK13" s="53">
        <f t="shared" ca="1" si="23"/>
        <v>0.76321350506753804</v>
      </c>
      <c r="BL13" s="53">
        <v>138839329</v>
      </c>
      <c r="BM13" s="53">
        <v>1531245627</v>
      </c>
      <c r="BN13" s="53">
        <f ca="1">INDIRECT("ZS(-1)",0) * 'Correction factor'!$C$13</f>
        <v>2123627850.2313776</v>
      </c>
      <c r="BO13" s="53">
        <f t="shared" ca="1" si="24"/>
        <v>2262467179.2313776</v>
      </c>
      <c r="BP13" s="53">
        <f t="shared" ca="1" si="25"/>
        <v>10.8508588422795</v>
      </c>
      <c r="BQ13" s="53">
        <v>47925460</v>
      </c>
      <c r="BR13" s="53">
        <v>822916681</v>
      </c>
      <c r="BS13" s="53">
        <f ca="1">INDIRECT("ZS(-1)",0) * 'Correction factor'!$C$13</f>
        <v>1141272668.0665781</v>
      </c>
      <c r="BT13" s="53">
        <f t="shared" ca="1" si="26"/>
        <v>1189198128.0665781</v>
      </c>
      <c r="BU13" s="53">
        <f t="shared" ca="1" si="27"/>
        <v>6.981615198035545</v>
      </c>
      <c r="BV13" s="53">
        <v>80256109</v>
      </c>
      <c r="BW13" s="53">
        <v>1170007092</v>
      </c>
      <c r="BX13" s="53">
        <f ca="1">INDIRECT("ZS(-1)",0) * 'Correction factor'!$C$13</f>
        <v>1622639504.5498638</v>
      </c>
      <c r="BY13" s="53">
        <f t="shared" ca="1" si="28"/>
        <v>1702895613.5498638</v>
      </c>
      <c r="BZ13" s="53">
        <f t="shared" ca="1" si="29"/>
        <v>10.838119124986619</v>
      </c>
      <c r="CA13" s="53">
        <v>79961407</v>
      </c>
      <c r="CB13" s="53">
        <v>1270219850</v>
      </c>
      <c r="CC13" s="53">
        <f ca="1">INDIRECT("ZS(-1)",0) * 'Correction factor'!$C$13</f>
        <v>1761620867.2292411</v>
      </c>
      <c r="CD13" s="53">
        <f t="shared" ca="1" si="30"/>
        <v>1841582274.2292411</v>
      </c>
      <c r="CE13" s="53">
        <f t="shared" ca="1" si="31"/>
        <v>10.423818603273638</v>
      </c>
      <c r="CF13" s="53">
        <v>19756491</v>
      </c>
      <c r="CG13" s="53">
        <v>12204934</v>
      </c>
      <c r="CH13" s="53">
        <f ca="1">INDIRECT("ZS(-1)",0) * 'Correction factor'!$C$13</f>
        <v>16926570.953489389</v>
      </c>
      <c r="CI13" s="53">
        <f t="shared" ca="1" si="32"/>
        <v>36683061.953489393</v>
      </c>
      <c r="CJ13" s="53">
        <f t="shared" ca="1" si="33"/>
        <v>0.26648236810501291</v>
      </c>
      <c r="CK13" s="53">
        <v>9718165</v>
      </c>
      <c r="CL13" s="53">
        <v>110775026</v>
      </c>
      <c r="CM13" s="53">
        <f ca="1">INDIRECT("ZS(-1)",0) * 'Correction factor'!$C$13</f>
        <v>153629780.99378759</v>
      </c>
      <c r="CN13" s="53">
        <f t="shared" ca="1" si="34"/>
        <v>163347945.99378759</v>
      </c>
      <c r="CO13" s="53">
        <f t="shared" ca="1" si="35"/>
        <v>1.1668027004775872</v>
      </c>
      <c r="CP13" s="53">
        <v>2908459050</v>
      </c>
      <c r="CQ13" s="53">
        <v>10700654</v>
      </c>
      <c r="CR13" s="53">
        <f ca="1">INDIRECT("ZS(-1)",0) * 'Correction factor'!$C$13</f>
        <v>14840340.732669268</v>
      </c>
      <c r="CS13" s="53">
        <f t="shared" ca="1" si="36"/>
        <v>2923299390.7326694</v>
      </c>
      <c r="CT13" s="53">
        <f t="shared" ca="1" si="37"/>
        <v>1.9914387236909934</v>
      </c>
      <c r="CU13" s="53">
        <v>2534603484</v>
      </c>
      <c r="CV13" s="53">
        <v>10375617</v>
      </c>
      <c r="CW13" s="53">
        <f ca="1">INDIRECT("ZS(-1)",0) * 'Correction factor'!$C$13</f>
        <v>14389558.955151312</v>
      </c>
      <c r="CX13" s="53">
        <f t="shared" ca="1" si="38"/>
        <v>2548993042.9551511</v>
      </c>
      <c r="CY13" s="53">
        <f t="shared" ca="1" si="39"/>
        <v>1.9502778460214005</v>
      </c>
      <c r="CZ13" s="53">
        <v>1690444317</v>
      </c>
      <c r="DA13" s="53">
        <v>45826555</v>
      </c>
      <c r="DB13" s="53">
        <f ca="1">INDIRECT("ZS(-1)",0) * 'Correction factor'!$C$13</f>
        <v>63555151.937854312</v>
      </c>
      <c r="DC13" s="53">
        <f t="shared" ca="1" si="40"/>
        <v>1753999468.9378543</v>
      </c>
      <c r="DD13" s="53">
        <f t="shared" ca="1" si="41"/>
        <v>1.1512604810423204</v>
      </c>
      <c r="DE13" s="53">
        <v>2098051074</v>
      </c>
      <c r="DF13" s="53">
        <v>66506307</v>
      </c>
      <c r="DG13" s="53">
        <f ca="1">INDIRECT("ZS(-1)",0) * 'Correction factor'!$C$13</f>
        <v>92235134.109700888</v>
      </c>
      <c r="DH13" s="53">
        <f t="shared" ca="1" si="42"/>
        <v>2190286208.1097007</v>
      </c>
      <c r="DI13" s="53">
        <f t="shared" ca="1" si="43"/>
        <v>1.5948297224725876</v>
      </c>
      <c r="DJ13" s="53">
        <v>1660883369</v>
      </c>
      <c r="DK13" s="53">
        <v>20001123</v>
      </c>
      <c r="DL13" s="53">
        <f ca="1">INDIRECT("ZS(-1)",0) * 'Correction factor'!$C$13</f>
        <v>27738816.744848318</v>
      </c>
      <c r="DM13" s="53">
        <f t="shared" ca="1" si="44"/>
        <v>1688622185.7448483</v>
      </c>
      <c r="DN13" s="53">
        <f t="shared" ca="1" si="45"/>
        <v>1.3918304058513713</v>
      </c>
      <c r="DO13" s="53">
        <v>1731527305</v>
      </c>
      <c r="DP13" s="53">
        <v>25421387</v>
      </c>
      <c r="DQ13" s="53">
        <f ca="1">INDIRECT("ZS(-1)",0) * 'Correction factor'!$C$13</f>
        <v>35255980.146358252</v>
      </c>
      <c r="DR13" s="53">
        <f t="shared" ca="1" si="46"/>
        <v>1766783285.1463583</v>
      </c>
      <c r="DS13" s="53">
        <f t="shared" ca="1" si="47"/>
        <v>1.3310931377105302</v>
      </c>
      <c r="DT13" s="53">
        <v>2032170503</v>
      </c>
      <c r="DU13" s="53">
        <v>78432649</v>
      </c>
      <c r="DV13" s="53">
        <f ca="1">INDIRECT("ZS(-1)",0) * 'Correction factor'!$C$13</f>
        <v>108775336.1360765</v>
      </c>
      <c r="DW13" s="53">
        <f t="shared" ca="1" si="48"/>
        <v>2140945839.1360765</v>
      </c>
      <c r="DX13" s="53">
        <f t="shared" ca="1" si="49"/>
        <v>1.5765384987567848</v>
      </c>
      <c r="DY13" s="53">
        <v>2364317413</v>
      </c>
      <c r="DZ13" s="53">
        <v>86859587</v>
      </c>
      <c r="EA13" s="53">
        <f ca="1">INDIRECT("ZS(-1)",0) * 'Correction factor'!$C$13</f>
        <v>120462344.35567489</v>
      </c>
      <c r="EB13" s="53">
        <f t="shared" ca="1" si="50"/>
        <v>2484779757.3556747</v>
      </c>
      <c r="EC13" s="53">
        <f t="shared" ca="1" si="51"/>
        <v>1.7572365848592642</v>
      </c>
      <c r="ED13" s="53">
        <v>2205409369</v>
      </c>
      <c r="EE13" s="53">
        <v>146210055</v>
      </c>
      <c r="EF13" s="53">
        <f ca="1">INDIRECT("ZS(-1)",0) * 'Correction factor'!$C$13</f>
        <v>202773310.37358221</v>
      </c>
      <c r="EG13" s="53">
        <f t="shared" ca="1" si="52"/>
        <v>2408182679.3735824</v>
      </c>
      <c r="EH13" s="53">
        <f t="shared" ca="1" si="53"/>
        <v>1.8410950758304563</v>
      </c>
      <c r="EI13" s="53">
        <v>1756577202</v>
      </c>
      <c r="EJ13" s="53">
        <v>91293067</v>
      </c>
      <c r="EK13" s="53">
        <f ca="1">INDIRECT("ZS(-1)",0) * 'Correction factor'!$C$13</f>
        <v>126610973.57324183</v>
      </c>
      <c r="EL13" s="53">
        <f t="shared" ca="1" si="54"/>
        <v>1883188175.5732417</v>
      </c>
      <c r="EM13" s="53">
        <f t="shared" ca="1" si="55"/>
        <v>1.4309472845393088</v>
      </c>
      <c r="EN13" s="53">
        <v>2593976508</v>
      </c>
      <c r="EO13" s="53">
        <v>13584270</v>
      </c>
      <c r="EP13" s="53">
        <f ca="1">INDIRECT("ZS(-1)",0) * 'Correction factor'!$C$13</f>
        <v>18839520.968024679</v>
      </c>
      <c r="EQ13" s="53">
        <f t="shared" ca="1" si="56"/>
        <v>2612816028.9680247</v>
      </c>
      <c r="ER13" s="53">
        <f t="shared" ca="1" si="57"/>
        <v>1.7764978425208962</v>
      </c>
      <c r="ES13" s="53">
        <v>2333756326</v>
      </c>
      <c r="ET13" s="53">
        <v>11703071</v>
      </c>
      <c r="EU13" s="53">
        <f ca="1">INDIRECT("ZS(-1)",0) * 'Correction factor'!$C$13</f>
        <v>16230555.745342337</v>
      </c>
      <c r="EV13" s="53">
        <f t="shared" ca="1" si="58"/>
        <v>2349986881.7453423</v>
      </c>
      <c r="EW13" s="53">
        <f t="shared" ca="1" si="59"/>
        <v>1.6063630833137421</v>
      </c>
      <c r="EX13" s="53">
        <v>1640459322</v>
      </c>
      <c r="EY13" s="53">
        <v>9360166</v>
      </c>
      <c r="EZ13" s="53">
        <f ca="1">INDIRECT("ZS(-1)",0) * 'Correction factor'!$C$13</f>
        <v>12981267.570593907</v>
      </c>
      <c r="FA13" s="53">
        <f t="shared" ca="1" si="60"/>
        <v>1653440589.5705938</v>
      </c>
      <c r="FB13" s="53">
        <f t="shared" ca="1" si="61"/>
        <v>1.1788531021118251</v>
      </c>
      <c r="FC13" s="53">
        <v>1914224542</v>
      </c>
      <c r="FD13" s="53">
        <v>36575758</v>
      </c>
      <c r="FE13" s="53">
        <f ca="1">INDIRECT("ZS(-1)",0) * 'Correction factor'!$C$13</f>
        <v>50725564.182867125</v>
      </c>
      <c r="FF13" s="53">
        <f t="shared" ca="1" si="62"/>
        <v>1964950106.1828671</v>
      </c>
      <c r="FG13" s="53">
        <f t="shared" ca="1" si="63"/>
        <v>1.5164396579880135</v>
      </c>
      <c r="FH13" s="53">
        <v>3035684460</v>
      </c>
      <c r="FI13" s="53">
        <v>24495519</v>
      </c>
      <c r="FJ13" s="53">
        <f ca="1">INDIRECT("ZS(-1)",0) * 'Correction factor'!$C$13</f>
        <v>33971928.106784314</v>
      </c>
      <c r="FK13" s="53">
        <f t="shared" ca="1" si="64"/>
        <v>3069656388.1067843</v>
      </c>
      <c r="FL13" s="53">
        <f t="shared" ca="1" si="65"/>
        <v>1.7292879463160264</v>
      </c>
      <c r="FM13" s="53">
        <v>2462665975</v>
      </c>
      <c r="FN13" s="53">
        <v>10189495</v>
      </c>
      <c r="FO13" s="53">
        <f ca="1">INDIRECT("ZS(-1)",0) * 'Correction factor'!$C$13</f>
        <v>14131433.246400625</v>
      </c>
      <c r="FP13" s="53">
        <f t="shared" ca="1" si="66"/>
        <v>2476797408.2464008</v>
      </c>
      <c r="FQ13" s="53">
        <f t="shared" ca="1" si="67"/>
        <v>1.750381642847612</v>
      </c>
      <c r="FR13" s="53">
        <v>2515226576</v>
      </c>
      <c r="FS13" s="53">
        <v>12482223</v>
      </c>
      <c r="FT13" s="53">
        <f ca="1">INDIRECT("ZS(-1)",0) * 'Correction factor'!$C$13</f>
        <v>17311132.798159923</v>
      </c>
      <c r="FU13" s="53">
        <f t="shared" ca="1" si="68"/>
        <v>2532537708.7981601</v>
      </c>
      <c r="FV13" s="53">
        <f t="shared" ca="1" si="69"/>
        <v>1.7667100804169924</v>
      </c>
      <c r="FW13" s="53">
        <v>2090057650</v>
      </c>
      <c r="FX13" s="53">
        <v>150552785</v>
      </c>
      <c r="FY13" s="53">
        <f ca="1">INDIRECT("ZS(-1)",0) * 'Correction factor'!$C$13</f>
        <v>208796081.77708566</v>
      </c>
      <c r="FZ13" s="53">
        <f t="shared" ca="1" si="70"/>
        <v>2298853731.7770858</v>
      </c>
      <c r="GA13" s="53">
        <f t="shared" ca="1" si="71"/>
        <v>1.8448282210026665</v>
      </c>
      <c r="GB13" s="53">
        <v>1901155517</v>
      </c>
      <c r="GC13" s="53">
        <v>9662038</v>
      </c>
      <c r="GD13" s="53">
        <f ca="1">INDIRECT("ZS(-1)",0) * 'Correction factor'!$C$13</f>
        <v>13399922.667530255</v>
      </c>
      <c r="GE13" s="53">
        <f t="shared" ca="1" si="72"/>
        <v>1914555439.6675303</v>
      </c>
      <c r="GF13" s="53">
        <f t="shared" ca="1" si="73"/>
        <v>1.3351061738828214</v>
      </c>
      <c r="GG13" s="53">
        <v>1641966822</v>
      </c>
      <c r="GH13" s="53">
        <v>12565452</v>
      </c>
      <c r="GI13" s="53">
        <f ca="1">INDIRECT("ZS(-1)",0) * 'Correction factor'!$C$13</f>
        <v>17426560.015864499</v>
      </c>
      <c r="GJ13" s="53">
        <f t="shared" ca="1" si="74"/>
        <v>1659393382.0158646</v>
      </c>
      <c r="GK13" s="53">
        <f t="shared" ca="1" si="75"/>
        <v>1.157087865067435</v>
      </c>
      <c r="GL13" s="53">
        <v>978153787</v>
      </c>
      <c r="GM13" s="53">
        <v>20088178</v>
      </c>
      <c r="GN13" s="53">
        <f ca="1">INDIRECT("ZS(-1)",0) * 'Correction factor'!$C$13</f>
        <v>27859550.100256551</v>
      </c>
      <c r="GO13" s="53">
        <f t="shared" ca="1" si="76"/>
        <v>1006013337.1002566</v>
      </c>
      <c r="GP13" s="53">
        <f t="shared" ca="1" si="77"/>
        <v>0.69400022212631074</v>
      </c>
      <c r="GQ13" s="53">
        <v>411429821</v>
      </c>
      <c r="GR13" s="53">
        <v>9476170</v>
      </c>
      <c r="GS13" s="53">
        <f ca="1">INDIRECT("ZS(-1)",0) * 'Correction factor'!$C$13</f>
        <v>13142149.22197265</v>
      </c>
      <c r="GT13" s="53">
        <f t="shared" ca="1" si="78"/>
        <v>424571970.22197264</v>
      </c>
      <c r="GU13" s="53">
        <f t="shared" ca="1" si="79"/>
        <v>0.44023189624713632</v>
      </c>
      <c r="GV13" s="53">
        <v>727045070</v>
      </c>
      <c r="GW13" s="53">
        <v>20585738</v>
      </c>
      <c r="GX13" s="53">
        <f ca="1">INDIRECT("ZS(-1)",0) * 'Correction factor'!$C$13</f>
        <v>28549597.637065694</v>
      </c>
      <c r="GY13" s="53">
        <f t="shared" ca="1" si="80"/>
        <v>755594667.63706565</v>
      </c>
      <c r="GZ13" s="53">
        <f t="shared" ca="1" si="81"/>
        <v>0.53640150871728709</v>
      </c>
      <c r="HA13" s="53">
        <v>703018231</v>
      </c>
      <c r="HB13" s="53">
        <v>47031198</v>
      </c>
      <c r="HC13" s="53">
        <f ca="1">INDIRECT("ZS(-1)",0) * 'Correction factor'!$C$13</f>
        <v>65225826.700464606</v>
      </c>
      <c r="HD13" s="53">
        <f t="shared" ca="1" si="82"/>
        <v>768244057.70046461</v>
      </c>
      <c r="HE13" s="53">
        <f t="shared" ca="1" si="83"/>
        <v>0.56264389836748352</v>
      </c>
      <c r="HF13" s="53">
        <v>795423658</v>
      </c>
      <c r="HG13" s="53">
        <v>191497133</v>
      </c>
      <c r="HH13" s="53">
        <f ca="1">INDIRECT("ZS(-1)",0) * 'Correction factor'!$C$13</f>
        <v>265580281.63972819</v>
      </c>
      <c r="HI13" s="53">
        <f t="shared" ca="1" si="84"/>
        <v>1061003939.6397282</v>
      </c>
      <c r="HJ13" s="53">
        <f t="shared" ca="1" si="85"/>
        <v>0.78156726459671022</v>
      </c>
      <c r="HK13" s="53">
        <v>527132375</v>
      </c>
      <c r="HL13" s="53">
        <v>229236933</v>
      </c>
      <c r="HM13" s="53">
        <f ca="1">INDIRECT("ZS(-1)",0) * 'Correction factor'!$C$13</f>
        <v>317920212.56196827</v>
      </c>
      <c r="HN13" s="53">
        <f t="shared" ca="1" si="86"/>
        <v>845052587.56196833</v>
      </c>
      <c r="HO13" s="53">
        <f t="shared" ca="1" si="87"/>
        <v>0.62909457535459035</v>
      </c>
      <c r="HP13" s="53">
        <v>874651610</v>
      </c>
      <c r="HQ13" s="53">
        <v>9014984</v>
      </c>
      <c r="HR13" s="53">
        <f ca="1">INDIRECT("ZS(-1)",0) * 'Correction factor'!$C$13</f>
        <v>12502547.438648304</v>
      </c>
      <c r="HS13" s="53">
        <f t="shared" ca="1" si="88"/>
        <v>887154157.43864834</v>
      </c>
      <c r="HT13" s="53">
        <f t="shared" ca="1" si="89"/>
        <v>0.57513534962437585</v>
      </c>
      <c r="HU13" s="53">
        <v>919855435</v>
      </c>
      <c r="HV13" s="53">
        <v>14751477</v>
      </c>
      <c r="HW13" s="53">
        <f ca="1">INDIRECT("ZS(-1)",0) * 'Correction factor'!$C$13</f>
        <v>20458277.128681466</v>
      </c>
      <c r="HX13" s="53">
        <f t="shared" ca="1" si="90"/>
        <v>940313712.12868142</v>
      </c>
      <c r="HY13" s="53">
        <f t="shared" ca="1" si="91"/>
        <v>0.73786723297662171</v>
      </c>
      <c r="HZ13" s="53">
        <v>820134247</v>
      </c>
      <c r="IA13" s="53">
        <v>106225235</v>
      </c>
      <c r="IB13" s="53">
        <f ca="1">INDIRECT("ZS(-1)",0) * 'Correction factor'!$C$13</f>
        <v>147319844.35791168</v>
      </c>
      <c r="IC13" s="53">
        <f t="shared" ca="1" si="92"/>
        <v>967454091.35791171</v>
      </c>
      <c r="ID13" s="53">
        <f t="shared" ca="1" si="93"/>
        <v>0.75019565662771681</v>
      </c>
      <c r="IE13" s="53">
        <v>998967992</v>
      </c>
      <c r="IF13" s="53">
        <v>10260447</v>
      </c>
      <c r="IG13" s="53">
        <f ca="1">INDIRECT("ZS(-1)",0) * 'Correction factor'!$C$13</f>
        <v>14229833.947485283</v>
      </c>
      <c r="IH13" s="53">
        <f t="shared" ca="1" si="94"/>
        <v>1013197825.9474853</v>
      </c>
      <c r="II13" s="61">
        <f t="shared" ca="1" si="95"/>
        <v>0.77531080528586271</v>
      </c>
    </row>
    <row r="14" spans="1:243" s="3" customFormat="1" x14ac:dyDescent="0.25">
      <c r="A14" s="57">
        <v>10</v>
      </c>
      <c r="B14" s="56">
        <v>45501</v>
      </c>
      <c r="C14" s="29" t="s">
        <v>34</v>
      </c>
      <c r="D14" s="52">
        <v>3993895475</v>
      </c>
      <c r="E14" s="53">
        <v>12198579</v>
      </c>
      <c r="F14" s="53">
        <f ca="1">INDIRECT("ZS(-1)",0) * 'Correction factor'!$C$13</f>
        <v>16917757.439347532</v>
      </c>
      <c r="G14" s="53">
        <f t="shared" ca="1" si="0"/>
        <v>4010813232.4393477</v>
      </c>
      <c r="H14" s="53">
        <f t="shared" ca="1" si="1"/>
        <v>2.9008100505447452</v>
      </c>
      <c r="I14" s="53">
        <v>2922086547</v>
      </c>
      <c r="J14" s="53">
        <v>12779616</v>
      </c>
      <c r="K14" s="53">
        <f ca="1">INDIRECT("ZS(-1)",0) * 'Correction factor'!$C$13</f>
        <v>17723576.135876544</v>
      </c>
      <c r="L14" s="53">
        <f t="shared" ca="1" si="2"/>
        <v>2939810123.1358767</v>
      </c>
      <c r="M14" s="53">
        <f t="shared" ca="1" si="3"/>
        <v>1.9270556736954627</v>
      </c>
      <c r="N14" s="53">
        <v>3977304359</v>
      </c>
      <c r="O14" s="53">
        <v>12778230</v>
      </c>
      <c r="P14" s="53">
        <f ca="1">INDIRECT("ZS(-1)",0) * 'Correction factor'!$C$13</f>
        <v>17721653.943807211</v>
      </c>
      <c r="Q14" s="53">
        <f t="shared" ca="1" si="4"/>
        <v>3995026012.9438071</v>
      </c>
      <c r="R14" s="53">
        <f t="shared" ca="1" si="5"/>
        <v>3.1101417859715097</v>
      </c>
      <c r="S14" s="53">
        <v>2891245818</v>
      </c>
      <c r="T14" s="53">
        <v>8572710</v>
      </c>
      <c r="U14" s="53">
        <f ca="1">INDIRECT("ZS(-1)",0) * 'Correction factor'!$C$13</f>
        <v>11889174.007715898</v>
      </c>
      <c r="V14" s="53">
        <f t="shared" ca="1" si="6"/>
        <v>2903134992.0077157</v>
      </c>
      <c r="W14" s="53">
        <f t="shared" ca="1" si="7"/>
        <v>1.9818267125049411</v>
      </c>
      <c r="X14" s="53">
        <v>3518244862</v>
      </c>
      <c r="Y14" s="53">
        <v>10127770</v>
      </c>
      <c r="Z14" s="53">
        <f ca="1">INDIRECT("ZS(-1)",0) * 'Correction factor'!$C$13</f>
        <v>14045829.129892979</v>
      </c>
      <c r="AA14" s="53">
        <f t="shared" ca="1" si="8"/>
        <v>3532290691.1298928</v>
      </c>
      <c r="AB14" s="53">
        <f t="shared" ca="1" si="9"/>
        <v>2.4635231619934128</v>
      </c>
      <c r="AC14" s="53">
        <v>4268553051</v>
      </c>
      <c r="AD14" s="53">
        <v>16139656</v>
      </c>
      <c r="AE14" s="53">
        <f ca="1">INDIRECT("ZS(-1)",0) * 'Correction factor'!$C$13</f>
        <v>22383491.172415249</v>
      </c>
      <c r="AF14" s="53">
        <f t="shared" ca="1" si="10"/>
        <v>4290936542.1724153</v>
      </c>
      <c r="AG14" s="53">
        <f t="shared" ca="1" si="11"/>
        <v>2.7681437508135378</v>
      </c>
      <c r="AH14" s="53">
        <v>535404833</v>
      </c>
      <c r="AI14" s="53">
        <v>9545969</v>
      </c>
      <c r="AJ14" s="53">
        <f ca="1">INDIRECT("ZS(-1)",0) * 'Correction factor'!$C$13</f>
        <v>13238950.870058794</v>
      </c>
      <c r="AK14" s="53">
        <f t="shared" ca="1" si="12"/>
        <v>548643783.87005877</v>
      </c>
      <c r="AL14" s="53">
        <f t="shared" ca="1" si="13"/>
        <v>0.31137511911820737</v>
      </c>
      <c r="AM14" s="53">
        <v>1133581130</v>
      </c>
      <c r="AN14" s="53">
        <v>343807818</v>
      </c>
      <c r="AO14" s="53">
        <f ca="1">INDIRECT("ZS(-1)",0) * 'Correction factor'!$C$13</f>
        <v>476814329.8227886</v>
      </c>
      <c r="AP14" s="53">
        <f t="shared" ca="1" si="14"/>
        <v>1610395459.8227887</v>
      </c>
      <c r="AQ14" s="53">
        <f t="shared" ca="1" si="15"/>
        <v>1.0458123159212536</v>
      </c>
      <c r="AR14" s="53">
        <v>548595000</v>
      </c>
      <c r="AS14" s="53">
        <v>8612993</v>
      </c>
      <c r="AT14" s="53">
        <f ca="1">INDIRECT("ZS(-1)",0) * 'Correction factor'!$C$13</f>
        <v>11945041.008530438</v>
      </c>
      <c r="AU14" s="53">
        <f t="shared" ca="1" si="16"/>
        <v>560540041.00853038</v>
      </c>
      <c r="AV14" s="53">
        <f t="shared" ca="1" si="17"/>
        <v>0.40113727845774472</v>
      </c>
      <c r="AW14" s="53">
        <v>398139076</v>
      </c>
      <c r="AX14" s="53">
        <v>10662907</v>
      </c>
      <c r="AY14" s="53">
        <f ca="1">INDIRECT("ZS(-1)",0) * 'Correction factor'!$C$13</f>
        <v>14787990.816333679</v>
      </c>
      <c r="AZ14" s="53">
        <f t="shared" ca="1" si="18"/>
        <v>412927066.81633365</v>
      </c>
      <c r="BA14" s="53">
        <f t="shared" ca="1" si="19"/>
        <v>0.2836982956421894</v>
      </c>
      <c r="BB14" s="53">
        <v>666685311</v>
      </c>
      <c r="BC14" s="53">
        <v>10319988</v>
      </c>
      <c r="BD14" s="53">
        <f ca="1">INDIRECT("ZS(-1)",0) * 'Correction factor'!$C$13</f>
        <v>14312409.155277617</v>
      </c>
      <c r="BE14" s="53">
        <f t="shared" ca="1" si="20"/>
        <v>680997720.15527761</v>
      </c>
      <c r="BF14" s="53">
        <f t="shared" ca="1" si="21"/>
        <v>0.4622391146089731</v>
      </c>
      <c r="BG14" s="53">
        <v>1078959894</v>
      </c>
      <c r="BH14" s="53">
        <v>10259650</v>
      </c>
      <c r="BI14" s="53">
        <f ca="1">INDIRECT("ZS(-1)",0) * 'Correction factor'!$C$13</f>
        <v>14228728.617702268</v>
      </c>
      <c r="BJ14" s="53">
        <f t="shared" ca="1" si="22"/>
        <v>1093188622.6177022</v>
      </c>
      <c r="BK14" s="53">
        <f t="shared" ca="1" si="23"/>
        <v>0.66585844671986205</v>
      </c>
      <c r="BL14" s="53">
        <v>169143199</v>
      </c>
      <c r="BM14" s="53">
        <v>2009409346</v>
      </c>
      <c r="BN14" s="53">
        <f ca="1">INDIRECT("ZS(-1)",0) * 'Correction factor'!$C$13</f>
        <v>2786775403.2650819</v>
      </c>
      <c r="BO14" s="53">
        <f t="shared" ca="1" si="24"/>
        <v>2955918602.2650819</v>
      </c>
      <c r="BP14" s="53">
        <f t="shared" ca="1" si="25"/>
        <v>14.17667217313757</v>
      </c>
      <c r="BQ14" s="53">
        <v>74052818</v>
      </c>
      <c r="BR14" s="53">
        <v>1126048213</v>
      </c>
      <c r="BS14" s="53">
        <f ca="1">INDIRECT("ZS(-1)",0) * 'Correction factor'!$C$13</f>
        <v>1561674563.2868178</v>
      </c>
      <c r="BT14" s="53">
        <f t="shared" ca="1" si="26"/>
        <v>1635727381.2868178</v>
      </c>
      <c r="BU14" s="53">
        <f t="shared" ca="1" si="27"/>
        <v>9.6031257328009936</v>
      </c>
      <c r="BV14" s="53">
        <v>113447655</v>
      </c>
      <c r="BW14" s="53">
        <v>1577703317</v>
      </c>
      <c r="BX14" s="53">
        <f ca="1">INDIRECT("ZS(-1)",0) * 'Correction factor'!$C$13</f>
        <v>2188058299.9265757</v>
      </c>
      <c r="BY14" s="53">
        <f t="shared" ca="1" si="28"/>
        <v>2301505954.9265757</v>
      </c>
      <c r="BZ14" s="53">
        <f t="shared" ca="1" si="29"/>
        <v>14.647988701058397</v>
      </c>
      <c r="CA14" s="53">
        <v>114980086</v>
      </c>
      <c r="CB14" s="53">
        <v>1745570096</v>
      </c>
      <c r="CC14" s="53">
        <f ca="1">INDIRECT("ZS(-1)",0) * 'Correction factor'!$C$13</f>
        <v>2420866518.756536</v>
      </c>
      <c r="CD14" s="53">
        <f t="shared" ca="1" si="30"/>
        <v>2535846604.756536</v>
      </c>
      <c r="CE14" s="53">
        <f t="shared" ca="1" si="31"/>
        <v>14.353529236032955</v>
      </c>
      <c r="CF14" s="53">
        <v>26422299</v>
      </c>
      <c r="CG14" s="53">
        <v>11848616</v>
      </c>
      <c r="CH14" s="53">
        <f ca="1">INDIRECT("ZS(-1)",0) * 'Correction factor'!$C$13</f>
        <v>16432406.715566806</v>
      </c>
      <c r="CI14" s="53">
        <f t="shared" ca="1" si="32"/>
        <v>42854705.715566806</v>
      </c>
      <c r="CJ14" s="53">
        <f t="shared" ca="1" si="33"/>
        <v>0.31131598223744705</v>
      </c>
      <c r="CK14" s="53">
        <v>13892676</v>
      </c>
      <c r="CL14" s="53">
        <v>152178721</v>
      </c>
      <c r="CM14" s="53">
        <f ca="1">INDIRECT("ZS(-1)",0) * 'Correction factor'!$C$13</f>
        <v>211051032.19876206</v>
      </c>
      <c r="CN14" s="53">
        <f t="shared" ca="1" si="34"/>
        <v>224943708.19876206</v>
      </c>
      <c r="CO14" s="53">
        <f t="shared" ca="1" si="35"/>
        <v>1.6067843680859015</v>
      </c>
      <c r="CP14" s="53">
        <v>2988910628</v>
      </c>
      <c r="CQ14" s="53">
        <v>10792255</v>
      </c>
      <c r="CR14" s="53">
        <f ca="1">INDIRECT("ZS(-1)",0) * 'Correction factor'!$C$13</f>
        <v>14967378.767115876</v>
      </c>
      <c r="CS14" s="53">
        <f t="shared" ca="1" si="36"/>
        <v>3003878006.7671161</v>
      </c>
      <c r="CT14" s="53">
        <f t="shared" ca="1" si="37"/>
        <v>2.046331279951612</v>
      </c>
      <c r="CU14" s="53">
        <v>2608017688</v>
      </c>
      <c r="CV14" s="53">
        <v>9978123</v>
      </c>
      <c r="CW14" s="53">
        <f ca="1">INDIRECT("ZS(-1)",0) * 'Correction factor'!$C$13</f>
        <v>13838289.247786544</v>
      </c>
      <c r="CX14" s="53">
        <f t="shared" ca="1" si="38"/>
        <v>2621855977.2477865</v>
      </c>
      <c r="CY14" s="53">
        <f t="shared" ca="1" si="39"/>
        <v>2.0060265138884161</v>
      </c>
      <c r="CZ14" s="53">
        <v>2078110052</v>
      </c>
      <c r="DA14" s="53">
        <v>54240431</v>
      </c>
      <c r="DB14" s="53">
        <f ca="1">INDIRECT("ZS(-1)",0) * 'Correction factor'!$C$13</f>
        <v>75224044.95340535</v>
      </c>
      <c r="DC14" s="53">
        <f t="shared" ca="1" si="40"/>
        <v>2153334096.9534054</v>
      </c>
      <c r="DD14" s="53">
        <f t="shared" ca="1" si="41"/>
        <v>1.4133689845439985</v>
      </c>
      <c r="DE14" s="53">
        <v>2184303113</v>
      </c>
      <c r="DF14" s="53">
        <v>79770715</v>
      </c>
      <c r="DG14" s="53">
        <f ca="1">INDIRECT("ZS(-1)",0) * 'Correction factor'!$C$13</f>
        <v>110631050.3160509</v>
      </c>
      <c r="DH14" s="53">
        <f t="shared" ca="1" si="42"/>
        <v>2294934163.316051</v>
      </c>
      <c r="DI14" s="53">
        <f t="shared" ca="1" si="43"/>
        <v>1.6710278324461261</v>
      </c>
      <c r="DJ14" s="53">
        <v>1807057884</v>
      </c>
      <c r="DK14" s="53">
        <v>22984789</v>
      </c>
      <c r="DL14" s="53">
        <f ca="1">INDIRECT("ZS(-1)",0) * 'Correction factor'!$C$13</f>
        <v>31876752.619840667</v>
      </c>
      <c r="DM14" s="53">
        <f t="shared" ca="1" si="44"/>
        <v>1838934636.6198406</v>
      </c>
      <c r="DN14" s="53">
        <f t="shared" ca="1" si="45"/>
        <v>1.5157239809044392</v>
      </c>
      <c r="DO14" s="53">
        <v>1972063756</v>
      </c>
      <c r="DP14" s="53">
        <v>30524620</v>
      </c>
      <c r="DQ14" s="53">
        <f ca="1">INDIRECT("ZS(-1)",0) * 'Correction factor'!$C$13</f>
        <v>42333464.995247111</v>
      </c>
      <c r="DR14" s="53">
        <f t="shared" ca="1" si="46"/>
        <v>2014397220.9952471</v>
      </c>
      <c r="DS14" s="53">
        <f t="shared" ca="1" si="47"/>
        <v>1.5176452822666453</v>
      </c>
      <c r="DT14" s="53">
        <v>2166682660</v>
      </c>
      <c r="DU14" s="53">
        <v>105573000</v>
      </c>
      <c r="DV14" s="53">
        <f ca="1">INDIRECT("ZS(-1)",0) * 'Correction factor'!$C$13</f>
        <v>146415283.79200864</v>
      </c>
      <c r="DW14" s="53">
        <f t="shared" ca="1" si="48"/>
        <v>2313097943.7920084</v>
      </c>
      <c r="DX14" s="53">
        <f t="shared" ca="1" si="49"/>
        <v>1.7033069651377943</v>
      </c>
      <c r="DY14" s="53">
        <v>2400425241</v>
      </c>
      <c r="DZ14" s="53">
        <v>117522683</v>
      </c>
      <c r="EA14" s="53">
        <f ca="1">INDIRECT("ZS(-1)",0) * 'Correction factor'!$C$13</f>
        <v>162987856.58684769</v>
      </c>
      <c r="EB14" s="53">
        <f t="shared" ca="1" si="50"/>
        <v>2563413097.5868478</v>
      </c>
      <c r="EC14" s="53">
        <f t="shared" ca="1" si="51"/>
        <v>1.8128460938448625</v>
      </c>
      <c r="ED14" s="53">
        <v>2228403146</v>
      </c>
      <c r="EE14" s="53">
        <v>212303475</v>
      </c>
      <c r="EF14" s="53">
        <f ca="1">INDIRECT("ZS(-1)",0) * 'Correction factor'!$C$13</f>
        <v>294435826.79429984</v>
      </c>
      <c r="EG14" s="53">
        <f t="shared" ca="1" si="52"/>
        <v>2522838972.7943001</v>
      </c>
      <c r="EH14" s="53">
        <f t="shared" ca="1" si="53"/>
        <v>1.9287516888598155</v>
      </c>
      <c r="EI14" s="53">
        <v>1911072085</v>
      </c>
      <c r="EJ14" s="53">
        <v>118180223</v>
      </c>
      <c r="EK14" s="53">
        <f ca="1">INDIRECT("ZS(-1)",0) * 'Correction factor'!$C$13</f>
        <v>163899774.46077946</v>
      </c>
      <c r="EL14" s="53">
        <f t="shared" ca="1" si="54"/>
        <v>2074971859.4607794</v>
      </c>
      <c r="EM14" s="53">
        <f t="shared" ca="1" si="55"/>
        <v>1.5766748040923031</v>
      </c>
      <c r="EN14" s="53">
        <v>2627723113</v>
      </c>
      <c r="EO14" s="53">
        <v>13920454</v>
      </c>
      <c r="EP14" s="53">
        <f ca="1">INDIRECT("ZS(-1)",0) * 'Correction factor'!$C$13</f>
        <v>19305762.107012227</v>
      </c>
      <c r="EQ14" s="53">
        <f t="shared" ca="1" si="56"/>
        <v>2647028875.1070123</v>
      </c>
      <c r="ER14" s="53">
        <f t="shared" ca="1" si="57"/>
        <v>1.799759735696137</v>
      </c>
      <c r="ES14" s="53">
        <v>2373573157</v>
      </c>
      <c r="ET14" s="53">
        <v>11658343</v>
      </c>
      <c r="EU14" s="53">
        <f ca="1">INDIRECT("ZS(-1)",0) * 'Correction factor'!$C$13</f>
        <v>16168524.138648873</v>
      </c>
      <c r="EV14" s="53">
        <f t="shared" ca="1" si="58"/>
        <v>2389741681.138649</v>
      </c>
      <c r="EW14" s="53">
        <f t="shared" ca="1" si="59"/>
        <v>1.6335379763423032</v>
      </c>
      <c r="EX14" s="53">
        <v>2007060938</v>
      </c>
      <c r="EY14" s="53">
        <v>9480611</v>
      </c>
      <c r="EZ14" s="53">
        <f ca="1">INDIRECT("ZS(-1)",0) * 'Correction factor'!$C$13</f>
        <v>13148308.280399714</v>
      </c>
      <c r="FA14" s="53">
        <f t="shared" ca="1" si="60"/>
        <v>2020209246.2803998</v>
      </c>
      <c r="FB14" s="53">
        <f t="shared" ca="1" si="61"/>
        <v>1.4403480547862539</v>
      </c>
      <c r="FC14" s="53">
        <v>2003729288</v>
      </c>
      <c r="FD14" s="53">
        <v>44806708</v>
      </c>
      <c r="FE14" s="53">
        <f ca="1">INDIRECT("ZS(-1)",0) * 'Correction factor'!$C$13</f>
        <v>62140763.903703265</v>
      </c>
      <c r="FF14" s="53">
        <f t="shared" ca="1" si="62"/>
        <v>2065870051.9037032</v>
      </c>
      <c r="FG14" s="53">
        <f t="shared" ca="1" si="63"/>
        <v>1.5943240823769709</v>
      </c>
      <c r="FH14" s="53">
        <v>3123659777</v>
      </c>
      <c r="FI14" s="53">
        <v>25625375</v>
      </c>
      <c r="FJ14" s="53">
        <f ca="1">INDIRECT("ZS(-1)",0) * 'Correction factor'!$C$13</f>
        <v>35538883.548839606</v>
      </c>
      <c r="FK14" s="53">
        <f t="shared" ca="1" si="64"/>
        <v>3159198660.5488396</v>
      </c>
      <c r="FL14" s="53">
        <f t="shared" ca="1" si="65"/>
        <v>1.7797314985714932</v>
      </c>
      <c r="FM14" s="53">
        <v>2559831430</v>
      </c>
      <c r="FN14" s="53">
        <v>9887829</v>
      </c>
      <c r="FO14" s="53">
        <f ca="1">INDIRECT("ZS(-1)",0) * 'Correction factor'!$C$13</f>
        <v>13713063.843235042</v>
      </c>
      <c r="FP14" s="53">
        <f t="shared" ca="1" si="66"/>
        <v>2573544493.843235</v>
      </c>
      <c r="FQ14" s="53">
        <f t="shared" ca="1" si="67"/>
        <v>1.8187539376763613</v>
      </c>
      <c r="FR14" s="53">
        <v>2601318569</v>
      </c>
      <c r="FS14" s="53">
        <v>12213870</v>
      </c>
      <c r="FT14" s="53">
        <f ca="1">INDIRECT("ZS(-1)",0) * 'Correction factor'!$C$13</f>
        <v>16938963.960943621</v>
      </c>
      <c r="FU14" s="53">
        <f t="shared" ca="1" si="68"/>
        <v>2618257532.9609437</v>
      </c>
      <c r="FV14" s="53">
        <f t="shared" ca="1" si="69"/>
        <v>1.8265086282979754</v>
      </c>
      <c r="FW14" s="53">
        <v>2301377566</v>
      </c>
      <c r="FX14" s="53">
        <v>201062314</v>
      </c>
      <c r="FY14" s="53">
        <f ca="1">INDIRECT("ZS(-1)",0) * 'Correction factor'!$C$13</f>
        <v>278845876.92106843</v>
      </c>
      <c r="FZ14" s="53">
        <f t="shared" ca="1" si="70"/>
        <v>2580223442.9210682</v>
      </c>
      <c r="GA14" s="53">
        <f t="shared" ca="1" si="71"/>
        <v>2.0706271817971502</v>
      </c>
      <c r="GB14" s="53">
        <v>2025106087</v>
      </c>
      <c r="GC14" s="53">
        <v>9464042</v>
      </c>
      <c r="GD14" s="53">
        <f ca="1">INDIRECT("ZS(-1)",0) * 'Correction factor'!$C$13</f>
        <v>13125329.347934501</v>
      </c>
      <c r="GE14" s="53">
        <f t="shared" ca="1" si="72"/>
        <v>2038231416.3479345</v>
      </c>
      <c r="GF14" s="53">
        <f t="shared" ca="1" si="73"/>
        <v>1.4213510308380575</v>
      </c>
      <c r="GG14" s="53">
        <v>1865518228</v>
      </c>
      <c r="GH14" s="53">
        <v>12347470</v>
      </c>
      <c r="GI14" s="53">
        <f ca="1">INDIRECT("ZS(-1)",0) * 'Correction factor'!$C$13</f>
        <v>17124248.853052516</v>
      </c>
      <c r="GJ14" s="53">
        <f t="shared" ca="1" si="74"/>
        <v>1882642476.8530526</v>
      </c>
      <c r="GK14" s="53">
        <f t="shared" ca="1" si="75"/>
        <v>1.3127584982777398</v>
      </c>
      <c r="GL14" s="53">
        <v>914288646</v>
      </c>
      <c r="GM14" s="53">
        <v>28230199</v>
      </c>
      <c r="GN14" s="53">
        <f ca="1">INDIRECT("ZS(-1)",0) * 'Correction factor'!$C$13</f>
        <v>39151417.484488256</v>
      </c>
      <c r="GO14" s="53">
        <f t="shared" ca="1" si="76"/>
        <v>953440063.48448825</v>
      </c>
      <c r="GP14" s="53">
        <f t="shared" ca="1" si="77"/>
        <v>0.65773244890531379</v>
      </c>
      <c r="GQ14" s="53">
        <v>428586211</v>
      </c>
      <c r="GR14" s="53">
        <v>8651909</v>
      </c>
      <c r="GS14" s="53">
        <f ca="1">INDIRECT("ZS(-1)",0) * 'Correction factor'!$C$13</f>
        <v>11999012.167671978</v>
      </c>
      <c r="GT14" s="53">
        <f t="shared" ca="1" si="78"/>
        <v>440585223.16767198</v>
      </c>
      <c r="GU14" s="53">
        <f t="shared" ca="1" si="79"/>
        <v>0.45683578252272972</v>
      </c>
      <c r="GV14" s="53">
        <v>637009219</v>
      </c>
      <c r="GW14" s="53">
        <v>25799372</v>
      </c>
      <c r="GX14" s="53">
        <f ca="1">INDIRECT("ZS(-1)",0) * 'Correction factor'!$C$13</f>
        <v>35780193.544141039</v>
      </c>
      <c r="GY14" s="53">
        <f t="shared" ca="1" si="80"/>
        <v>672789412.54414105</v>
      </c>
      <c r="GZ14" s="53">
        <f t="shared" ca="1" si="81"/>
        <v>0.47761752616157738</v>
      </c>
      <c r="HA14" s="53">
        <v>632679566</v>
      </c>
      <c r="HB14" s="53">
        <v>70128836</v>
      </c>
      <c r="HC14" s="53">
        <f ca="1">INDIRECT("ZS(-1)",0) * 'Correction factor'!$C$13</f>
        <v>97259085.419029802</v>
      </c>
      <c r="HD14" s="53">
        <f t="shared" ca="1" si="82"/>
        <v>729938651.41902983</v>
      </c>
      <c r="HE14" s="53">
        <f t="shared" ca="1" si="83"/>
        <v>0.53458991877244721</v>
      </c>
      <c r="HF14" s="53">
        <v>694687897</v>
      </c>
      <c r="HG14" s="53">
        <v>287782976</v>
      </c>
      <c r="HH14" s="53">
        <f ca="1">INDIRECT("ZS(-1)",0) * 'Correction factor'!$C$13</f>
        <v>399115551.33934635</v>
      </c>
      <c r="HI14" s="53">
        <f t="shared" ca="1" si="84"/>
        <v>1093803448.3393464</v>
      </c>
      <c r="HJ14" s="53">
        <f t="shared" ca="1" si="85"/>
        <v>0.80572836460467168</v>
      </c>
      <c r="HK14" s="53">
        <v>450065045</v>
      </c>
      <c r="HL14" s="53">
        <v>337146374</v>
      </c>
      <c r="HM14" s="53">
        <f ca="1">INDIRECT("ZS(-1)",0) * 'Correction factor'!$C$13</f>
        <v>467575819.8465203</v>
      </c>
      <c r="HN14" s="53">
        <f t="shared" ca="1" si="86"/>
        <v>917640864.8465203</v>
      </c>
      <c r="HO14" s="53">
        <f t="shared" ca="1" si="87"/>
        <v>0.6831325040541435</v>
      </c>
      <c r="HP14" s="53">
        <v>779190719</v>
      </c>
      <c r="HQ14" s="53">
        <v>8740120</v>
      </c>
      <c r="HR14" s="53">
        <f ca="1">INDIRECT("ZS(-1)",0) * 'Correction factor'!$C$13</f>
        <v>12121348.73666762</v>
      </c>
      <c r="HS14" s="53">
        <f t="shared" ca="1" si="88"/>
        <v>791312067.73666763</v>
      </c>
      <c r="HT14" s="53">
        <f t="shared" ca="1" si="89"/>
        <v>0.51300164568206919</v>
      </c>
      <c r="HU14" s="53">
        <v>847957187</v>
      </c>
      <c r="HV14" s="53">
        <v>16237021</v>
      </c>
      <c r="HW14" s="53">
        <f ca="1">INDIRECT("ZS(-1)",0) * 'Correction factor'!$C$13</f>
        <v>22518523.084991466</v>
      </c>
      <c r="HX14" s="53">
        <f t="shared" ca="1" si="90"/>
        <v>870475710.08499146</v>
      </c>
      <c r="HY14" s="53">
        <f t="shared" ca="1" si="91"/>
        <v>0.68306512527584495</v>
      </c>
      <c r="HZ14" s="53">
        <v>762798073</v>
      </c>
      <c r="IA14" s="53">
        <v>169011333</v>
      </c>
      <c r="IB14" s="53">
        <f ca="1">INDIRECT("ZS(-1)",0) * 'Correction factor'!$C$13</f>
        <v>234395558.38387349</v>
      </c>
      <c r="IC14" s="53">
        <f t="shared" ca="1" si="92"/>
        <v>997193631.38387346</v>
      </c>
      <c r="ID14" s="53">
        <f t="shared" ca="1" si="93"/>
        <v>0.77325667208765225</v>
      </c>
      <c r="IE14" s="53">
        <v>893696101</v>
      </c>
      <c r="IF14" s="53">
        <v>9456137</v>
      </c>
      <c r="IG14" s="53">
        <f ca="1">INDIRECT("ZS(-1)",0) * 'Correction factor'!$C$13</f>
        <v>13114366.19619707</v>
      </c>
      <c r="IH14" s="53">
        <f t="shared" ca="1" si="94"/>
        <v>906810467.19619703</v>
      </c>
      <c r="II14" s="61">
        <f t="shared" ca="1" si="95"/>
        <v>0.69390195631940976</v>
      </c>
    </row>
    <row r="15" spans="1:243" x14ac:dyDescent="0.25">
      <c r="A15" s="5">
        <v>11</v>
      </c>
      <c r="B15" s="30">
        <v>45502</v>
      </c>
      <c r="C15" s="29" t="s">
        <v>35</v>
      </c>
      <c r="D15" s="52">
        <v>4532568603</v>
      </c>
      <c r="E15" s="53">
        <v>13181246</v>
      </c>
      <c r="F15" s="53">
        <f ca="1">INDIRECT("ZS(-1)",0) * 'Correction factor'!$C$13</f>
        <v>18280581.908464085</v>
      </c>
      <c r="G15" s="53">
        <f t="shared" ca="1" si="0"/>
        <v>4550849184.9084644</v>
      </c>
      <c r="H15" s="53">
        <f t="shared" ca="1" si="1"/>
        <v>3.2913896232627593</v>
      </c>
      <c r="I15" s="53">
        <v>3108589115</v>
      </c>
      <c r="J15" s="53">
        <v>14480052</v>
      </c>
      <c r="K15" s="53">
        <f ca="1">INDIRECT("ZS(-1)",0) * 'Correction factor'!$C$13</f>
        <v>20081847.84843703</v>
      </c>
      <c r="L15" s="53">
        <f t="shared" ca="1" si="2"/>
        <v>3128670962.8484368</v>
      </c>
      <c r="M15" s="53">
        <f t="shared" ca="1" si="3"/>
        <v>2.0508546054165224</v>
      </c>
      <c r="N15" s="53">
        <v>4817518225</v>
      </c>
      <c r="O15" s="53">
        <v>13468383</v>
      </c>
      <c r="P15" s="53">
        <f ca="1">INDIRECT("ZS(-1)",0) * 'Correction factor'!$C$13</f>
        <v>18678801.579612825</v>
      </c>
      <c r="Q15" s="53">
        <f t="shared" ca="1" si="4"/>
        <v>4836197026.5796127</v>
      </c>
      <c r="R15" s="53">
        <f t="shared" ca="1" si="5"/>
        <v>3.7649963751983178</v>
      </c>
      <c r="S15" s="53">
        <v>3469104735</v>
      </c>
      <c r="T15" s="53">
        <v>10390383</v>
      </c>
      <c r="U15" s="53">
        <f ca="1">INDIRECT("ZS(-1)",0) * 'Correction factor'!$C$13</f>
        <v>14410037.373690832</v>
      </c>
      <c r="V15" s="53">
        <f t="shared" ca="1" si="6"/>
        <v>3483514772.3736906</v>
      </c>
      <c r="W15" s="53">
        <f t="shared" ca="1" si="7"/>
        <v>2.3780232914768304</v>
      </c>
      <c r="X15" s="53">
        <v>3935915479</v>
      </c>
      <c r="Y15" s="53">
        <v>12256537</v>
      </c>
      <c r="Z15" s="53">
        <f ca="1">INDIRECT("ZS(-1)",0) * 'Correction factor'!$C$13</f>
        <v>16998137.243066449</v>
      </c>
      <c r="AA15" s="53">
        <f t="shared" ca="1" si="8"/>
        <v>3952913616.2430663</v>
      </c>
      <c r="AB15" s="53">
        <f t="shared" ca="1" si="9"/>
        <v>2.7568779306379674</v>
      </c>
      <c r="AC15" s="53">
        <v>4493409324</v>
      </c>
      <c r="AD15" s="53">
        <v>17994695</v>
      </c>
      <c r="AE15" s="53">
        <f ca="1">INDIRECT("ZS(-1)",0) * 'Correction factor'!$C$13</f>
        <v>24956176.059936151</v>
      </c>
      <c r="AF15" s="53">
        <f t="shared" ca="1" si="10"/>
        <v>4518365500.0599365</v>
      </c>
      <c r="AG15" s="53">
        <f t="shared" ca="1" si="11"/>
        <v>2.9148613828136711</v>
      </c>
      <c r="AH15" s="53">
        <v>492869439</v>
      </c>
      <c r="AI15" s="53">
        <v>11081940</v>
      </c>
      <c r="AJ15" s="53">
        <f ca="1">INDIRECT("ZS(-1)",0) * 'Correction factor'!$C$13</f>
        <v>15369132.165099148</v>
      </c>
      <c r="AK15" s="53">
        <f t="shared" ca="1" si="12"/>
        <v>508238571.16509914</v>
      </c>
      <c r="AL15" s="53">
        <f t="shared" ca="1" si="13"/>
        <v>0.28844370480370007</v>
      </c>
      <c r="AM15" s="53">
        <v>360546253</v>
      </c>
      <c r="AN15" s="53">
        <v>321597327</v>
      </c>
      <c r="AO15" s="53">
        <f ca="1">INDIRECT("ZS(-1)",0) * 'Correction factor'!$C$13</f>
        <v>446011422.42293394</v>
      </c>
      <c r="AP15" s="53">
        <f t="shared" ca="1" si="14"/>
        <v>806557675.42293394</v>
      </c>
      <c r="AQ15" s="53">
        <f t="shared" ca="1" si="15"/>
        <v>0.52378932473576567</v>
      </c>
      <c r="AR15" s="53">
        <v>471665106</v>
      </c>
      <c r="AS15" s="53">
        <v>10067788</v>
      </c>
      <c r="AT15" s="53">
        <f ca="1">INDIRECT("ZS(-1)",0) * 'Correction factor'!$C$13</f>
        <v>13962642.315533131</v>
      </c>
      <c r="AU15" s="53">
        <f t="shared" ca="1" si="16"/>
        <v>485627748.31553316</v>
      </c>
      <c r="AV15" s="53">
        <f t="shared" ca="1" si="17"/>
        <v>0.34752806053312979</v>
      </c>
      <c r="AW15" s="53">
        <v>186717927</v>
      </c>
      <c r="AX15" s="53">
        <v>11717976</v>
      </c>
      <c r="AY15" s="53">
        <f ca="1">INDIRECT("ZS(-1)",0) * 'Correction factor'!$C$13</f>
        <v>16251226.937833976</v>
      </c>
      <c r="AZ15" s="53">
        <f t="shared" ca="1" si="18"/>
        <v>202969153.93783396</v>
      </c>
      <c r="BA15" s="53">
        <f t="shared" ca="1" si="19"/>
        <v>0.13944836187188631</v>
      </c>
      <c r="BB15" s="53">
        <v>603718577</v>
      </c>
      <c r="BC15" s="53">
        <v>11518321</v>
      </c>
      <c r="BD15" s="53">
        <f ca="1">INDIRECT("ZS(-1)",0) * 'Correction factor'!$C$13</f>
        <v>15974332.812579475</v>
      </c>
      <c r="BE15" s="53">
        <f t="shared" ca="1" si="20"/>
        <v>619692909.81257951</v>
      </c>
      <c r="BF15" s="53">
        <f t="shared" ca="1" si="21"/>
        <v>0.42062740224139217</v>
      </c>
      <c r="BG15" s="53">
        <v>962071847</v>
      </c>
      <c r="BH15" s="53">
        <v>11435312</v>
      </c>
      <c r="BI15" s="53">
        <f ca="1">INDIRECT("ZS(-1)",0) * 'Correction factor'!$C$13</f>
        <v>15859210.704727175</v>
      </c>
      <c r="BJ15" s="53">
        <f t="shared" ca="1" si="22"/>
        <v>977931057.70472717</v>
      </c>
      <c r="BK15" s="53">
        <f t="shared" ca="1" si="23"/>
        <v>0.5956553531659825</v>
      </c>
      <c r="BL15" s="53">
        <v>234438314</v>
      </c>
      <c r="BM15" s="53">
        <v>2647100507</v>
      </c>
      <c r="BN15" s="53">
        <f ca="1">INDIRECT("ZS(-1)",0) * 'Correction factor'!$C$13</f>
        <v>3671165657.4917355</v>
      </c>
      <c r="BO15" s="53">
        <f t="shared" ca="1" si="24"/>
        <v>3905603971.4917355</v>
      </c>
      <c r="BP15" s="53">
        <f t="shared" ca="1" si="25"/>
        <v>18.731391013106496</v>
      </c>
      <c r="BQ15" s="53">
        <v>103468060</v>
      </c>
      <c r="BR15" s="53">
        <v>1522262883</v>
      </c>
      <c r="BS15" s="53">
        <f ca="1">INDIRECT("ZS(-1)",0) * 'Correction factor'!$C$13</f>
        <v>2111170015.2547174</v>
      </c>
      <c r="BT15" s="53">
        <f t="shared" ca="1" si="26"/>
        <v>2214638075.2547174</v>
      </c>
      <c r="BU15" s="53">
        <f t="shared" ca="1" si="27"/>
        <v>13.00182911445088</v>
      </c>
      <c r="BV15" s="53">
        <v>-1453309</v>
      </c>
      <c r="BW15" s="53">
        <v>68330950</v>
      </c>
      <c r="BX15" s="53">
        <f ca="1">INDIRECT("ZS(-1)",0) * 'Correction factor'!$C$13</f>
        <v>94765663.910541087</v>
      </c>
      <c r="BY15" s="53">
        <f t="shared" ca="1" si="28"/>
        <v>93312354.910541087</v>
      </c>
      <c r="BZ15" s="53">
        <f t="shared" ca="1" si="29"/>
        <v>0.59388867427126113</v>
      </c>
      <c r="CA15" s="53">
        <v>175632449</v>
      </c>
      <c r="CB15" s="53">
        <v>2431185642</v>
      </c>
      <c r="CC15" s="53">
        <f ca="1">INDIRECT("ZS(-1)",0) * 'Correction factor'!$C$13</f>
        <v>3371721327.6546726</v>
      </c>
      <c r="CD15" s="53">
        <f t="shared" ca="1" si="30"/>
        <v>3547353776.6546726</v>
      </c>
      <c r="CE15" s="53">
        <f t="shared" ca="1" si="31"/>
        <v>20.078914098454806</v>
      </c>
      <c r="CF15" s="53">
        <v>-21412648</v>
      </c>
      <c r="CG15" s="53">
        <v>6949075</v>
      </c>
      <c r="CH15" s="53">
        <f ca="1">INDIRECT("ZS(-1)",0) * 'Correction factor'!$C$13</f>
        <v>9637414.757721696</v>
      </c>
      <c r="CI15" s="53">
        <f t="shared" ca="1" si="32"/>
        <v>-11775233.242278304</v>
      </c>
      <c r="CJ15" s="53">
        <f t="shared" ca="1" si="33"/>
        <v>-8.5540624808521662E-2</v>
      </c>
      <c r="CK15" s="53">
        <v>19298470</v>
      </c>
      <c r="CL15" s="53">
        <v>229629620</v>
      </c>
      <c r="CM15" s="53">
        <f ca="1">INDIRECT("ZS(-1)",0) * 'Correction factor'!$C$13</f>
        <v>318464815.61906081</v>
      </c>
      <c r="CN15" s="53">
        <f t="shared" ca="1" si="34"/>
        <v>337763285.61906081</v>
      </c>
      <c r="CO15" s="53">
        <f t="shared" ca="1" si="35"/>
        <v>2.4126603575259602</v>
      </c>
      <c r="CP15" s="53">
        <v>3263027302</v>
      </c>
      <c r="CQ15" s="53">
        <v>10932326</v>
      </c>
      <c r="CR15" s="53">
        <f ca="1">INDIRECT("ZS(-1)",0) * 'Correction factor'!$C$13</f>
        <v>15161638.049470553</v>
      </c>
      <c r="CS15" s="53">
        <f t="shared" ca="1" si="36"/>
        <v>3278188940.0494704</v>
      </c>
      <c r="CT15" s="53">
        <f t="shared" ca="1" si="37"/>
        <v>2.2332000682125996</v>
      </c>
      <c r="CU15" s="53">
        <v>2897916157</v>
      </c>
      <c r="CV15" s="53">
        <v>10646528</v>
      </c>
      <c r="CW15" s="53">
        <f ca="1">INDIRECT("ZS(-1)",0) * 'Correction factor'!$C$13</f>
        <v>14765275.387831798</v>
      </c>
      <c r="CX15" s="53">
        <f t="shared" ca="1" si="38"/>
        <v>2912681432.3878317</v>
      </c>
      <c r="CY15" s="53">
        <f t="shared" ca="1" si="39"/>
        <v>2.2285420063438814</v>
      </c>
      <c r="CZ15" s="53">
        <v>2537797844</v>
      </c>
      <c r="DA15" s="53">
        <v>64944477</v>
      </c>
      <c r="DB15" s="53">
        <f ca="1">INDIRECT("ZS(-1)",0) * 'Correction factor'!$C$13</f>
        <v>90069089.925251514</v>
      </c>
      <c r="DC15" s="53">
        <f t="shared" ca="1" si="40"/>
        <v>2627866933.9252515</v>
      </c>
      <c r="DD15" s="53">
        <f t="shared" ca="1" si="41"/>
        <v>1.7248348155418876</v>
      </c>
      <c r="DE15" s="53">
        <v>2409621028</v>
      </c>
      <c r="DF15" s="53">
        <v>103997225</v>
      </c>
      <c r="DG15" s="53">
        <f ca="1">INDIRECT("ZS(-1)",0) * 'Correction factor'!$C$13</f>
        <v>144229899.80351394</v>
      </c>
      <c r="DH15" s="53">
        <f t="shared" ca="1" si="42"/>
        <v>2553850927.803514</v>
      </c>
      <c r="DI15" s="53">
        <f t="shared" ca="1" si="43"/>
        <v>1.8595548615266833</v>
      </c>
      <c r="DJ15" s="53">
        <v>2079731239</v>
      </c>
      <c r="DK15" s="53">
        <v>29551932</v>
      </c>
      <c r="DL15" s="53">
        <f ca="1">INDIRECT("ZS(-1)",0) * 'Correction factor'!$C$13</f>
        <v>40984480.031657167</v>
      </c>
      <c r="DM15" s="53">
        <f t="shared" ca="1" si="44"/>
        <v>2120715719.0316572</v>
      </c>
      <c r="DN15" s="53">
        <f t="shared" ca="1" si="45"/>
        <v>1.7479792962765288</v>
      </c>
      <c r="DO15" s="53">
        <v>2321898257</v>
      </c>
      <c r="DP15" s="53">
        <v>40067480</v>
      </c>
      <c r="DQ15" s="53">
        <f ca="1">INDIRECT("ZS(-1)",0) * 'Correction factor'!$C$13</f>
        <v>55568104.108348072</v>
      </c>
      <c r="DR15" s="53">
        <f t="shared" ca="1" si="46"/>
        <v>2377466361.1083479</v>
      </c>
      <c r="DS15" s="53">
        <f t="shared" ca="1" si="47"/>
        <v>1.7911812869266495</v>
      </c>
      <c r="DT15" s="53">
        <v>2394882845</v>
      </c>
      <c r="DU15" s="53">
        <v>146784411</v>
      </c>
      <c r="DV15" s="53">
        <f ca="1">INDIRECT("ZS(-1)",0) * 'Correction factor'!$C$13</f>
        <v>203569863.4386428</v>
      </c>
      <c r="DW15" s="53">
        <f t="shared" ca="1" si="48"/>
        <v>2598452708.438643</v>
      </c>
      <c r="DX15" s="53">
        <f t="shared" ca="1" si="49"/>
        <v>1.913435014173652</v>
      </c>
      <c r="DY15" s="53">
        <v>2673639197</v>
      </c>
      <c r="DZ15" s="53">
        <v>156967711</v>
      </c>
      <c r="EA15" s="53">
        <f ca="1">INDIRECT("ZS(-1)",0) * 'Correction factor'!$C$13</f>
        <v>217692705.06897596</v>
      </c>
      <c r="EB15" s="53">
        <f t="shared" ca="1" si="50"/>
        <v>2891331902.0689759</v>
      </c>
      <c r="EC15" s="53">
        <f t="shared" ca="1" si="51"/>
        <v>2.0447503173051089</v>
      </c>
      <c r="ED15" s="53">
        <v>2426022139</v>
      </c>
      <c r="EE15" s="53">
        <v>313316901</v>
      </c>
      <c r="EF15" s="53">
        <f ca="1">INDIRECT("ZS(-1)",0) * 'Correction factor'!$C$13</f>
        <v>434527606.27004707</v>
      </c>
      <c r="EG15" s="53">
        <f t="shared" ca="1" si="52"/>
        <v>2860549745.2700472</v>
      </c>
      <c r="EH15" s="53">
        <f t="shared" ca="1" si="53"/>
        <v>2.1869371021116577</v>
      </c>
      <c r="EI15" s="53">
        <v>2160793903</v>
      </c>
      <c r="EJ15" s="53">
        <v>156713825</v>
      </c>
      <c r="EK15" s="53">
        <f ca="1">INDIRECT("ZS(-1)",0) * 'Correction factor'!$C$13</f>
        <v>217340599.97827268</v>
      </c>
      <c r="EL15" s="53">
        <f t="shared" ca="1" si="54"/>
        <v>2378134502.9782724</v>
      </c>
      <c r="EM15" s="53">
        <f t="shared" ca="1" si="55"/>
        <v>1.8070340253013379</v>
      </c>
      <c r="EN15" s="53">
        <v>2863345986</v>
      </c>
      <c r="EO15" s="53">
        <v>12311559</v>
      </c>
      <c r="EP15" s="53">
        <f ca="1">INDIRECT("ZS(-1)",0) * 'Correction factor'!$C$13</f>
        <v>17074445.217120461</v>
      </c>
      <c r="EQ15" s="53">
        <f t="shared" ca="1" si="56"/>
        <v>2880420431.2171206</v>
      </c>
      <c r="ER15" s="53">
        <f t="shared" ca="1" si="57"/>
        <v>1.9584466050720735</v>
      </c>
      <c r="ES15" s="53">
        <v>2551802567</v>
      </c>
      <c r="ET15" s="53">
        <v>12607905</v>
      </c>
      <c r="EU15" s="53">
        <f ca="1">INDIRECT("ZS(-1)",0) * 'Correction factor'!$C$13</f>
        <v>17485436.509312842</v>
      </c>
      <c r="EV15" s="53">
        <f t="shared" ca="1" si="58"/>
        <v>2569288003.5093126</v>
      </c>
      <c r="EW15" s="53">
        <f t="shared" ca="1" si="59"/>
        <v>1.7562691227335439</v>
      </c>
      <c r="EX15" s="53">
        <v>2329483920</v>
      </c>
      <c r="EY15" s="53">
        <v>10246369</v>
      </c>
      <c r="EZ15" s="53">
        <f ca="1">INDIRECT("ZS(-1)",0) * 'Correction factor'!$C$13</f>
        <v>14210309.690665605</v>
      </c>
      <c r="FA15" s="53">
        <f t="shared" ca="1" si="60"/>
        <v>2343694229.6906657</v>
      </c>
      <c r="FB15" s="53">
        <f t="shared" ca="1" si="61"/>
        <v>1.670983058296613</v>
      </c>
      <c r="FC15" s="53">
        <v>2277314232</v>
      </c>
      <c r="FD15" s="53">
        <v>60189817</v>
      </c>
      <c r="FE15" s="53">
        <f ca="1">INDIRECT("ZS(-1)",0) * 'Correction factor'!$C$13</f>
        <v>83475028.0606222</v>
      </c>
      <c r="FF15" s="53">
        <f t="shared" ca="1" si="62"/>
        <v>2360789260.0606222</v>
      </c>
      <c r="FG15" s="53">
        <f t="shared" ca="1" si="63"/>
        <v>1.8219263923513256</v>
      </c>
      <c r="FH15" s="53">
        <v>3387601860</v>
      </c>
      <c r="FI15" s="53">
        <v>29970383</v>
      </c>
      <c r="FJ15" s="53">
        <f ca="1">INDIRECT("ZS(-1)",0) * 'Correction factor'!$C$13</f>
        <v>41564814.226177067</v>
      </c>
      <c r="FK15" s="53">
        <f t="shared" ca="1" si="64"/>
        <v>3429166674.2261772</v>
      </c>
      <c r="FL15" s="53">
        <f t="shared" ca="1" si="65"/>
        <v>1.9318177170003357</v>
      </c>
      <c r="FM15" s="53">
        <v>2857998216</v>
      </c>
      <c r="FN15" s="53">
        <v>11082953</v>
      </c>
      <c r="FO15" s="53">
        <f ca="1">INDIRECT("ZS(-1)",0) * 'Correction factor'!$C$13</f>
        <v>15370537.057282578</v>
      </c>
      <c r="FP15" s="53">
        <f t="shared" ca="1" si="66"/>
        <v>2873368753.0572824</v>
      </c>
      <c r="FQ15" s="53">
        <f t="shared" ca="1" si="67"/>
        <v>2.0306432418484861</v>
      </c>
      <c r="FR15" s="53">
        <v>2903994478</v>
      </c>
      <c r="FS15" s="53">
        <v>12192247</v>
      </c>
      <c r="FT15" s="53">
        <f ca="1">INDIRECT("ZS(-1)",0) * 'Correction factor'!$C$13</f>
        <v>16908975.82305387</v>
      </c>
      <c r="FU15" s="53">
        <f t="shared" ca="1" si="68"/>
        <v>2920903453.8230538</v>
      </c>
      <c r="FV15" s="53">
        <f t="shared" ca="1" si="69"/>
        <v>2.0376358298107675</v>
      </c>
      <c r="FW15" s="53">
        <v>2575882966</v>
      </c>
      <c r="FX15" s="53">
        <v>275037200</v>
      </c>
      <c r="FY15" s="53">
        <f ca="1">INDIRECT("ZS(-1)",0) * 'Correction factor'!$C$13</f>
        <v>381438906.64620161</v>
      </c>
      <c r="FZ15" s="53">
        <f t="shared" ca="1" si="70"/>
        <v>2957321872.6462016</v>
      </c>
      <c r="GA15" s="53">
        <f t="shared" ca="1" si="71"/>
        <v>2.3732483601854479</v>
      </c>
      <c r="GB15" s="53">
        <v>2244966706</v>
      </c>
      <c r="GC15" s="53">
        <v>10995079</v>
      </c>
      <c r="GD15" s="53">
        <f ca="1">INDIRECT("ZS(-1)",0) * 'Correction factor'!$C$13</f>
        <v>15248667.861106103</v>
      </c>
      <c r="GE15" s="53">
        <f t="shared" ca="1" si="72"/>
        <v>2260215373.8611059</v>
      </c>
      <c r="GF15" s="53">
        <f t="shared" ca="1" si="73"/>
        <v>1.5761504929159189</v>
      </c>
      <c r="GG15" s="53">
        <v>2083569421</v>
      </c>
      <c r="GH15" s="53">
        <v>13473921</v>
      </c>
      <c r="GI15" s="53">
        <f ca="1">INDIRECT("ZS(-1)",0) * 'Correction factor'!$C$13</f>
        <v>18686482.026712369</v>
      </c>
      <c r="GJ15" s="53">
        <f t="shared" ca="1" si="74"/>
        <v>2102255903.0267124</v>
      </c>
      <c r="GK15" s="53">
        <f t="shared" ca="1" si="75"/>
        <v>1.465893995372904</v>
      </c>
      <c r="GL15" s="53">
        <v>904713165</v>
      </c>
      <c r="GM15" s="53">
        <v>38890839</v>
      </c>
      <c r="GN15" s="53">
        <f ca="1">INDIRECT("ZS(-1)",0) * 'Correction factor'!$C$13</f>
        <v>53936264.282480538</v>
      </c>
      <c r="GO15" s="53">
        <f t="shared" ca="1" si="76"/>
        <v>958649429.28248048</v>
      </c>
      <c r="GP15" s="53">
        <f t="shared" ca="1" si="77"/>
        <v>0.66132613985116606</v>
      </c>
      <c r="GQ15" s="53">
        <v>474014089</v>
      </c>
      <c r="GR15" s="53">
        <v>9450065</v>
      </c>
      <c r="GS15" s="53">
        <f ca="1">INDIRECT("ZS(-1)",0) * 'Correction factor'!$C$13</f>
        <v>13105945.164274277</v>
      </c>
      <c r="GT15" s="53">
        <f t="shared" ca="1" si="78"/>
        <v>487120034.16427428</v>
      </c>
      <c r="GU15" s="53">
        <f t="shared" ca="1" si="79"/>
        <v>0.50508698496509985</v>
      </c>
      <c r="GV15" s="53">
        <v>585909843</v>
      </c>
      <c r="GW15" s="53">
        <v>35667163</v>
      </c>
      <c r="GX15" s="53">
        <f ca="1">INDIRECT("ZS(-1)",0) * 'Correction factor'!$C$13</f>
        <v>49465467.427285679</v>
      </c>
      <c r="GY15" s="53">
        <f t="shared" ca="1" si="80"/>
        <v>635375310.42728567</v>
      </c>
      <c r="GZ15" s="53">
        <f t="shared" ca="1" si="81"/>
        <v>0.45105701470965748</v>
      </c>
      <c r="HA15" s="53">
        <v>532638779</v>
      </c>
      <c r="HB15" s="53">
        <v>93484870</v>
      </c>
      <c r="HC15" s="53">
        <f ca="1">INDIRECT("ZS(-1)",0) * 'Correction factor'!$C$13</f>
        <v>129650703.98026992</v>
      </c>
      <c r="HD15" s="53">
        <f t="shared" ca="1" si="82"/>
        <v>662289482.98026991</v>
      </c>
      <c r="HE15" s="53">
        <f t="shared" ca="1" si="83"/>
        <v>0.48504525718973068</v>
      </c>
      <c r="HF15" s="53">
        <v>639955473</v>
      </c>
      <c r="HG15" s="53">
        <v>417653234</v>
      </c>
      <c r="HH15" s="53">
        <f ca="1">INDIRECT("ZS(-1)",0) * 'Correction factor'!$C$13</f>
        <v>579227802.39985788</v>
      </c>
      <c r="HI15" s="53">
        <f t="shared" ca="1" si="84"/>
        <v>1219183275.399858</v>
      </c>
      <c r="HJ15" s="53">
        <f t="shared" ca="1" si="85"/>
        <v>0.8980868986404329</v>
      </c>
      <c r="HK15" s="53">
        <v>405289173</v>
      </c>
      <c r="HL15" s="53">
        <v>502820810</v>
      </c>
      <c r="HM15" s="53">
        <f ca="1">INDIRECT("ZS(-1)",0) * 'Correction factor'!$C$13</f>
        <v>697343559.36345148</v>
      </c>
      <c r="HN15" s="53">
        <f t="shared" ca="1" si="86"/>
        <v>1102632732.3634515</v>
      </c>
      <c r="HO15" s="53">
        <f t="shared" ca="1" si="87"/>
        <v>0.82084864391636525</v>
      </c>
      <c r="HP15" s="53">
        <v>731852496</v>
      </c>
      <c r="HQ15" s="53">
        <v>9185469</v>
      </c>
      <c r="HR15" s="53">
        <f ca="1">INDIRECT("ZS(-1)",0) * 'Correction factor'!$C$13</f>
        <v>12738986.771217054</v>
      </c>
      <c r="HS15" s="53">
        <f t="shared" ca="1" si="88"/>
        <v>744591482.77121711</v>
      </c>
      <c r="HT15" s="53">
        <f t="shared" ca="1" si="89"/>
        <v>0.48271304280121308</v>
      </c>
      <c r="HU15" s="53">
        <v>809185929</v>
      </c>
      <c r="HV15" s="53">
        <v>19003352</v>
      </c>
      <c r="HW15" s="53">
        <f ca="1">INDIRECT("ZS(-1)",0) * 'Correction factor'!$C$13</f>
        <v>26355045.097510114</v>
      </c>
      <c r="HX15" s="53">
        <f t="shared" ca="1" si="90"/>
        <v>835540974.0975101</v>
      </c>
      <c r="HY15" s="53">
        <f t="shared" ca="1" si="91"/>
        <v>0.65565172414666517</v>
      </c>
      <c r="HZ15" s="53">
        <v>741100130</v>
      </c>
      <c r="IA15" s="53">
        <v>256570660</v>
      </c>
      <c r="IB15" s="53">
        <f ca="1">INDIRECT("ZS(-1)",0) * 'Correction factor'!$C$13</f>
        <v>355828346.23059839</v>
      </c>
      <c r="IC15" s="53">
        <f t="shared" ca="1" si="92"/>
        <v>1096928476.2305984</v>
      </c>
      <c r="ID15" s="53">
        <f t="shared" ca="1" si="93"/>
        <v>0.85059434432120973</v>
      </c>
      <c r="IE15" s="53">
        <v>829922272</v>
      </c>
      <c r="IF15" s="53">
        <v>10644950</v>
      </c>
      <c r="IG15" s="53">
        <f ca="1">INDIRECT("ZS(-1)",0) * 'Correction factor'!$C$13</f>
        <v>14763086.918073205</v>
      </c>
      <c r="IH15" s="53">
        <f t="shared" ca="1" si="94"/>
        <v>844685358.91807318</v>
      </c>
      <c r="II15" s="61">
        <f t="shared" ca="1" si="95"/>
        <v>0.64636309816745785</v>
      </c>
    </row>
    <row r="16" spans="1:243" s="3" customFormat="1" x14ac:dyDescent="0.25">
      <c r="A16" s="57">
        <v>12</v>
      </c>
      <c r="B16" s="56">
        <v>45503</v>
      </c>
      <c r="C16" s="29" t="s">
        <v>36</v>
      </c>
      <c r="D16" s="52">
        <v>4704579171</v>
      </c>
      <c r="E16" s="53">
        <v>13460858</v>
      </c>
      <c r="F16" s="53">
        <f ca="1">INDIRECT("ZS(-1)",0) * 'Correction factor'!$C$13</f>
        <v>18668365.43580205</v>
      </c>
      <c r="G16" s="53">
        <f t="shared" ca="1" si="0"/>
        <v>4723247536.4358025</v>
      </c>
      <c r="H16" s="53">
        <f t="shared" ca="1" si="1"/>
        <v>3.4160762745291642</v>
      </c>
      <c r="I16" s="53">
        <v>3209239372</v>
      </c>
      <c r="J16" s="53">
        <v>15564046</v>
      </c>
      <c r="K16" s="53">
        <f ca="1">INDIRECT("ZS(-1)",0) * 'Correction factor'!$C$13</f>
        <v>21585198.981196679</v>
      </c>
      <c r="L16" s="53">
        <f t="shared" ca="1" si="2"/>
        <v>3230824570.9811969</v>
      </c>
      <c r="M16" s="53">
        <f t="shared" ca="1" si="3"/>
        <v>2.1178166478258169</v>
      </c>
      <c r="N16" s="53">
        <v>4797341523</v>
      </c>
      <c r="O16" s="53">
        <v>13447613</v>
      </c>
      <c r="P16" s="53">
        <f ca="1">INDIRECT("ZS(-1)",0) * 'Correction factor'!$C$13</f>
        <v>18649996.435832124</v>
      </c>
      <c r="Q16" s="53">
        <f t="shared" ca="1" si="4"/>
        <v>4815991519.435832</v>
      </c>
      <c r="R16" s="53">
        <f t="shared" ca="1" si="5"/>
        <v>3.7492663169030749</v>
      </c>
      <c r="S16" s="53">
        <v>3719848497</v>
      </c>
      <c r="T16" s="53">
        <v>10798713</v>
      </c>
      <c r="U16" s="53">
        <f ca="1">INDIRECT("ZS(-1)",0) * 'Correction factor'!$C$13</f>
        <v>14976335.128143115</v>
      </c>
      <c r="V16" s="53">
        <f t="shared" ca="1" si="6"/>
        <v>3734824832.1281433</v>
      </c>
      <c r="W16" s="53">
        <f t="shared" ca="1" si="7"/>
        <v>2.5495802431562113</v>
      </c>
      <c r="X16" s="53">
        <v>3953720076</v>
      </c>
      <c r="Y16" s="53">
        <v>12701999</v>
      </c>
      <c r="Z16" s="53">
        <f ca="1">INDIRECT("ZS(-1)",0) * 'Correction factor'!$C$13</f>
        <v>17615931.993130915</v>
      </c>
      <c r="AA16" s="53">
        <f t="shared" ca="1" si="8"/>
        <v>3971336007.9931307</v>
      </c>
      <c r="AB16" s="53">
        <f t="shared" ca="1" si="9"/>
        <v>2.7697262471396544</v>
      </c>
      <c r="AC16" s="53">
        <v>4714983142</v>
      </c>
      <c r="AD16" s="53">
        <v>19031293</v>
      </c>
      <c r="AE16" s="53">
        <f ca="1">INDIRECT("ZS(-1)",0) * 'Correction factor'!$C$13</f>
        <v>26393795.435612019</v>
      </c>
      <c r="AF16" s="53">
        <f t="shared" ca="1" si="10"/>
        <v>4741376937.4356117</v>
      </c>
      <c r="AG16" s="53">
        <f t="shared" ca="1" si="11"/>
        <v>3.0587292099568058</v>
      </c>
      <c r="AH16" s="53">
        <v>435982267</v>
      </c>
      <c r="AI16" s="53">
        <v>10804381</v>
      </c>
      <c r="AJ16" s="53">
        <f ca="1">INDIRECT("ZS(-1)",0) * 'Correction factor'!$C$13</f>
        <v>14984195.867428094</v>
      </c>
      <c r="AK16" s="53">
        <f t="shared" ca="1" si="12"/>
        <v>450966462.86742806</v>
      </c>
      <c r="AL16" s="53">
        <f t="shared" ca="1" si="13"/>
        <v>0.25593971939891541</v>
      </c>
      <c r="AM16" s="53">
        <v>314494605</v>
      </c>
      <c r="AN16" s="53">
        <v>493226945</v>
      </c>
      <c r="AO16" s="53">
        <f ca="1">INDIRECT("ZS(-1)",0) * 'Correction factor'!$C$13</f>
        <v>684038183.3048265</v>
      </c>
      <c r="AP16" s="53">
        <f t="shared" ca="1" si="14"/>
        <v>998532788.3048265</v>
      </c>
      <c r="AQ16" s="53">
        <f t="shared" ca="1" si="15"/>
        <v>0.64846052656860564</v>
      </c>
      <c r="AR16" s="53">
        <v>384205171</v>
      </c>
      <c r="AS16" s="53">
        <v>10528954</v>
      </c>
      <c r="AT16" s="53">
        <f ca="1">INDIRECT("ZS(-1)",0) * 'Correction factor'!$C$13</f>
        <v>14602216.361598181</v>
      </c>
      <c r="AU16" s="53">
        <f t="shared" ca="1" si="16"/>
        <v>398807387.36159819</v>
      </c>
      <c r="AV16" s="53">
        <f t="shared" ca="1" si="17"/>
        <v>0.28539711401748113</v>
      </c>
      <c r="AW16" s="53">
        <v>159065343</v>
      </c>
      <c r="AX16" s="53">
        <v>11600715</v>
      </c>
      <c r="AY16" s="53">
        <f ca="1">INDIRECT("ZS(-1)",0) * 'Correction factor'!$C$13</f>
        <v>16088601.999708369</v>
      </c>
      <c r="AZ16" s="53">
        <f t="shared" ca="1" si="18"/>
        <v>175153944.99970835</v>
      </c>
      <c r="BA16" s="53">
        <f t="shared" ca="1" si="19"/>
        <v>0.12033814119897621</v>
      </c>
      <c r="BB16" s="53">
        <v>501706579</v>
      </c>
      <c r="BC16" s="53">
        <v>11903288</v>
      </c>
      <c r="BD16" s="53">
        <f ca="1">INDIRECT("ZS(-1)",0) * 'Correction factor'!$C$13</f>
        <v>16508229.287583105</v>
      </c>
      <c r="BE16" s="53">
        <f t="shared" ca="1" si="20"/>
        <v>518214808.28758311</v>
      </c>
      <c r="BF16" s="53">
        <f t="shared" ca="1" si="21"/>
        <v>0.35174736577017124</v>
      </c>
      <c r="BG16" s="53">
        <v>779470985</v>
      </c>
      <c r="BH16" s="53">
        <v>10237570</v>
      </c>
      <c r="BI16" s="53">
        <f ca="1">INDIRECT("ZS(-1)",0) * 'Correction factor'!$C$13</f>
        <v>14198106.683437565</v>
      </c>
      <c r="BJ16" s="53">
        <f t="shared" ca="1" si="22"/>
        <v>793669091.68343759</v>
      </c>
      <c r="BK16" s="53">
        <f t="shared" ca="1" si="23"/>
        <v>0.48342185206103139</v>
      </c>
      <c r="BL16" s="53">
        <v>296759657</v>
      </c>
      <c r="BM16" s="53">
        <v>3430916933</v>
      </c>
      <c r="BN16" s="53">
        <f ca="1">INDIRECT("ZS(-1)",0) * 'Correction factor'!$C$13</f>
        <v>4758211629.9811783</v>
      </c>
      <c r="BO16" s="53">
        <f t="shared" ca="1" si="24"/>
        <v>5054971286.9811783</v>
      </c>
      <c r="BP16" s="53">
        <f t="shared" ca="1" si="25"/>
        <v>24.24379031453752</v>
      </c>
      <c r="BQ16" s="53">
        <v>153427320</v>
      </c>
      <c r="BR16" s="53">
        <v>2140565925</v>
      </c>
      <c r="BS16" s="53">
        <f ca="1">INDIRECT("ZS(-1)",0) * 'Correction factor'!$C$13</f>
        <v>2968671605.2814498</v>
      </c>
      <c r="BT16" s="53">
        <f t="shared" ca="1" si="26"/>
        <v>3122098925.2814498</v>
      </c>
      <c r="BU16" s="53">
        <f t="shared" ca="1" si="27"/>
        <v>18.329404320501144</v>
      </c>
      <c r="BV16" s="53">
        <v>-482049</v>
      </c>
      <c r="BW16" s="53">
        <v>93864646</v>
      </c>
      <c r="BX16" s="53">
        <f ca="1">INDIRECT("ZS(-1)",0) * 'Correction factor'!$C$13</f>
        <v>130177401.24962282</v>
      </c>
      <c r="BY16" s="53">
        <f t="shared" ca="1" si="28"/>
        <v>129695352.24962282</v>
      </c>
      <c r="BZ16" s="53">
        <f t="shared" ca="1" si="29"/>
        <v>0.82544911529150133</v>
      </c>
      <c r="CA16" s="53">
        <v>249027264</v>
      </c>
      <c r="CB16" s="53">
        <v>3373874740</v>
      </c>
      <c r="CC16" s="53">
        <f ca="1">INDIRECT("ZS(-1)",0) * 'Correction factor'!$C$13</f>
        <v>4679101925.0735455</v>
      </c>
      <c r="CD16" s="53">
        <f t="shared" ca="1" si="30"/>
        <v>4928129189.0735455</v>
      </c>
      <c r="CE16" s="53">
        <f t="shared" ca="1" si="31"/>
        <v>27.894450027708125</v>
      </c>
      <c r="CF16" s="53">
        <v>2686887</v>
      </c>
      <c r="CG16" s="53">
        <v>9582690</v>
      </c>
      <c r="CH16" s="53">
        <f ca="1">INDIRECT("ZS(-1)",0) * 'Correction factor'!$C$13</f>
        <v>13289877.864992406</v>
      </c>
      <c r="CI16" s="53">
        <f t="shared" ca="1" si="32"/>
        <v>15976764.864992406</v>
      </c>
      <c r="CJ16" s="53">
        <f t="shared" ca="1" si="33"/>
        <v>0.11606245250950639</v>
      </c>
      <c r="CK16" s="53">
        <v>27856618</v>
      </c>
      <c r="CL16" s="53">
        <v>342479469</v>
      </c>
      <c r="CM16" s="53">
        <f ca="1">INDIRECT("ZS(-1)",0) * 'Correction factor'!$C$13</f>
        <v>474972091.79024398</v>
      </c>
      <c r="CN16" s="53">
        <f t="shared" ca="1" si="34"/>
        <v>502828709.79024398</v>
      </c>
      <c r="CO16" s="53">
        <f t="shared" ca="1" si="35"/>
        <v>3.5917310921266865</v>
      </c>
      <c r="CP16" s="53">
        <v>3392188455</v>
      </c>
      <c r="CQ16" s="53">
        <v>11480639</v>
      </c>
      <c r="CR16" s="53">
        <f ca="1">INDIRECT("ZS(-1)",0) * 'Correction factor'!$C$13</f>
        <v>15922073.042336605</v>
      </c>
      <c r="CS16" s="53">
        <f t="shared" ca="1" si="36"/>
        <v>3408110528.0423365</v>
      </c>
      <c r="CT16" s="53">
        <f t="shared" ca="1" si="37"/>
        <v>2.3217065284789133</v>
      </c>
      <c r="CU16" s="53">
        <v>3012509337</v>
      </c>
      <c r="CV16" s="53">
        <v>11227698</v>
      </c>
      <c r="CW16" s="53">
        <f ca="1">INDIRECT("ZS(-1)",0) * 'Correction factor'!$C$13</f>
        <v>15571278.537135139</v>
      </c>
      <c r="CX16" s="53">
        <f t="shared" ca="1" si="38"/>
        <v>3028080615.5371351</v>
      </c>
      <c r="CY16" s="53">
        <f t="shared" ca="1" si="39"/>
        <v>2.3168358802589437</v>
      </c>
      <c r="CZ16" s="53">
        <v>2725069380</v>
      </c>
      <c r="DA16" s="53">
        <v>67150206</v>
      </c>
      <c r="DB16" s="53">
        <f ca="1">INDIRECT("ZS(-1)",0) * 'Correction factor'!$C$13</f>
        <v>93128133.785928622</v>
      </c>
      <c r="DC16" s="53">
        <f t="shared" ca="1" si="40"/>
        <v>2818197513.7859287</v>
      </c>
      <c r="DD16" s="53">
        <f t="shared" ca="1" si="41"/>
        <v>1.8497607797784426</v>
      </c>
      <c r="DE16" s="53">
        <v>2539532843</v>
      </c>
      <c r="DF16" s="53">
        <v>131045863</v>
      </c>
      <c r="DG16" s="53">
        <f ca="1">INDIRECT("ZS(-1)",0) * 'Correction factor'!$C$13</f>
        <v>181742654.09634742</v>
      </c>
      <c r="DH16" s="53">
        <f t="shared" ca="1" si="42"/>
        <v>2721275497.0963473</v>
      </c>
      <c r="DI16" s="53">
        <f t="shared" ca="1" si="43"/>
        <v>1.9814629840322002</v>
      </c>
      <c r="DJ16" s="53">
        <v>2204856880</v>
      </c>
      <c r="DK16" s="53">
        <v>39848986</v>
      </c>
      <c r="DL16" s="53">
        <f ca="1">INDIRECT("ZS(-1)",0) * 'Correction factor'!$C$13</f>
        <v>55265082.871698067</v>
      </c>
      <c r="DM16" s="53">
        <f t="shared" ca="1" si="44"/>
        <v>2260121962.8716979</v>
      </c>
      <c r="DN16" s="53">
        <f t="shared" ca="1" si="45"/>
        <v>1.8628835363013707</v>
      </c>
      <c r="DO16" s="53">
        <v>2435845051</v>
      </c>
      <c r="DP16" s="53">
        <v>49361684</v>
      </c>
      <c r="DQ16" s="53">
        <f ca="1">INDIRECT("ZS(-1)",0) * 'Correction factor'!$C$13</f>
        <v>68457891.424052104</v>
      </c>
      <c r="DR16" s="53">
        <f t="shared" ca="1" si="46"/>
        <v>2504302942.4240522</v>
      </c>
      <c r="DS16" s="53">
        <f t="shared" ca="1" si="47"/>
        <v>1.8867398675513307</v>
      </c>
      <c r="DT16" s="53">
        <v>2493626156</v>
      </c>
      <c r="DU16" s="53">
        <v>202449366</v>
      </c>
      <c r="DV16" s="53">
        <f ca="1">INDIRECT("ZS(-1)",0) * 'Correction factor'!$C$13</f>
        <v>280769527.97024077</v>
      </c>
      <c r="DW16" s="53">
        <f t="shared" ca="1" si="48"/>
        <v>2774395683.9702406</v>
      </c>
      <c r="DX16" s="53">
        <f t="shared" ca="1" si="49"/>
        <v>2.0429949822218472</v>
      </c>
      <c r="DY16" s="53">
        <v>2717821412</v>
      </c>
      <c r="DZ16" s="53">
        <v>214276293</v>
      </c>
      <c r="EA16" s="53">
        <f ca="1">INDIRECT("ZS(-1)",0) * 'Correction factor'!$C$13</f>
        <v>297171855.01496214</v>
      </c>
      <c r="EB16" s="53">
        <f t="shared" ca="1" si="50"/>
        <v>3014993267.0149622</v>
      </c>
      <c r="EC16" s="53">
        <f t="shared" ca="1" si="51"/>
        <v>2.1322036515386329</v>
      </c>
      <c r="ED16" s="53">
        <v>2390735544</v>
      </c>
      <c r="EE16" s="53">
        <v>470889094</v>
      </c>
      <c r="EF16" s="53">
        <f ca="1">INDIRECT("ZS(-1)",0) * 'Correction factor'!$C$13</f>
        <v>653058645.03776383</v>
      </c>
      <c r="EG16" s="53">
        <f t="shared" ca="1" si="52"/>
        <v>3043794189.0377636</v>
      </c>
      <c r="EH16" s="53">
        <f t="shared" ca="1" si="53"/>
        <v>2.3270304787411211</v>
      </c>
      <c r="EI16" s="53">
        <v>2284085978</v>
      </c>
      <c r="EJ16" s="53">
        <v>209813316</v>
      </c>
      <c r="EK16" s="53">
        <f ca="1">INDIRECT("ZS(-1)",0) * 'Correction factor'!$C$13</f>
        <v>290982317.50051993</v>
      </c>
      <c r="EL16" s="53">
        <f t="shared" ca="1" si="54"/>
        <v>2575068295.5005198</v>
      </c>
      <c r="EM16" s="53">
        <f t="shared" ca="1" si="55"/>
        <v>1.9566748733583608</v>
      </c>
      <c r="EN16" s="53">
        <v>2883492171</v>
      </c>
      <c r="EO16" s="53">
        <v>12774298</v>
      </c>
      <c r="EP16" s="53">
        <f ca="1">INDIRECT("ZS(-1)",0) * 'Correction factor'!$C$13</f>
        <v>17716200.798629276</v>
      </c>
      <c r="EQ16" s="53">
        <f t="shared" ca="1" si="56"/>
        <v>2901208371.7986293</v>
      </c>
      <c r="ER16" s="53">
        <f t="shared" ca="1" si="57"/>
        <v>1.9725806777293393</v>
      </c>
      <c r="ES16" s="53">
        <v>2588827648</v>
      </c>
      <c r="ET16" s="53">
        <v>13462518</v>
      </c>
      <c r="EU16" s="53">
        <f ca="1">INDIRECT("ZS(-1)",0) * 'Correction factor'!$C$13</f>
        <v>18670667.628323764</v>
      </c>
      <c r="EV16" s="53">
        <f t="shared" ca="1" si="58"/>
        <v>2607498315.6283236</v>
      </c>
      <c r="EW16" s="53">
        <f t="shared" ca="1" si="59"/>
        <v>1.7823882620643505</v>
      </c>
      <c r="EX16" s="53">
        <v>2299890223</v>
      </c>
      <c r="EY16" s="53">
        <v>9887860</v>
      </c>
      <c r="EZ16" s="53">
        <f ca="1">INDIRECT("ZS(-1)",0) * 'Correction factor'!$C$13</f>
        <v>13713106.835986953</v>
      </c>
      <c r="FA16" s="53">
        <f t="shared" ca="1" si="60"/>
        <v>2313603329.8359871</v>
      </c>
      <c r="FB16" s="53">
        <f t="shared" ca="1" si="61"/>
        <v>1.6495291573443953</v>
      </c>
      <c r="FC16" s="53">
        <v>2389910779</v>
      </c>
      <c r="FD16" s="53">
        <v>77998498</v>
      </c>
      <c r="FE16" s="53">
        <f ca="1">INDIRECT("ZS(-1)",0) * 'Correction factor'!$C$13</f>
        <v>108173228.19300787</v>
      </c>
      <c r="FF16" s="53">
        <f t="shared" ca="1" si="62"/>
        <v>2498084007.1930079</v>
      </c>
      <c r="FG16" s="53">
        <f t="shared" ca="1" si="63"/>
        <v>1.9278828737550371</v>
      </c>
      <c r="FH16" s="53">
        <v>3447664528</v>
      </c>
      <c r="FI16" s="53">
        <v>33194388</v>
      </c>
      <c r="FJ16" s="53">
        <f ca="1">INDIRECT("ZS(-1)",0) * 'Correction factor'!$C$13</f>
        <v>46036067.359287381</v>
      </c>
      <c r="FK16" s="53">
        <f t="shared" ca="1" si="64"/>
        <v>3493700595.3592873</v>
      </c>
      <c r="FL16" s="53">
        <f t="shared" ca="1" si="65"/>
        <v>1.9681728388232131</v>
      </c>
      <c r="FM16" s="53">
        <v>2939398161</v>
      </c>
      <c r="FN16" s="53">
        <v>11408768</v>
      </c>
      <c r="FO16" s="53">
        <f ca="1">INDIRECT("ZS(-1)",0) * 'Correction factor'!$C$13</f>
        <v>15822397.814187216</v>
      </c>
      <c r="FP16" s="53">
        <f t="shared" ca="1" si="66"/>
        <v>2955220558.814187</v>
      </c>
      <c r="FQ16" s="53">
        <f t="shared" ca="1" si="67"/>
        <v>2.0884888685250145</v>
      </c>
      <c r="FR16" s="53">
        <v>2990249762</v>
      </c>
      <c r="FS16" s="53">
        <v>12815512</v>
      </c>
      <c r="FT16" s="53">
        <f ca="1">INDIRECT("ZS(-1)",0) * 'Correction factor'!$C$13</f>
        <v>17773358.968864128</v>
      </c>
      <c r="FU16" s="53">
        <f t="shared" ca="1" si="68"/>
        <v>3008023120.968864</v>
      </c>
      <c r="FV16" s="53">
        <f t="shared" ca="1" si="69"/>
        <v>2.098410914665128</v>
      </c>
      <c r="FW16" s="53">
        <v>2607616454</v>
      </c>
      <c r="FX16" s="53">
        <v>378838328</v>
      </c>
      <c r="FY16" s="53">
        <f ca="1">INDIRECT("ZS(-1)",0) * 'Correction factor'!$C$13</f>
        <v>525396846.78289014</v>
      </c>
      <c r="FZ16" s="53">
        <f t="shared" ca="1" si="70"/>
        <v>3133013300.7828903</v>
      </c>
      <c r="GA16" s="53">
        <f t="shared" ca="1" si="71"/>
        <v>2.5142405861520256</v>
      </c>
      <c r="GB16" s="53">
        <v>2286256536</v>
      </c>
      <c r="GC16" s="53">
        <v>11008918</v>
      </c>
      <c r="GD16" s="53">
        <f ca="1">INDIRECT("ZS(-1)",0) * 'Correction factor'!$C$13</f>
        <v>15267860.657677174</v>
      </c>
      <c r="GE16" s="53">
        <f t="shared" ca="1" si="72"/>
        <v>2301524396.6576772</v>
      </c>
      <c r="GF16" s="53">
        <f t="shared" ca="1" si="73"/>
        <v>1.6049571444393378</v>
      </c>
      <c r="GG16" s="53">
        <v>1838734421</v>
      </c>
      <c r="GH16" s="53">
        <v>13761635</v>
      </c>
      <c r="GI16" s="53">
        <f ca="1">INDIRECT("ZS(-1)",0) * 'Correction factor'!$C$13</f>
        <v>19085501.917791851</v>
      </c>
      <c r="GJ16" s="53">
        <f t="shared" ca="1" si="74"/>
        <v>1857819922.9177918</v>
      </c>
      <c r="GK16" s="53">
        <f t="shared" ca="1" si="75"/>
        <v>1.2954498382277762</v>
      </c>
      <c r="GL16" s="53">
        <v>839407424</v>
      </c>
      <c r="GM16" s="53">
        <v>57448069</v>
      </c>
      <c r="GN16" s="53">
        <f ca="1">INDIRECT("ZS(-1)",0) * 'Correction factor'!$C$13</f>
        <v>79672599.300369367</v>
      </c>
      <c r="GO16" s="53">
        <f t="shared" ca="1" si="76"/>
        <v>919080023.30036938</v>
      </c>
      <c r="GP16" s="53">
        <f t="shared" ca="1" si="77"/>
        <v>0.63402910955518044</v>
      </c>
      <c r="GQ16" s="53">
        <v>618557025</v>
      </c>
      <c r="GR16" s="53">
        <v>9694833</v>
      </c>
      <c r="GS16" s="53">
        <f ca="1">INDIRECT("ZS(-1)",0) * 'Correction factor'!$C$13</f>
        <v>13445404.838463724</v>
      </c>
      <c r="GT16" s="53">
        <f t="shared" ca="1" si="78"/>
        <v>632002429.83846378</v>
      </c>
      <c r="GU16" s="53">
        <f t="shared" ca="1" si="79"/>
        <v>0.65531322751976073</v>
      </c>
      <c r="GV16" s="53">
        <v>557469382</v>
      </c>
      <c r="GW16" s="53">
        <v>50195412</v>
      </c>
      <c r="GX16" s="53">
        <f ca="1">INDIRECT("ZS(-1)",0) * 'Correction factor'!$C$13</f>
        <v>69614157.910041362</v>
      </c>
      <c r="GY16" s="53">
        <f t="shared" ca="1" si="80"/>
        <v>627083539.91004133</v>
      </c>
      <c r="GZ16" s="53">
        <f t="shared" ca="1" si="81"/>
        <v>0.44517063355070025</v>
      </c>
      <c r="HA16" s="53">
        <v>460415531</v>
      </c>
      <c r="HB16" s="53">
        <v>138703461</v>
      </c>
      <c r="HC16" s="53">
        <f ca="1">INDIRECT("ZS(-1)",0) * 'Correction factor'!$C$13</f>
        <v>192362693.16253969</v>
      </c>
      <c r="HD16" s="53">
        <f t="shared" ca="1" si="82"/>
        <v>652778224.16253972</v>
      </c>
      <c r="HE16" s="53">
        <f t="shared" ca="1" si="83"/>
        <v>0.47807943469367659</v>
      </c>
      <c r="HF16" s="53">
        <v>553509192</v>
      </c>
      <c r="HG16" s="53">
        <v>639552125</v>
      </c>
      <c r="HH16" s="53">
        <f ca="1">INDIRECT("ZS(-1)",0) * 'Correction factor'!$C$13</f>
        <v>886971156.27724123</v>
      </c>
      <c r="HI16" s="53">
        <f t="shared" ca="1" si="84"/>
        <v>1440480348.2772412</v>
      </c>
      <c r="HJ16" s="53">
        <f t="shared" ca="1" si="85"/>
        <v>1.0611009473637247</v>
      </c>
      <c r="HK16" s="53">
        <v>359306342</v>
      </c>
      <c r="HL16" s="53">
        <v>751944363</v>
      </c>
      <c r="HM16" s="53">
        <f ca="1">INDIRECT("ZS(-1)",0) * 'Correction factor'!$C$13</f>
        <v>1042843788.7001996</v>
      </c>
      <c r="HN16" s="53">
        <f t="shared" ca="1" si="86"/>
        <v>1402150130.7001996</v>
      </c>
      <c r="HO16" s="53">
        <f t="shared" ca="1" si="87"/>
        <v>1.0438226614997987</v>
      </c>
      <c r="HP16" s="53">
        <v>643456115</v>
      </c>
      <c r="HQ16" s="53">
        <v>9581078</v>
      </c>
      <c r="HR16" s="53">
        <f ca="1">INDIRECT("ZS(-1)",0) * 'Correction factor'!$C$13</f>
        <v>13287642.24189301</v>
      </c>
      <c r="HS16" s="53">
        <f t="shared" ca="1" si="88"/>
        <v>656743757.24189305</v>
      </c>
      <c r="HT16" s="53">
        <f t="shared" ca="1" si="89"/>
        <v>0.42576202486101022</v>
      </c>
      <c r="HU16" s="53">
        <v>705076846</v>
      </c>
      <c r="HV16" s="53">
        <v>23974960</v>
      </c>
      <c r="HW16" s="53">
        <f ca="1">INDIRECT("ZS(-1)",0) * 'Correction factor'!$C$13</f>
        <v>33249984.10864573</v>
      </c>
      <c r="HX16" s="53">
        <f t="shared" ca="1" si="90"/>
        <v>738326830.10864568</v>
      </c>
      <c r="HY16" s="53">
        <f t="shared" ca="1" si="91"/>
        <v>0.5793674686838054</v>
      </c>
      <c r="HZ16" s="53">
        <v>679262801</v>
      </c>
      <c r="IA16" s="53">
        <v>413831958</v>
      </c>
      <c r="IB16" s="53">
        <f ca="1">INDIRECT("ZS(-1)",0) * 'Correction factor'!$C$13</f>
        <v>573928216.23684657</v>
      </c>
      <c r="IC16" s="53">
        <f t="shared" ca="1" si="92"/>
        <v>1253191017.2368464</v>
      </c>
      <c r="ID16" s="53">
        <f t="shared" ca="1" si="93"/>
        <v>0.97176544753289607</v>
      </c>
      <c r="IE16" s="53">
        <v>723459623</v>
      </c>
      <c r="IF16" s="53">
        <v>11374689</v>
      </c>
      <c r="IG16" s="53">
        <f ca="1">INDIRECT("ZS(-1)",0) * 'Correction factor'!$C$13</f>
        <v>15775134.911206834</v>
      </c>
      <c r="IH16" s="53">
        <f t="shared" ca="1" si="94"/>
        <v>739234757.91120684</v>
      </c>
      <c r="II16" s="61">
        <f t="shared" ca="1" si="95"/>
        <v>0.56567106716348559</v>
      </c>
    </row>
    <row r="17" spans="1:243" x14ac:dyDescent="0.25">
      <c r="A17" s="5">
        <v>13</v>
      </c>
      <c r="B17" s="30">
        <v>45504</v>
      </c>
      <c r="C17" s="29" t="s">
        <v>37</v>
      </c>
      <c r="D17" s="52">
        <v>5033166813</v>
      </c>
      <c r="E17" s="53">
        <v>14069688</v>
      </c>
      <c r="F17" s="53">
        <f ca="1">INDIRECT("ZS(-1)",0) * 'Correction factor'!$C$13</f>
        <v>19512729.214714166</v>
      </c>
      <c r="G17" s="53">
        <f t="shared" ca="1" si="0"/>
        <v>5052679542.2147141</v>
      </c>
      <c r="H17" s="53">
        <f t="shared" ca="1" si="1"/>
        <v>3.6543371004398688</v>
      </c>
      <c r="I17" s="53">
        <v>3351925090</v>
      </c>
      <c r="J17" s="53">
        <v>18871028</v>
      </c>
      <c r="K17" s="53">
        <f ca="1">INDIRECT("ZS(-1)",0) * 'Correction factor'!$C$13</f>
        <v>26171529.842544414</v>
      </c>
      <c r="L17" s="53">
        <f t="shared" ca="1" si="2"/>
        <v>3378096619.8425446</v>
      </c>
      <c r="M17" s="53">
        <f t="shared" ca="1" si="3"/>
        <v>2.2143539837243296</v>
      </c>
      <c r="N17" s="53">
        <v>4777022383</v>
      </c>
      <c r="O17" s="53">
        <v>13138308</v>
      </c>
      <c r="P17" s="53">
        <f ca="1">INDIRECT("ZS(-1)",0) * 'Correction factor'!$C$13</f>
        <v>18221032.786477771</v>
      </c>
      <c r="Q17" s="53">
        <f t="shared" ca="1" si="4"/>
        <v>4795243415.786478</v>
      </c>
      <c r="R17" s="53">
        <f t="shared" ca="1" si="5"/>
        <v>3.7331138453220514</v>
      </c>
      <c r="S17" s="53">
        <v>3887591364</v>
      </c>
      <c r="T17" s="53">
        <v>12158036</v>
      </c>
      <c r="U17" s="53">
        <f ca="1">INDIRECT("ZS(-1)",0) * 'Correction factor'!$C$13</f>
        <v>16861529.854162123</v>
      </c>
      <c r="V17" s="53">
        <f t="shared" ca="1" si="6"/>
        <v>3904452893.8541622</v>
      </c>
      <c r="W17" s="53">
        <f t="shared" ca="1" si="7"/>
        <v>2.6653769335769257</v>
      </c>
      <c r="X17" s="53">
        <v>4131779780</v>
      </c>
      <c r="Y17" s="53">
        <v>14207304</v>
      </c>
      <c r="Z17" s="53">
        <f ca="1">INDIRECT("ZS(-1)",0) * 'Correction factor'!$C$13</f>
        <v>19703583.748490047</v>
      </c>
      <c r="AA17" s="53">
        <f t="shared" ca="1" si="8"/>
        <v>4151483363.7484899</v>
      </c>
      <c r="AB17" s="53">
        <f t="shared" ca="1" si="9"/>
        <v>2.8953662983929771</v>
      </c>
      <c r="AC17" s="53">
        <v>3886954748</v>
      </c>
      <c r="AD17" s="53">
        <v>19080654</v>
      </c>
      <c r="AE17" s="53">
        <f ca="1">INDIRECT("ZS(-1)",0) * 'Correction factor'!$C$13</f>
        <v>26462252.378421802</v>
      </c>
      <c r="AF17" s="53">
        <f t="shared" ca="1" si="10"/>
        <v>3913417000.3784218</v>
      </c>
      <c r="AG17" s="53">
        <f t="shared" ca="1" si="11"/>
        <v>2.5246005638760876</v>
      </c>
      <c r="AH17" s="53">
        <v>382243443</v>
      </c>
      <c r="AI17" s="53">
        <v>11048125</v>
      </c>
      <c r="AJ17" s="53">
        <f ca="1">INDIRECT("ZS(-1)",0) * 'Correction factor'!$C$13</f>
        <v>15322235.393941496</v>
      </c>
      <c r="AK17" s="53">
        <f t="shared" ca="1" si="12"/>
        <v>397565678.39394152</v>
      </c>
      <c r="AL17" s="53">
        <f t="shared" ca="1" si="13"/>
        <v>0.22563284977734016</v>
      </c>
      <c r="AM17" s="53">
        <v>219595176</v>
      </c>
      <c r="AN17" s="53">
        <v>701922135</v>
      </c>
      <c r="AO17" s="53">
        <f ca="1">INDIRECT("ZS(-1)",0) * 'Correction factor'!$C$13</f>
        <v>973469813.26586926</v>
      </c>
      <c r="AP17" s="53">
        <f t="shared" ca="1" si="14"/>
        <v>1193064989.2658691</v>
      </c>
      <c r="AQ17" s="53">
        <f t="shared" ca="1" si="15"/>
        <v>0.77479233554595728</v>
      </c>
      <c r="AR17" s="53">
        <v>310782947</v>
      </c>
      <c r="AS17" s="53">
        <v>10483156</v>
      </c>
      <c r="AT17" s="53">
        <f ca="1">INDIRECT("ZS(-1)",0) * 'Correction factor'!$C$13</f>
        <v>14538700.811532289</v>
      </c>
      <c r="AU17" s="53">
        <f t="shared" ca="1" si="16"/>
        <v>325321647.81153226</v>
      </c>
      <c r="AV17" s="53">
        <f t="shared" ca="1" si="17"/>
        <v>0.23280877525129562</v>
      </c>
      <c r="AW17" s="53">
        <v>134289478</v>
      </c>
      <c r="AX17" s="53">
        <v>11541966</v>
      </c>
      <c r="AY17" s="53">
        <f ca="1">INDIRECT("ZS(-1)",0) * 'Correction factor'!$C$13</f>
        <v>16007125.187384227</v>
      </c>
      <c r="AZ17" s="53">
        <f t="shared" ca="1" si="18"/>
        <v>150296603.18738422</v>
      </c>
      <c r="BA17" s="53">
        <f t="shared" ca="1" si="19"/>
        <v>0.10326009988596063</v>
      </c>
      <c r="BB17" s="53">
        <v>421667344</v>
      </c>
      <c r="BC17" s="53">
        <v>11822571</v>
      </c>
      <c r="BD17" s="53">
        <f ca="1">INDIRECT("ZS(-1)",0) * 'Correction factor'!$C$13</f>
        <v>16396285.869646326</v>
      </c>
      <c r="BE17" s="53">
        <f t="shared" ca="1" si="20"/>
        <v>438063629.86964631</v>
      </c>
      <c r="BF17" s="53">
        <f t="shared" ca="1" si="21"/>
        <v>0.29734335140970436</v>
      </c>
      <c r="BG17" s="53">
        <v>646751923</v>
      </c>
      <c r="BH17" s="53">
        <v>10776830</v>
      </c>
      <c r="BI17" s="53">
        <f ca="1">INDIRECT("ZS(-1)",0) * 'Correction factor'!$C$13</f>
        <v>14945986.405882495</v>
      </c>
      <c r="BJ17" s="53">
        <f t="shared" ca="1" si="22"/>
        <v>661697909.40588248</v>
      </c>
      <c r="BK17" s="53">
        <f t="shared" ca="1" si="23"/>
        <v>0.40303853611259327</v>
      </c>
      <c r="BL17" s="53">
        <v>361970544</v>
      </c>
      <c r="BM17" s="53">
        <v>4340282142</v>
      </c>
      <c r="BN17" s="53">
        <f ca="1">INDIRECT("ZS(-1)",0) * 'Correction factor'!$C$13</f>
        <v>6019376559.8999481</v>
      </c>
      <c r="BO17" s="53">
        <f t="shared" ca="1" si="24"/>
        <v>6381347103.8999481</v>
      </c>
      <c r="BP17" s="53">
        <f t="shared" ca="1" si="25"/>
        <v>30.605127572074309</v>
      </c>
      <c r="BQ17" s="53">
        <v>218037264</v>
      </c>
      <c r="BR17" s="53">
        <v>2967192777</v>
      </c>
      <c r="BS17" s="53">
        <f ca="1">INDIRECT("ZS(-1)",0) * 'Correction factor'!$C$13</f>
        <v>4115089772.1013255</v>
      </c>
      <c r="BT17" s="53">
        <f t="shared" ca="1" si="26"/>
        <v>4333127036.101326</v>
      </c>
      <c r="BU17" s="53">
        <f t="shared" ca="1" si="27"/>
        <v>25.439180281462768</v>
      </c>
      <c r="BV17" s="53">
        <v>11940592</v>
      </c>
      <c r="BW17" s="53">
        <v>140198831</v>
      </c>
      <c r="BX17" s="53">
        <f ca="1">INDIRECT("ZS(-1)",0) * 'Correction factor'!$C$13</f>
        <v>194436566.43434268</v>
      </c>
      <c r="BY17" s="53">
        <f t="shared" ca="1" si="28"/>
        <v>206377158.43434268</v>
      </c>
      <c r="BZ17" s="53">
        <f t="shared" ca="1" si="29"/>
        <v>1.3134922716283968</v>
      </c>
      <c r="CA17" s="53">
        <v>328843583</v>
      </c>
      <c r="CB17" s="53">
        <v>4337177068</v>
      </c>
      <c r="CC17" s="53">
        <f ca="1">INDIRECT("ZS(-1)",0) * 'Correction factor'!$C$13</f>
        <v>6015070247.7661142</v>
      </c>
      <c r="CD17" s="53">
        <f t="shared" ca="1" si="30"/>
        <v>6343913830.7661142</v>
      </c>
      <c r="CE17" s="53">
        <f t="shared" ca="1" si="31"/>
        <v>35.90814699516006</v>
      </c>
      <c r="CF17" s="53">
        <v>18528078</v>
      </c>
      <c r="CG17" s="53">
        <v>10150733</v>
      </c>
      <c r="CH17" s="53">
        <f ca="1">INDIRECT("ZS(-1)",0) * 'Correction factor'!$C$13</f>
        <v>14077675.664155677</v>
      </c>
      <c r="CI17" s="53">
        <f t="shared" ca="1" si="32"/>
        <v>32605753.664155677</v>
      </c>
      <c r="CJ17" s="53">
        <f t="shared" ca="1" si="33"/>
        <v>0.23686295493243029</v>
      </c>
      <c r="CK17" s="53">
        <v>40718019</v>
      </c>
      <c r="CL17" s="53">
        <v>423876129</v>
      </c>
      <c r="CM17" s="53">
        <f ca="1">INDIRECT("ZS(-1)",0) * 'Correction factor'!$C$13</f>
        <v>587858105.00973797</v>
      </c>
      <c r="CN17" s="53">
        <f t="shared" ca="1" si="34"/>
        <v>628576124.00973797</v>
      </c>
      <c r="CO17" s="53">
        <f t="shared" ca="1" si="35"/>
        <v>4.4899512784702571</v>
      </c>
      <c r="CP17" s="53">
        <v>3684692743</v>
      </c>
      <c r="CQ17" s="53">
        <v>12627252</v>
      </c>
      <c r="CR17" s="53">
        <f ca="1">INDIRECT("ZS(-1)",0) * 'Correction factor'!$C$13</f>
        <v>17512268.14709451</v>
      </c>
      <c r="CS17" s="53">
        <f t="shared" ca="1" si="36"/>
        <v>3702205011.1470947</v>
      </c>
      <c r="CT17" s="53">
        <f t="shared" ca="1" si="37"/>
        <v>2.5220524608645505</v>
      </c>
      <c r="CU17" s="53">
        <v>3269186452</v>
      </c>
      <c r="CV17" s="53">
        <v>11260741</v>
      </c>
      <c r="CW17" s="53">
        <f ca="1">INDIRECT("ZS(-1)",0) * 'Correction factor'!$C$13</f>
        <v>15617104.650083898</v>
      </c>
      <c r="CX17" s="53">
        <f t="shared" ca="1" si="38"/>
        <v>3284803556.650084</v>
      </c>
      <c r="CY17" s="53">
        <f t="shared" ca="1" si="39"/>
        <v>2.5132589603461222</v>
      </c>
      <c r="CZ17" s="53">
        <v>2957290501</v>
      </c>
      <c r="DA17" s="53">
        <v>82075060</v>
      </c>
      <c r="DB17" s="53">
        <f ca="1">INDIRECT("ZS(-1)",0) * 'Correction factor'!$C$13</f>
        <v>113826861.05487329</v>
      </c>
      <c r="DC17" s="53">
        <f t="shared" ca="1" si="40"/>
        <v>3071117362.0548735</v>
      </c>
      <c r="DD17" s="53">
        <f t="shared" ca="1" si="41"/>
        <v>2.0157680285489223</v>
      </c>
      <c r="DE17" s="53">
        <v>2816260630</v>
      </c>
      <c r="DF17" s="53">
        <v>167389075</v>
      </c>
      <c r="DG17" s="53">
        <f ca="1">INDIRECT("ZS(-1)",0) * 'Correction factor'!$C$13</f>
        <v>232145708.84418195</v>
      </c>
      <c r="DH17" s="53">
        <f t="shared" ca="1" si="42"/>
        <v>3048406338.844182</v>
      </c>
      <c r="DI17" s="53">
        <f t="shared" ca="1" si="43"/>
        <v>2.2196592469795826</v>
      </c>
      <c r="DJ17" s="53">
        <v>2418592197</v>
      </c>
      <c r="DK17" s="53">
        <v>56717284</v>
      </c>
      <c r="DL17" s="53">
        <f ca="1">INDIRECT("ZS(-1)",0) * 'Correction factor'!$C$13</f>
        <v>78659100.648574457</v>
      </c>
      <c r="DM17" s="53">
        <f t="shared" ca="1" si="44"/>
        <v>2497251297.6485744</v>
      </c>
      <c r="DN17" s="53">
        <f t="shared" ca="1" si="45"/>
        <v>2.0583350831588958</v>
      </c>
      <c r="DO17" s="53">
        <v>2670570196</v>
      </c>
      <c r="DP17" s="53">
        <v>64570823</v>
      </c>
      <c r="DQ17" s="53">
        <f ca="1">INDIRECT("ZS(-1)",0) * 'Correction factor'!$C$13</f>
        <v>89550883.03096965</v>
      </c>
      <c r="DR17" s="53">
        <f t="shared" ca="1" si="46"/>
        <v>2760121079.0309696</v>
      </c>
      <c r="DS17" s="53">
        <f t="shared" ca="1" si="47"/>
        <v>2.079473050507131</v>
      </c>
      <c r="DT17" s="53">
        <v>2671621983</v>
      </c>
      <c r="DU17" s="53">
        <v>283820966</v>
      </c>
      <c r="DV17" s="53">
        <f ca="1">INDIRECT("ZS(-1)",0) * 'Correction factor'!$C$13</f>
        <v>393620786.4038347</v>
      </c>
      <c r="DW17" s="53">
        <f t="shared" ca="1" si="48"/>
        <v>3065242769.4038348</v>
      </c>
      <c r="DX17" s="53">
        <f t="shared" ca="1" si="49"/>
        <v>2.2571674377110966</v>
      </c>
      <c r="DY17" s="53">
        <v>2860193740</v>
      </c>
      <c r="DZ17" s="53">
        <v>291054483</v>
      </c>
      <c r="EA17" s="53">
        <f ca="1">INDIRECT("ZS(-1)",0) * 'Correction factor'!$C$13</f>
        <v>403652683.23701477</v>
      </c>
      <c r="EB17" s="53">
        <f t="shared" ca="1" si="50"/>
        <v>3263846423.2370148</v>
      </c>
      <c r="EC17" s="53">
        <f t="shared" ca="1" si="51"/>
        <v>2.3081926377160076</v>
      </c>
      <c r="ED17" s="53">
        <v>2611369666</v>
      </c>
      <c r="EE17" s="53">
        <v>696253409</v>
      </c>
      <c r="EF17" s="53">
        <f ca="1">INDIRECT("ZS(-1)",0) * 'Correction factor'!$C$13</f>
        <v>965608067.11837757</v>
      </c>
      <c r="EG17" s="53">
        <f t="shared" ca="1" si="52"/>
        <v>3576977733.1183777</v>
      </c>
      <c r="EH17" s="53">
        <f t="shared" ca="1" si="53"/>
        <v>2.7346580254087995</v>
      </c>
      <c r="EI17" s="53">
        <v>2453288799</v>
      </c>
      <c r="EJ17" s="53">
        <v>285677181</v>
      </c>
      <c r="EK17" s="53">
        <f ca="1">INDIRECT("ZS(-1)",0) * 'Correction factor'!$C$13</f>
        <v>396195102.24220228</v>
      </c>
      <c r="EL17" s="53">
        <f t="shared" ca="1" si="54"/>
        <v>2849483901.2422023</v>
      </c>
      <c r="EM17" s="53">
        <f t="shared" ca="1" si="55"/>
        <v>2.1651905548843136</v>
      </c>
      <c r="EN17" s="53">
        <v>3109739274</v>
      </c>
      <c r="EO17" s="53">
        <v>11895015</v>
      </c>
      <c r="EP17" s="53">
        <f ca="1">INDIRECT("ZS(-1)",0) * 'Correction factor'!$C$13</f>
        <v>16496755.770274594</v>
      </c>
      <c r="EQ17" s="53">
        <f t="shared" ca="1" si="56"/>
        <v>3126236029.7702746</v>
      </c>
      <c r="ER17" s="53">
        <f t="shared" ca="1" si="57"/>
        <v>2.1255807911939106</v>
      </c>
      <c r="ES17" s="53">
        <v>2738109722</v>
      </c>
      <c r="ET17" s="53">
        <v>14282544</v>
      </c>
      <c r="EU17" s="53">
        <f ca="1">INDIRECT("ZS(-1)",0) * 'Correction factor'!$C$13</f>
        <v>19807931.317968141</v>
      </c>
      <c r="EV17" s="53">
        <f t="shared" ca="1" si="58"/>
        <v>2757917653.3179684</v>
      </c>
      <c r="EW17" s="53">
        <f t="shared" ca="1" si="59"/>
        <v>1.8852092918148193</v>
      </c>
      <c r="EX17" s="53">
        <v>2352363384</v>
      </c>
      <c r="EY17" s="53">
        <v>10217973</v>
      </c>
      <c r="EZ17" s="53">
        <f ca="1">INDIRECT("ZS(-1)",0) * 'Correction factor'!$C$13</f>
        <v>14170928.329914676</v>
      </c>
      <c r="FA17" s="53">
        <f t="shared" ca="1" si="60"/>
        <v>2366534312.3299146</v>
      </c>
      <c r="FB17" s="53">
        <f t="shared" ca="1" si="61"/>
        <v>1.6872673460064977</v>
      </c>
      <c r="FC17" s="53">
        <v>2635986633</v>
      </c>
      <c r="FD17" s="53">
        <v>104478989</v>
      </c>
      <c r="FE17" s="53">
        <f ca="1">INDIRECT("ZS(-1)",0) * 'Correction factor'!$C$13</f>
        <v>144898040.45292974</v>
      </c>
      <c r="FF17" s="53">
        <f t="shared" ca="1" si="62"/>
        <v>2780884673.4529295</v>
      </c>
      <c r="FG17" s="53">
        <f t="shared" ca="1" si="63"/>
        <v>2.1461327643108166</v>
      </c>
      <c r="FH17" s="53">
        <v>3649264385</v>
      </c>
      <c r="FI17" s="53">
        <v>41216718</v>
      </c>
      <c r="FJ17" s="53">
        <f ca="1">INDIRECT("ZS(-1)",0) * 'Correction factor'!$C$13</f>
        <v>57161939.728388801</v>
      </c>
      <c r="FK17" s="53">
        <f t="shared" ca="1" si="64"/>
        <v>3706426324.7283888</v>
      </c>
      <c r="FL17" s="53">
        <f t="shared" ca="1" si="65"/>
        <v>2.0880116719559836</v>
      </c>
      <c r="FM17" s="53">
        <v>3219657345</v>
      </c>
      <c r="FN17" s="53">
        <v>11867197</v>
      </c>
      <c r="FO17" s="53">
        <f ca="1">INDIRECT("ZS(-1)",0) * 'Correction factor'!$C$13</f>
        <v>16458176.016317369</v>
      </c>
      <c r="FP17" s="53">
        <f t="shared" ca="1" si="66"/>
        <v>3236115521.0163174</v>
      </c>
      <c r="FQ17" s="53">
        <f t="shared" ca="1" si="67"/>
        <v>2.2870006175158588</v>
      </c>
      <c r="FR17" s="53">
        <v>3248773554</v>
      </c>
      <c r="FS17" s="53">
        <v>14617000</v>
      </c>
      <c r="FT17" s="53">
        <f ca="1">INDIRECT("ZS(-1)",0) * 'Correction factor'!$C$13</f>
        <v>20271775.957752366</v>
      </c>
      <c r="FU17" s="53">
        <f t="shared" ca="1" si="68"/>
        <v>3269045329.9577522</v>
      </c>
      <c r="FV17" s="53">
        <f t="shared" ca="1" si="69"/>
        <v>2.2805012212502263</v>
      </c>
      <c r="FW17" s="53">
        <v>2773080656</v>
      </c>
      <c r="FX17" s="53">
        <v>537078609</v>
      </c>
      <c r="FY17" s="53">
        <f ca="1">INDIRECT("ZS(-1)",0) * 'Correction factor'!$C$13</f>
        <v>744854432.05509222</v>
      </c>
      <c r="FZ17" s="53">
        <f t="shared" ca="1" si="70"/>
        <v>3517935088.0550923</v>
      </c>
      <c r="GA17" s="53">
        <f t="shared" ca="1" si="71"/>
        <v>2.8231400025101085</v>
      </c>
      <c r="GB17" s="53">
        <v>2501629323</v>
      </c>
      <c r="GC17" s="53">
        <v>11846494</v>
      </c>
      <c r="GD17" s="53">
        <f ca="1">INDIRECT("ZS(-1)",0) * 'Correction factor'!$C$13</f>
        <v>16429463.792355316</v>
      </c>
      <c r="GE17" s="53">
        <f t="shared" ca="1" si="72"/>
        <v>2518058786.7923555</v>
      </c>
      <c r="GF17" s="53">
        <f t="shared" ca="1" si="73"/>
        <v>1.7559563764996866</v>
      </c>
      <c r="GG17" s="53">
        <v>1980374849</v>
      </c>
      <c r="GH17" s="53">
        <v>14198682</v>
      </c>
      <c r="GI17" s="53">
        <f ca="1">INDIRECT("ZS(-1)",0) * 'Correction factor'!$C$13</f>
        <v>19691626.216006793</v>
      </c>
      <c r="GJ17" s="53">
        <f t="shared" ca="1" si="74"/>
        <v>2000066475.2160068</v>
      </c>
      <c r="GK17" s="53">
        <f t="shared" ca="1" si="75"/>
        <v>1.3946377470719078</v>
      </c>
      <c r="GL17" s="53">
        <v>794352767</v>
      </c>
      <c r="GM17" s="53">
        <v>87488153</v>
      </c>
      <c r="GN17" s="53">
        <f ca="1">INDIRECT("ZS(-1)",0) * 'Correction factor'!$C$13</f>
        <v>121334079.26206201</v>
      </c>
      <c r="GO17" s="53">
        <f t="shared" ca="1" si="76"/>
        <v>915686846.26206207</v>
      </c>
      <c r="GP17" s="53">
        <f t="shared" ca="1" si="77"/>
        <v>0.63168831989419361</v>
      </c>
      <c r="GQ17" s="53">
        <v>849638901</v>
      </c>
      <c r="GR17" s="53">
        <v>9459410</v>
      </c>
      <c r="GS17" s="53">
        <f ca="1">INDIRECT("ZS(-1)",0) * 'Correction factor'!$C$13</f>
        <v>13118905.398681145</v>
      </c>
      <c r="GT17" s="53">
        <f t="shared" ca="1" si="78"/>
        <v>862757806.39868116</v>
      </c>
      <c r="GU17" s="53">
        <f t="shared" ca="1" si="79"/>
        <v>0.89457979271297372</v>
      </c>
      <c r="GV17" s="53">
        <v>590427617</v>
      </c>
      <c r="GW17" s="53">
        <v>68778990</v>
      </c>
      <c r="GX17" s="53">
        <f ca="1">INDIRECT("ZS(-1)",0) * 'Correction factor'!$C$13</f>
        <v>95387033.993329018</v>
      </c>
      <c r="GY17" s="53">
        <f t="shared" ca="1" si="80"/>
        <v>685814650.99332905</v>
      </c>
      <c r="GZ17" s="53">
        <f t="shared" ca="1" si="81"/>
        <v>0.48686422661460754</v>
      </c>
      <c r="HA17" s="53">
        <v>415815909</v>
      </c>
      <c r="HB17" s="53">
        <v>201394252</v>
      </c>
      <c r="HC17" s="53">
        <f ca="1">INDIRECT("ZS(-1)",0) * 'Correction factor'!$C$13</f>
        <v>279306229.43990701</v>
      </c>
      <c r="HD17" s="53">
        <f t="shared" ca="1" si="82"/>
        <v>695122138.43990707</v>
      </c>
      <c r="HE17" s="53">
        <f t="shared" ca="1" si="83"/>
        <v>0.50909112266230072</v>
      </c>
      <c r="HF17" s="53">
        <v>495446976</v>
      </c>
      <c r="HG17" s="53">
        <v>948244082</v>
      </c>
      <c r="HH17" s="53">
        <f ca="1">INDIRECT("ZS(-1)",0) * 'Correction factor'!$C$13</f>
        <v>1315084598.9990122</v>
      </c>
      <c r="HI17" s="53">
        <f t="shared" ca="1" si="84"/>
        <v>1810531574.9990122</v>
      </c>
      <c r="HJ17" s="53">
        <f t="shared" ca="1" si="85"/>
        <v>1.3336917589754125</v>
      </c>
      <c r="HK17" s="53">
        <v>336153337</v>
      </c>
      <c r="HL17" s="53">
        <v>1107591567</v>
      </c>
      <c r="HM17" s="53">
        <f ca="1">INDIRECT("ZS(-1)",0) * 'Correction factor'!$C$13</f>
        <v>1536077724.4933891</v>
      </c>
      <c r="HN17" s="53">
        <f t="shared" ca="1" si="86"/>
        <v>1872231061.4933891</v>
      </c>
      <c r="HO17" s="53">
        <f t="shared" ca="1" si="87"/>
        <v>1.3937717272648289</v>
      </c>
      <c r="HP17" s="53">
        <v>575651093</v>
      </c>
      <c r="HQ17" s="53">
        <v>10130220</v>
      </c>
      <c r="HR17" s="53">
        <f ca="1">INDIRECT("ZS(-1)",0) * 'Correction factor'!$C$13</f>
        <v>14049226.944156952</v>
      </c>
      <c r="HS17" s="53">
        <f t="shared" ca="1" si="88"/>
        <v>589700319.944157</v>
      </c>
      <c r="HT17" s="53">
        <f t="shared" ca="1" si="89"/>
        <v>0.3822982700818191</v>
      </c>
      <c r="HU17" s="53">
        <v>632786720</v>
      </c>
      <c r="HV17" s="53">
        <v>29528915</v>
      </c>
      <c r="HW17" s="53">
        <f ca="1">INDIRECT("ZS(-1)",0) * 'Correction factor'!$C$13</f>
        <v>40952558.606794365</v>
      </c>
      <c r="HX17" s="53">
        <f t="shared" ca="1" si="90"/>
        <v>673739278.60679436</v>
      </c>
      <c r="HY17" s="53">
        <f t="shared" ca="1" si="91"/>
        <v>0.52868540662653718</v>
      </c>
      <c r="HZ17" s="53">
        <v>655202737</v>
      </c>
      <c r="IA17" s="53">
        <v>613961252</v>
      </c>
      <c r="IB17" s="53">
        <f ca="1">INDIRECT("ZS(-1)",0) * 'Correction factor'!$C$13</f>
        <v>851480122.27441621</v>
      </c>
      <c r="IC17" s="53">
        <f t="shared" ca="1" si="92"/>
        <v>1506682859.2744162</v>
      </c>
      <c r="ID17" s="53">
        <f t="shared" ca="1" si="93"/>
        <v>1.1683313420656536</v>
      </c>
      <c r="IE17" s="53">
        <v>559243197</v>
      </c>
      <c r="IF17" s="53">
        <v>10884643</v>
      </c>
      <c r="IG17" s="53">
        <f ca="1">INDIRECT("ZS(-1)",0) * 'Correction factor'!$C$13</f>
        <v>15095508.26271585</v>
      </c>
      <c r="IH17" s="53">
        <f t="shared" ca="1" si="94"/>
        <v>574338705.26271582</v>
      </c>
      <c r="II17" s="61">
        <f t="shared" ca="1" si="95"/>
        <v>0.43949068255023643</v>
      </c>
    </row>
    <row r="18" spans="1:243" s="3" customFormat="1" x14ac:dyDescent="0.25">
      <c r="A18" s="57">
        <v>14</v>
      </c>
      <c r="B18" s="56">
        <v>45505</v>
      </c>
      <c r="C18" s="29" t="s">
        <v>38</v>
      </c>
      <c r="D18" s="52">
        <v>5054978670</v>
      </c>
      <c r="E18" s="53">
        <v>13907905</v>
      </c>
      <c r="F18" s="53">
        <f ca="1">INDIRECT("ZS(-1)",0) * 'Correction factor'!$C$13</f>
        <v>19288358.363665864</v>
      </c>
      <c r="G18" s="53">
        <f t="shared" ca="1" si="0"/>
        <v>5074267028.3636656</v>
      </c>
      <c r="H18" s="53">
        <f t="shared" ca="1" si="1"/>
        <v>3.6699501926378288</v>
      </c>
      <c r="I18" s="53">
        <v>3323943775</v>
      </c>
      <c r="J18" s="53">
        <v>20208374</v>
      </c>
      <c r="K18" s="53">
        <f ca="1">INDIRECT("ZS(-1)",0) * 'Correction factor'!$C$13</f>
        <v>28026245.481184099</v>
      </c>
      <c r="L18" s="53">
        <f t="shared" ca="1" si="2"/>
        <v>3351970020.481184</v>
      </c>
      <c r="M18" s="53">
        <f t="shared" ca="1" si="3"/>
        <v>2.1972279077449826</v>
      </c>
      <c r="N18" s="53">
        <v>4639508365</v>
      </c>
      <c r="O18" s="53">
        <v>13226206</v>
      </c>
      <c r="P18" s="53">
        <f ca="1">INDIRECT("ZS(-1)",0) * 'Correction factor'!$C$13</f>
        <v>18342935.267365403</v>
      </c>
      <c r="Q18" s="53">
        <f t="shared" ca="1" si="4"/>
        <v>4657851300.2673655</v>
      </c>
      <c r="R18" s="53">
        <f t="shared" ca="1" si="5"/>
        <v>3.6261536007192521</v>
      </c>
      <c r="S18" s="53">
        <v>3573733773</v>
      </c>
      <c r="T18" s="53">
        <v>11542901</v>
      </c>
      <c r="U18" s="53">
        <f ca="1">INDIRECT("ZS(-1)",0) * 'Correction factor'!$C$13</f>
        <v>16008421.904256396</v>
      </c>
      <c r="V18" s="53">
        <f t="shared" ca="1" si="6"/>
        <v>3589742194.9042563</v>
      </c>
      <c r="W18" s="53">
        <f t="shared" ca="1" si="7"/>
        <v>2.4505395003858874</v>
      </c>
      <c r="X18" s="53">
        <v>4073785370</v>
      </c>
      <c r="Y18" s="53">
        <v>14061344</v>
      </c>
      <c r="Z18" s="53">
        <f ca="1">INDIRECT("ZS(-1)",0) * 'Correction factor'!$C$13</f>
        <v>19501157.23013515</v>
      </c>
      <c r="AA18" s="53">
        <f t="shared" ca="1" si="8"/>
        <v>4093286527.230135</v>
      </c>
      <c r="AB18" s="53">
        <f t="shared" ca="1" si="9"/>
        <v>2.8547781171660662</v>
      </c>
      <c r="AC18" s="53">
        <v>4567276080</v>
      </c>
      <c r="AD18" s="53">
        <v>20136800</v>
      </c>
      <c r="AE18" s="53">
        <f ca="1">INDIRECT("ZS(-1)",0) * 'Correction factor'!$C$13</f>
        <v>27926982.151335284</v>
      </c>
      <c r="AF18" s="53">
        <f t="shared" ca="1" si="10"/>
        <v>4595203062.1513357</v>
      </c>
      <c r="AG18" s="53">
        <f t="shared" ca="1" si="11"/>
        <v>2.9644303790550768</v>
      </c>
      <c r="AH18" s="53">
        <v>345950387</v>
      </c>
      <c r="AI18" s="53">
        <v>11332479</v>
      </c>
      <c r="AJ18" s="53">
        <f ca="1">INDIRECT("ZS(-1)",0) * 'Correction factor'!$C$13</f>
        <v>15716595.425458957</v>
      </c>
      <c r="AK18" s="53">
        <f t="shared" ca="1" si="12"/>
        <v>361666982.42545897</v>
      </c>
      <c r="AL18" s="53">
        <f t="shared" ca="1" si="13"/>
        <v>0.20525904611455784</v>
      </c>
      <c r="AM18" s="53">
        <v>218334793</v>
      </c>
      <c r="AN18" s="53">
        <v>1019492591</v>
      </c>
      <c r="AO18" s="53">
        <f ca="1">INDIRECT("ZS(-1)",0) * 'Correction factor'!$C$13</f>
        <v>1413896517.434526</v>
      </c>
      <c r="AP18" s="53">
        <f t="shared" ca="1" si="14"/>
        <v>1632231310.434526</v>
      </c>
      <c r="AQ18" s="53">
        <f t="shared" ca="1" si="15"/>
        <v>1.0599928088921444</v>
      </c>
      <c r="AR18" s="53">
        <v>268341588</v>
      </c>
      <c r="AS18" s="53">
        <v>10918658</v>
      </c>
      <c r="AT18" s="53">
        <f ca="1">INDIRECT("ZS(-1)",0) * 'Correction factor'!$C$13</f>
        <v>15142682.406466478</v>
      </c>
      <c r="AU18" s="53">
        <f t="shared" ca="1" si="16"/>
        <v>283484270.40646648</v>
      </c>
      <c r="AV18" s="53">
        <f t="shared" ca="1" si="17"/>
        <v>0.20286884146907677</v>
      </c>
      <c r="AW18" s="53">
        <v>125243033</v>
      </c>
      <c r="AX18" s="53">
        <v>11899139</v>
      </c>
      <c r="AY18" s="53">
        <f ca="1">INDIRECT("ZS(-1)",0) * 'Correction factor'!$C$13</f>
        <v>16502475.193141788</v>
      </c>
      <c r="AZ18" s="53">
        <f t="shared" ca="1" si="18"/>
        <v>141745508.19314179</v>
      </c>
      <c r="BA18" s="53">
        <f t="shared" ca="1" si="19"/>
        <v>9.738513728192269E-2</v>
      </c>
      <c r="BB18" s="53">
        <v>368755546</v>
      </c>
      <c r="BC18" s="53">
        <v>12265107</v>
      </c>
      <c r="BD18" s="53">
        <f ca="1">INDIRECT("ZS(-1)",0) * 'Correction factor'!$C$13</f>
        <v>17010022.658675533</v>
      </c>
      <c r="BE18" s="53">
        <f t="shared" ca="1" si="20"/>
        <v>385765568.65867555</v>
      </c>
      <c r="BF18" s="53">
        <f t="shared" ca="1" si="21"/>
        <v>0.26184512756188744</v>
      </c>
      <c r="BG18" s="53">
        <v>547149112</v>
      </c>
      <c r="BH18" s="53">
        <v>11213397</v>
      </c>
      <c r="BI18" s="53">
        <f ca="1">INDIRECT("ZS(-1)",0) * 'Correction factor'!$C$13</f>
        <v>15551445.00987429</v>
      </c>
      <c r="BJ18" s="53">
        <f t="shared" ca="1" si="22"/>
        <v>562700557.00987434</v>
      </c>
      <c r="BK18" s="53">
        <f t="shared" ca="1" si="23"/>
        <v>0.34273949719839397</v>
      </c>
      <c r="BL18" s="53">
        <v>429837766</v>
      </c>
      <c r="BM18" s="53">
        <v>5181813035</v>
      </c>
      <c r="BN18" s="53">
        <f ca="1">INDIRECT("ZS(-1)",0) * 'Correction factor'!$C$13</f>
        <v>7186464589.2098799</v>
      </c>
      <c r="BO18" s="53">
        <f t="shared" ca="1" si="24"/>
        <v>7616302355.2098799</v>
      </c>
      <c r="BP18" s="53">
        <f t="shared" ca="1" si="25"/>
        <v>36.528009119928782</v>
      </c>
      <c r="BQ18" s="53">
        <v>289609964</v>
      </c>
      <c r="BR18" s="53">
        <v>3872563556</v>
      </c>
      <c r="BS18" s="53">
        <f ca="1">INDIRECT("ZS(-1)",0) * 'Correction factor'!$C$13</f>
        <v>5370714974.9872618</v>
      </c>
      <c r="BT18" s="53">
        <f t="shared" ca="1" si="26"/>
        <v>5660324938.9872618</v>
      </c>
      <c r="BU18" s="53">
        <f t="shared" ca="1" si="27"/>
        <v>33.230972776674797</v>
      </c>
      <c r="BV18" s="53">
        <v>14920616</v>
      </c>
      <c r="BW18" s="53">
        <v>195782894</v>
      </c>
      <c r="BX18" s="53">
        <f ca="1">INDIRECT("ZS(-1)",0) * 'Correction factor'!$C$13</f>
        <v>271524044.84698498</v>
      </c>
      <c r="BY18" s="53">
        <f t="shared" ca="1" si="28"/>
        <v>286444660.84698498</v>
      </c>
      <c r="BZ18" s="53">
        <f t="shared" ca="1" si="29"/>
        <v>1.8230837711210699</v>
      </c>
      <c r="CA18" s="53">
        <v>401917954</v>
      </c>
      <c r="CB18" s="53">
        <v>5265776417</v>
      </c>
      <c r="CC18" s="53">
        <f ca="1">INDIRECT("ZS(-1)",0) * 'Correction factor'!$C$13</f>
        <v>7302910294.1123343</v>
      </c>
      <c r="CD18" s="53">
        <f t="shared" ca="1" si="30"/>
        <v>7704828248.1123343</v>
      </c>
      <c r="CE18" s="53">
        <f t="shared" ca="1" si="31"/>
        <v>43.611264699707945</v>
      </c>
      <c r="CF18" s="53">
        <v>22994940</v>
      </c>
      <c r="CG18" s="53">
        <v>10589843</v>
      </c>
      <c r="CH18" s="53">
        <f ca="1">INDIRECT("ZS(-1)",0) * 'Correction factor'!$C$13</f>
        <v>14686661.060667181</v>
      </c>
      <c r="CI18" s="53">
        <f t="shared" ca="1" si="32"/>
        <v>37681601.06066718</v>
      </c>
      <c r="CJ18" s="53">
        <f t="shared" ca="1" si="33"/>
        <v>0.27373620820875294</v>
      </c>
      <c r="CK18" s="53">
        <v>36205660</v>
      </c>
      <c r="CL18" s="53">
        <v>358326388</v>
      </c>
      <c r="CM18" s="53">
        <f ca="1">INDIRECT("ZS(-1)",0) * 'Correction factor'!$C$13</f>
        <v>496949596.85890716</v>
      </c>
      <c r="CN18" s="53">
        <f t="shared" ca="1" si="34"/>
        <v>533155256.85890716</v>
      </c>
      <c r="CO18" s="53">
        <f t="shared" ca="1" si="35"/>
        <v>3.8083551629137329</v>
      </c>
      <c r="CP18" s="53">
        <v>3832233134</v>
      </c>
      <c r="CQ18" s="53">
        <v>12799859</v>
      </c>
      <c r="CR18" s="53">
        <f ca="1">INDIRECT("ZS(-1)",0) * 'Correction factor'!$C$13</f>
        <v>17751650.402874749</v>
      </c>
      <c r="CS18" s="53">
        <f t="shared" ca="1" si="36"/>
        <v>3849984784.4028749</v>
      </c>
      <c r="CT18" s="53">
        <f t="shared" ca="1" si="37"/>
        <v>2.6227244494993092</v>
      </c>
      <c r="CU18" s="53">
        <v>3408920474</v>
      </c>
      <c r="CV18" s="53">
        <v>12385322</v>
      </c>
      <c r="CW18" s="53">
        <f ca="1">INDIRECT("ZS(-1)",0) * 'Correction factor'!$C$13</f>
        <v>17176744.389999416</v>
      </c>
      <c r="CX18" s="53">
        <f t="shared" ca="1" si="38"/>
        <v>3426097218.3899994</v>
      </c>
      <c r="CY18" s="53">
        <f t="shared" ca="1" si="39"/>
        <v>2.6213651393865831</v>
      </c>
      <c r="CZ18" s="53">
        <v>3126592051</v>
      </c>
      <c r="DA18" s="53">
        <v>91664660</v>
      </c>
      <c r="DB18" s="53">
        <f ca="1">INDIRECT("ZS(-1)",0) * 'Correction factor'!$C$13</f>
        <v>127126322.14295307</v>
      </c>
      <c r="DC18" s="53">
        <f t="shared" ca="1" si="40"/>
        <v>3253718373.1429529</v>
      </c>
      <c r="DD18" s="53">
        <f t="shared" ca="1" si="41"/>
        <v>2.1356205892748257</v>
      </c>
      <c r="DE18" s="53">
        <v>2923297582</v>
      </c>
      <c r="DF18" s="53">
        <v>213544420</v>
      </c>
      <c r="DG18" s="53">
        <f ca="1">INDIRECT("ZS(-1)",0) * 'Correction factor'!$C$13</f>
        <v>296156847.45626146</v>
      </c>
      <c r="DH18" s="53">
        <f t="shared" ca="1" si="42"/>
        <v>3219454429.4562616</v>
      </c>
      <c r="DI18" s="53">
        <f t="shared" ca="1" si="43"/>
        <v>2.3442057915682732</v>
      </c>
      <c r="DJ18" s="53">
        <v>2544776588</v>
      </c>
      <c r="DK18" s="53">
        <v>79517755</v>
      </c>
      <c r="DL18" s="53">
        <f ca="1">INDIRECT("ZS(-1)",0) * 'Correction factor'!$C$13</f>
        <v>110280229.46045309</v>
      </c>
      <c r="DM18" s="53">
        <f t="shared" ca="1" si="44"/>
        <v>2655056817.460453</v>
      </c>
      <c r="DN18" s="53">
        <f t="shared" ca="1" si="45"/>
        <v>2.1884047473736126</v>
      </c>
      <c r="DO18" s="53">
        <v>2784735734</v>
      </c>
      <c r="DP18" s="53">
        <v>82461418</v>
      </c>
      <c r="DQ18" s="53">
        <f ca="1">INDIRECT("ZS(-1)",0) * 'Correction factor'!$C$13</f>
        <v>114362686.65626107</v>
      </c>
      <c r="DR18" s="53">
        <f t="shared" ca="1" si="46"/>
        <v>2899098420.656261</v>
      </c>
      <c r="DS18" s="53">
        <f t="shared" ca="1" si="47"/>
        <v>2.1841784704021086</v>
      </c>
      <c r="DT18" s="53">
        <v>2711481165</v>
      </c>
      <c r="DU18" s="53">
        <v>396036232</v>
      </c>
      <c r="DV18" s="53">
        <f ca="1">INDIRECT("ZS(-1)",0) * 'Correction factor'!$C$13</f>
        <v>549247982.91417098</v>
      </c>
      <c r="DW18" s="53">
        <f t="shared" ca="1" si="48"/>
        <v>3260729147.9141712</v>
      </c>
      <c r="DX18" s="53">
        <f t="shared" ca="1" si="49"/>
        <v>2.4011186746225586</v>
      </c>
      <c r="DY18" s="53">
        <v>2922125872</v>
      </c>
      <c r="DZ18" s="53">
        <v>403032678</v>
      </c>
      <c r="EA18" s="53">
        <f ca="1">INDIRECT("ZS(-1)",0) * 'Correction factor'!$C$13</f>
        <v>558951094.75740242</v>
      </c>
      <c r="EB18" s="53">
        <f t="shared" ca="1" si="50"/>
        <v>3481076966.7574024</v>
      </c>
      <c r="EC18" s="53">
        <f t="shared" ca="1" si="51"/>
        <v>2.4618181078579262</v>
      </c>
      <c r="ED18" s="53">
        <v>2615139345</v>
      </c>
      <c r="EE18" s="53">
        <v>1007846998</v>
      </c>
      <c r="EF18" s="53">
        <f ca="1">INDIRECT("ZS(-1)",0) * 'Correction factor'!$C$13</f>
        <v>1397745675.7986794</v>
      </c>
      <c r="EG18" s="53">
        <f t="shared" ca="1" si="52"/>
        <v>4012885020.7986794</v>
      </c>
      <c r="EH18" s="53">
        <f t="shared" ca="1" si="53"/>
        <v>3.06791628182794</v>
      </c>
      <c r="EI18" s="53">
        <v>2552464922</v>
      </c>
      <c r="EJ18" s="53">
        <v>381834776</v>
      </c>
      <c r="EK18" s="53">
        <f ca="1">INDIRECT("ZS(-1)",0) * 'Correction factor'!$C$13</f>
        <v>529552509.54029965</v>
      </c>
      <c r="EL18" s="53">
        <f t="shared" ca="1" si="54"/>
        <v>3082017431.5402994</v>
      </c>
      <c r="EM18" s="53">
        <f t="shared" ca="1" si="55"/>
        <v>2.3418819912794655</v>
      </c>
      <c r="EN18" s="53">
        <v>3206912575</v>
      </c>
      <c r="EO18" s="53">
        <v>12536049</v>
      </c>
      <c r="EP18" s="53">
        <f ca="1">INDIRECT("ZS(-1)",0) * 'Correction factor'!$C$13</f>
        <v>17385782.084107928</v>
      </c>
      <c r="EQ18" s="53">
        <f t="shared" ca="1" si="56"/>
        <v>3224298357.0841079</v>
      </c>
      <c r="ER18" s="53">
        <f t="shared" ca="1" si="57"/>
        <v>2.1922550273338381</v>
      </c>
      <c r="ES18" s="53">
        <v>2816146758</v>
      </c>
      <c r="ET18" s="53">
        <v>14909342</v>
      </c>
      <c r="EU18" s="53">
        <f ca="1">INDIRECT("ZS(-1)",0) * 'Correction factor'!$C$13</f>
        <v>20677214.250633344</v>
      </c>
      <c r="EV18" s="53">
        <f t="shared" ca="1" si="58"/>
        <v>2836823972.2506332</v>
      </c>
      <c r="EW18" s="53">
        <f t="shared" ca="1" si="59"/>
        <v>1.9391466983417331</v>
      </c>
      <c r="EX18" s="53">
        <v>2420711819</v>
      </c>
      <c r="EY18" s="53">
        <v>11178802</v>
      </c>
      <c r="EZ18" s="53">
        <f ca="1">INDIRECT("ZS(-1)",0) * 'Correction factor'!$C$13</f>
        <v>15503466.485604027</v>
      </c>
      <c r="FA18" s="53">
        <f t="shared" ca="1" si="60"/>
        <v>2436215285.4856038</v>
      </c>
      <c r="FB18" s="53">
        <f t="shared" ca="1" si="61"/>
        <v>1.7369477711036512</v>
      </c>
      <c r="FC18" s="53">
        <v>2752321229</v>
      </c>
      <c r="FD18" s="53">
        <v>145042483</v>
      </c>
      <c r="FE18" s="53">
        <f ca="1">INDIRECT("ZS(-1)",0) * 'Correction factor'!$C$13</f>
        <v>201154048.00794324</v>
      </c>
      <c r="FF18" s="53">
        <f t="shared" ca="1" si="62"/>
        <v>2953475277.0079432</v>
      </c>
      <c r="FG18" s="53">
        <f t="shared" ca="1" si="63"/>
        <v>2.279328632747057</v>
      </c>
      <c r="FH18" s="53">
        <v>3693440470</v>
      </c>
      <c r="FI18" s="53">
        <v>49698450</v>
      </c>
      <c r="FJ18" s="53">
        <f ca="1">INDIRECT("ZS(-1)",0) * 'Correction factor'!$C$13</f>
        <v>68924939.717285216</v>
      </c>
      <c r="FK18" s="53">
        <f t="shared" ca="1" si="64"/>
        <v>3762365409.7172852</v>
      </c>
      <c r="FL18" s="53">
        <f t="shared" ca="1" si="65"/>
        <v>2.1195249011806099</v>
      </c>
      <c r="FM18" s="53">
        <v>3378250383</v>
      </c>
      <c r="FN18" s="53">
        <v>12349995</v>
      </c>
      <c r="FO18" s="53">
        <f ca="1">INDIRECT("ZS(-1)",0) * 'Correction factor'!$C$13</f>
        <v>17127750.682038855</v>
      </c>
      <c r="FP18" s="53">
        <f t="shared" ca="1" si="66"/>
        <v>3395378133.6820388</v>
      </c>
      <c r="FQ18" s="53">
        <f t="shared" ca="1" si="67"/>
        <v>2.3995533651382011</v>
      </c>
      <c r="FR18" s="53">
        <v>3361255472</v>
      </c>
      <c r="FS18" s="53">
        <v>15632046</v>
      </c>
      <c r="FT18" s="53">
        <f ca="1">INDIRECT("ZS(-1)",0) * 'Correction factor'!$C$13</f>
        <v>21679505.662808992</v>
      </c>
      <c r="FU18" s="53">
        <f t="shared" ca="1" si="68"/>
        <v>3382934977.6628089</v>
      </c>
      <c r="FV18" s="53">
        <f t="shared" ca="1" si="69"/>
        <v>2.3599511690068384</v>
      </c>
      <c r="FW18" s="53">
        <v>2754550209</v>
      </c>
      <c r="FX18" s="53">
        <v>741519941</v>
      </c>
      <c r="FY18" s="53">
        <f ca="1">INDIRECT("ZS(-1)",0) * 'Correction factor'!$C$13</f>
        <v>1028386543.898047</v>
      </c>
      <c r="FZ18" s="53">
        <f t="shared" ca="1" si="70"/>
        <v>3782936752.898047</v>
      </c>
      <c r="GA18" s="53">
        <f t="shared" ca="1" si="71"/>
        <v>3.0358036196672784</v>
      </c>
      <c r="GB18" s="53">
        <v>2590277564</v>
      </c>
      <c r="GC18" s="53">
        <v>13288217</v>
      </c>
      <c r="GD18" s="53">
        <f ca="1">INDIRECT("ZS(-1)",0) * 'Correction factor'!$C$13</f>
        <v>18428936.026681006</v>
      </c>
      <c r="GE18" s="53">
        <f t="shared" ca="1" si="72"/>
        <v>2608706500.0266809</v>
      </c>
      <c r="GF18" s="53">
        <f t="shared" ca="1" si="73"/>
        <v>1.8191691302700992</v>
      </c>
      <c r="GG18" s="53">
        <v>2041905835</v>
      </c>
      <c r="GH18" s="53">
        <v>14978054</v>
      </c>
      <c r="GI18" s="53">
        <f ca="1">INDIRECT("ZS(-1)",0) * 'Correction factor'!$C$13</f>
        <v>20772508.378676653</v>
      </c>
      <c r="GJ18" s="53">
        <f t="shared" ca="1" si="74"/>
        <v>2062678343.3786767</v>
      </c>
      <c r="GK18" s="53">
        <f t="shared" ca="1" si="75"/>
        <v>1.4382967333288115</v>
      </c>
      <c r="GL18" s="53">
        <v>774541203</v>
      </c>
      <c r="GM18" s="53">
        <v>124232754</v>
      </c>
      <c r="GN18" s="53">
        <f ca="1">INDIRECT("ZS(-1)",0) * 'Correction factor'!$C$13</f>
        <v>172293805.54850954</v>
      </c>
      <c r="GO18" s="53">
        <f t="shared" ca="1" si="76"/>
        <v>946835008.5485096</v>
      </c>
      <c r="GP18" s="53">
        <f t="shared" ca="1" si="77"/>
        <v>0.65317593914179672</v>
      </c>
      <c r="GQ18" s="53">
        <v>1120878651</v>
      </c>
      <c r="GR18" s="53">
        <v>9710458</v>
      </c>
      <c r="GS18" s="53">
        <f ca="1">INDIRECT("ZS(-1)",0) * 'Correction factor'!$C$13</f>
        <v>13467074.572290082</v>
      </c>
      <c r="GT18" s="53">
        <f t="shared" ca="1" si="78"/>
        <v>1134345725.5722902</v>
      </c>
      <c r="GU18" s="53">
        <f t="shared" ca="1" si="79"/>
        <v>1.1761849693173154</v>
      </c>
      <c r="GV18" s="53">
        <v>683198570</v>
      </c>
      <c r="GW18" s="53">
        <v>85503063</v>
      </c>
      <c r="GX18" s="53">
        <f ca="1">INDIRECT("ZS(-1)",0) * 'Correction factor'!$C$13</f>
        <v>118581031.4590946</v>
      </c>
      <c r="GY18" s="53">
        <f t="shared" ca="1" si="80"/>
        <v>801779601.45909464</v>
      </c>
      <c r="GZ18" s="53">
        <f t="shared" ca="1" si="81"/>
        <v>0.56918848994310478</v>
      </c>
      <c r="HA18" s="53">
        <v>408969734</v>
      </c>
      <c r="HB18" s="53">
        <v>291415687</v>
      </c>
      <c r="HC18" s="53">
        <f ca="1">INDIRECT("ZS(-1)",0) * 'Correction factor'!$C$13</f>
        <v>404153623.68738377</v>
      </c>
      <c r="HD18" s="53">
        <f t="shared" ca="1" si="82"/>
        <v>813123357.68738377</v>
      </c>
      <c r="HE18" s="53">
        <f t="shared" ca="1" si="83"/>
        <v>0.59551244326222219</v>
      </c>
      <c r="HF18" s="53">
        <v>467739578</v>
      </c>
      <c r="HG18" s="53">
        <v>1344600549</v>
      </c>
      <c r="HH18" s="53">
        <f ca="1">INDIRECT("ZS(-1)",0) * 'Correction factor'!$C$13</f>
        <v>1864776703.9747438</v>
      </c>
      <c r="HI18" s="53">
        <f t="shared" ca="1" si="84"/>
        <v>2332516281.9747438</v>
      </c>
      <c r="HJ18" s="53">
        <f t="shared" ca="1" si="85"/>
        <v>1.7182013204864335</v>
      </c>
      <c r="HK18" s="53">
        <v>339687408</v>
      </c>
      <c r="HL18" s="53">
        <v>1621649988</v>
      </c>
      <c r="HM18" s="53">
        <f ca="1">INDIRECT("ZS(-1)",0) * 'Correction factor'!$C$13</f>
        <v>2249006310.3665466</v>
      </c>
      <c r="HN18" s="53">
        <f t="shared" ca="1" si="86"/>
        <v>2588693718.3665466</v>
      </c>
      <c r="HO18" s="53">
        <f t="shared" ca="1" si="87"/>
        <v>1.9271382626935945</v>
      </c>
      <c r="HP18" s="53">
        <v>564528352</v>
      </c>
      <c r="HQ18" s="53">
        <v>10021280</v>
      </c>
      <c r="HR18" s="53">
        <f ca="1">INDIRECT("ZS(-1)",0) * 'Correction factor'!$C$13</f>
        <v>13898142.092762168</v>
      </c>
      <c r="HS18" s="53">
        <f t="shared" ca="1" si="88"/>
        <v>578426494.09276211</v>
      </c>
      <c r="HT18" s="53">
        <f t="shared" ca="1" si="89"/>
        <v>0.37498953380607808</v>
      </c>
      <c r="HU18" s="53">
        <v>579324483</v>
      </c>
      <c r="HV18" s="53">
        <v>38751297</v>
      </c>
      <c r="HW18" s="53">
        <f ca="1">INDIRECT("ZS(-1)",0) * 'Correction factor'!$C$13</f>
        <v>53742738.650634289</v>
      </c>
      <c r="HX18" s="53">
        <f t="shared" ca="1" si="90"/>
        <v>633067221.65063429</v>
      </c>
      <c r="HY18" s="53">
        <f t="shared" ca="1" si="91"/>
        <v>0.49676991104392842</v>
      </c>
      <c r="HZ18" s="53">
        <v>634752463</v>
      </c>
      <c r="IA18" s="53">
        <v>844778984</v>
      </c>
      <c r="IB18" s="53">
        <f ca="1">INDIRECT("ZS(-1)",0) * 'Correction factor'!$C$13</f>
        <v>1171592686.4244146</v>
      </c>
      <c r="IC18" s="53">
        <f t="shared" ca="1" si="92"/>
        <v>1806345149.4244146</v>
      </c>
      <c r="ID18" s="53">
        <f t="shared" ca="1" si="93"/>
        <v>1.400699317490832</v>
      </c>
      <c r="IE18" s="53">
        <v>500013277</v>
      </c>
      <c r="IF18" s="53">
        <v>11155562</v>
      </c>
      <c r="IG18" s="53">
        <f ca="1">INDIRECT("ZS(-1)",0) * 'Correction factor'!$C$13</f>
        <v>15471235.790300054</v>
      </c>
      <c r="IH18" s="53">
        <f t="shared" ca="1" si="94"/>
        <v>515484512.79030007</v>
      </c>
      <c r="II18" s="61">
        <f t="shared" ca="1" si="95"/>
        <v>0.39445476736006418</v>
      </c>
    </row>
    <row r="19" spans="1:243" s="3" customFormat="1" x14ac:dyDescent="0.25">
      <c r="A19" s="57">
        <v>15</v>
      </c>
      <c r="B19" s="56">
        <v>45506</v>
      </c>
      <c r="C19" s="29" t="s">
        <v>39</v>
      </c>
      <c r="D19" s="52">
        <v>5261920920</v>
      </c>
      <c r="E19" s="53">
        <v>14615444</v>
      </c>
      <c r="F19" s="53">
        <f ca="1">INDIRECT("ZS(-1)",0) * 'Correction factor'!$C$13</f>
        <v>20269617.998979002</v>
      </c>
      <c r="G19" s="53">
        <f t="shared" ca="1" si="0"/>
        <v>5282190537.9989786</v>
      </c>
      <c r="H19" s="53">
        <f t="shared" ca="1" si="1"/>
        <v>3.8203303204424399</v>
      </c>
      <c r="I19" s="53">
        <v>3483221111</v>
      </c>
      <c r="J19" s="53">
        <v>22158442</v>
      </c>
      <c r="K19" s="53">
        <f ca="1">INDIRECT("ZS(-1)",0) * 'Correction factor'!$C$13</f>
        <v>30730722.56939524</v>
      </c>
      <c r="L19" s="53">
        <f t="shared" ca="1" si="2"/>
        <v>3513951833.5693951</v>
      </c>
      <c r="M19" s="53">
        <f t="shared" ca="1" si="3"/>
        <v>2.3034075448210496</v>
      </c>
      <c r="N19" s="53">
        <v>4765531707</v>
      </c>
      <c r="O19" s="53">
        <v>13516045</v>
      </c>
      <c r="P19" s="53">
        <f ca="1">INDIRECT("ZS(-1)",0) * 'Correction factor'!$C$13</f>
        <v>18744902.242245268</v>
      </c>
      <c r="Q19" s="53">
        <f t="shared" ca="1" si="4"/>
        <v>4784276609.2422457</v>
      </c>
      <c r="R19" s="53">
        <f t="shared" ca="1" si="5"/>
        <v>3.7245761478999642</v>
      </c>
      <c r="S19" s="53">
        <v>3632364665</v>
      </c>
      <c r="T19" s="53">
        <v>12120290</v>
      </c>
      <c r="U19" s="53">
        <f ca="1">INDIRECT("ZS(-1)",0) * 'Correction factor'!$C$13</f>
        <v>16809181.3246895</v>
      </c>
      <c r="V19" s="53">
        <f t="shared" ca="1" si="6"/>
        <v>3649173846.3246894</v>
      </c>
      <c r="W19" s="53">
        <f t="shared" ca="1" si="7"/>
        <v>2.491110550191546</v>
      </c>
      <c r="X19" s="53">
        <v>4576121183</v>
      </c>
      <c r="Y19" s="53">
        <v>15452745</v>
      </c>
      <c r="Z19" s="53">
        <f ca="1">INDIRECT("ZS(-1)",0) * 'Correction factor'!$C$13</f>
        <v>21430839.746341798</v>
      </c>
      <c r="AA19" s="53">
        <f t="shared" ca="1" si="8"/>
        <v>4597552022.7463417</v>
      </c>
      <c r="AB19" s="53">
        <f t="shared" ca="1" si="9"/>
        <v>3.2064676684019777</v>
      </c>
      <c r="AC19" s="53">
        <v>6204623157</v>
      </c>
      <c r="AD19" s="53">
        <v>21753207</v>
      </c>
      <c r="AE19" s="53">
        <f ca="1">INDIRECT("ZS(-1)",0) * 'Correction factor'!$C$13</f>
        <v>30168717.155819282</v>
      </c>
      <c r="AF19" s="53">
        <f t="shared" ca="1" si="10"/>
        <v>6234791874.1558189</v>
      </c>
      <c r="AG19" s="53">
        <f t="shared" ca="1" si="11"/>
        <v>4.0221522724569754</v>
      </c>
      <c r="AH19" s="53">
        <v>308603525</v>
      </c>
      <c r="AI19" s="53">
        <v>11243742</v>
      </c>
      <c r="AJ19" s="53">
        <f ca="1">INDIRECT("ZS(-1)",0) * 'Correction factor'!$C$13</f>
        <v>15593529.366543785</v>
      </c>
      <c r="AK19" s="53">
        <f t="shared" ca="1" si="12"/>
        <v>324197054.36654377</v>
      </c>
      <c r="AL19" s="53">
        <f t="shared" ca="1" si="13"/>
        <v>0.18399351161711669</v>
      </c>
      <c r="AM19" s="53">
        <v>224384076</v>
      </c>
      <c r="AN19" s="53">
        <v>1421155818</v>
      </c>
      <c r="AO19" s="53">
        <f ca="1">INDIRECT("ZS(-1)",0) * 'Correction factor'!$C$13</f>
        <v>1970948371.317801</v>
      </c>
      <c r="AP19" s="53">
        <f t="shared" ca="1" si="14"/>
        <v>2195332447.317801</v>
      </c>
      <c r="AQ19" s="53">
        <f t="shared" ca="1" si="15"/>
        <v>1.4256782065190057</v>
      </c>
      <c r="AR19" s="53">
        <v>232795566</v>
      </c>
      <c r="AS19" s="53">
        <v>11660231</v>
      </c>
      <c r="AT19" s="53">
        <f ca="1">INDIRECT("ZS(-1)",0) * 'Correction factor'!$C$13</f>
        <v>16171142.53592658</v>
      </c>
      <c r="AU19" s="53">
        <f t="shared" ca="1" si="16"/>
        <v>248966708.53592658</v>
      </c>
      <c r="AV19" s="53">
        <f t="shared" ca="1" si="17"/>
        <v>0.17816716127718041</v>
      </c>
      <c r="AW19" s="53">
        <v>108900024</v>
      </c>
      <c r="AX19" s="53">
        <v>12267756</v>
      </c>
      <c r="AY19" s="53">
        <f ca="1">INDIRECT("ZS(-1)",0) * 'Correction factor'!$C$13</f>
        <v>17013696.458669517</v>
      </c>
      <c r="AZ19" s="53">
        <f t="shared" ca="1" si="18"/>
        <v>125913720.45866951</v>
      </c>
      <c r="BA19" s="53">
        <f t="shared" ca="1" si="19"/>
        <v>8.6508031957082218E-2</v>
      </c>
      <c r="BB19" s="53">
        <v>323922154</v>
      </c>
      <c r="BC19" s="53">
        <v>12513033</v>
      </c>
      <c r="BD19" s="53">
        <f ca="1">INDIRECT("ZS(-1)",0) * 'Correction factor'!$C$13</f>
        <v>17353862.046108089</v>
      </c>
      <c r="BE19" s="53">
        <f t="shared" ca="1" si="20"/>
        <v>341276016.04610807</v>
      </c>
      <c r="BF19" s="53">
        <f t="shared" ca="1" si="21"/>
        <v>0.23164706551214456</v>
      </c>
      <c r="BG19" s="53">
        <v>473042889</v>
      </c>
      <c r="BH19" s="53">
        <v>11374071</v>
      </c>
      <c r="BI19" s="53">
        <f ca="1">INDIRECT("ZS(-1)",0) * 'Correction factor'!$C$13</f>
        <v>15774277.829894533</v>
      </c>
      <c r="BJ19" s="53">
        <f t="shared" ca="1" si="22"/>
        <v>488817166.82989454</v>
      </c>
      <c r="BK19" s="53">
        <f t="shared" ca="1" si="23"/>
        <v>0.29773730964741441</v>
      </c>
      <c r="BL19" s="53">
        <v>506846276</v>
      </c>
      <c r="BM19" s="53">
        <v>6068843393</v>
      </c>
      <c r="BN19" s="53">
        <f ca="1">INDIRECT("ZS(-1)",0) * 'Correction factor'!$C$13</f>
        <v>8416654141.4504814</v>
      </c>
      <c r="BO19" s="53">
        <f t="shared" ca="1" si="24"/>
        <v>8923500417.4504814</v>
      </c>
      <c r="BP19" s="53">
        <f t="shared" ca="1" si="25"/>
        <v>42.797369304456552</v>
      </c>
      <c r="BQ19" s="53">
        <v>371167231</v>
      </c>
      <c r="BR19" s="53">
        <v>4828233201</v>
      </c>
      <c r="BS19" s="53">
        <f ca="1">INDIRECT("ZS(-1)",0) * 'Correction factor'!$C$13</f>
        <v>6696097812.304409</v>
      </c>
      <c r="BT19" s="53">
        <f t="shared" ca="1" si="26"/>
        <v>7067265043.304409</v>
      </c>
      <c r="BU19" s="53">
        <f t="shared" ca="1" si="27"/>
        <v>41.490920537437141</v>
      </c>
      <c r="BV19" s="53">
        <v>13284765</v>
      </c>
      <c r="BW19" s="53">
        <v>151271002</v>
      </c>
      <c r="BX19" s="53">
        <f ca="1">INDIRECT("ZS(-1)",0) * 'Correction factor'!$C$13</f>
        <v>209792150.33513784</v>
      </c>
      <c r="BY19" s="53">
        <f t="shared" ca="1" si="28"/>
        <v>223076915.33513784</v>
      </c>
      <c r="BZ19" s="53">
        <f t="shared" ca="1" si="29"/>
        <v>1.4197782666177399</v>
      </c>
      <c r="CA19" s="53">
        <v>478450152</v>
      </c>
      <c r="CB19" s="53">
        <v>6190780230</v>
      </c>
      <c r="CC19" s="53">
        <f ca="1">INDIRECT("ZS(-1)",0) * 'Correction factor'!$C$13</f>
        <v>8585763824.7412367</v>
      </c>
      <c r="CD19" s="53">
        <f t="shared" ca="1" si="30"/>
        <v>9064213976.7412376</v>
      </c>
      <c r="CE19" s="53">
        <f t="shared" ca="1" si="31"/>
        <v>51.30572964183888</v>
      </c>
      <c r="CF19" s="53">
        <v>13114083</v>
      </c>
      <c r="CG19" s="53">
        <v>9646031</v>
      </c>
      <c r="CH19" s="53">
        <f ca="1">INDIRECT("ZS(-1)",0) * 'Correction factor'!$C$13</f>
        <v>13377723.152051311</v>
      </c>
      <c r="CI19" s="53">
        <f t="shared" ca="1" si="32"/>
        <v>26491806.152051311</v>
      </c>
      <c r="CJ19" s="53">
        <f t="shared" ca="1" si="33"/>
        <v>0.19244847247834651</v>
      </c>
      <c r="CK19" s="53">
        <v>40088316</v>
      </c>
      <c r="CL19" s="53">
        <v>413911721</v>
      </c>
      <c r="CM19" s="53">
        <f ca="1">INDIRECT("ZS(-1)",0) * 'Correction factor'!$C$13</f>
        <v>574038836.58751488</v>
      </c>
      <c r="CN19" s="53">
        <f t="shared" ca="1" si="34"/>
        <v>614127152.58751488</v>
      </c>
      <c r="CO19" s="53">
        <f t="shared" ca="1" si="35"/>
        <v>4.3867415394557572</v>
      </c>
      <c r="CP19" s="53">
        <v>4092908061</v>
      </c>
      <c r="CQ19" s="53">
        <v>13420721</v>
      </c>
      <c r="CR19" s="53">
        <f ca="1">INDIRECT("ZS(-1)",0) * 'Correction factor'!$C$13</f>
        <v>18612700.916980386</v>
      </c>
      <c r="CS19" s="53">
        <f t="shared" ca="1" si="36"/>
        <v>4111520761.9169803</v>
      </c>
      <c r="CT19" s="53">
        <f t="shared" ca="1" si="37"/>
        <v>2.8008905569158435</v>
      </c>
      <c r="CU19" s="53">
        <v>3667746856</v>
      </c>
      <c r="CV19" s="53">
        <v>12358219</v>
      </c>
      <c r="CW19" s="53">
        <f ca="1">INDIRECT("ZS(-1)",0) * 'Correction factor'!$C$13</f>
        <v>17139156.243062083</v>
      </c>
      <c r="CX19" s="53">
        <f t="shared" ca="1" si="38"/>
        <v>3684886012.243062</v>
      </c>
      <c r="CY19" s="53">
        <f t="shared" ca="1" si="39"/>
        <v>2.8193688384728293</v>
      </c>
      <c r="CZ19" s="53">
        <v>3391586193</v>
      </c>
      <c r="DA19" s="53">
        <v>116860166</v>
      </c>
      <c r="DB19" s="53">
        <f ca="1">INDIRECT("ZS(-1)",0) * 'Correction factor'!$C$13</f>
        <v>162069036.29593968</v>
      </c>
      <c r="DC19" s="53">
        <f t="shared" ca="1" si="40"/>
        <v>3553655229.2959394</v>
      </c>
      <c r="DD19" s="53">
        <f t="shared" ca="1" si="41"/>
        <v>2.3324880658118117</v>
      </c>
      <c r="DE19" s="53">
        <v>3204815501</v>
      </c>
      <c r="DF19" s="53">
        <v>262042080</v>
      </c>
      <c r="DG19" s="53">
        <f ca="1">INDIRECT("ZS(-1)",0) * 'Correction factor'!$C$13</f>
        <v>363416455.99394006</v>
      </c>
      <c r="DH19" s="53">
        <f t="shared" ca="1" si="42"/>
        <v>3568231956.9939399</v>
      </c>
      <c r="DI19" s="53">
        <f t="shared" ca="1" si="43"/>
        <v>2.5981638201528789</v>
      </c>
      <c r="DJ19" s="53">
        <v>2764407141</v>
      </c>
      <c r="DK19" s="53">
        <v>114042160</v>
      </c>
      <c r="DL19" s="53">
        <f ca="1">INDIRECT("ZS(-1)",0) * 'Correction factor'!$C$13</f>
        <v>158160848.13971052</v>
      </c>
      <c r="DM19" s="53">
        <f t="shared" ca="1" si="44"/>
        <v>2922567989.1397104</v>
      </c>
      <c r="DN19" s="53">
        <f t="shared" ca="1" si="45"/>
        <v>2.4088982276744666</v>
      </c>
      <c r="DO19" s="53">
        <v>3009903550</v>
      </c>
      <c r="DP19" s="53">
        <v>107267390</v>
      </c>
      <c r="DQ19" s="53">
        <f ca="1">INDIRECT("ZS(-1)",0) * 'Correction factor'!$C$13</f>
        <v>148765170.53108343</v>
      </c>
      <c r="DR19" s="53">
        <f t="shared" ca="1" si="46"/>
        <v>3158668720.5310836</v>
      </c>
      <c r="DS19" s="53">
        <f t="shared" ca="1" si="47"/>
        <v>2.3797385302134164</v>
      </c>
      <c r="DT19" s="53">
        <v>2807826225</v>
      </c>
      <c r="DU19" s="53">
        <v>545084562</v>
      </c>
      <c r="DV19" s="53">
        <f ca="1">INDIRECT("ZS(-1)",0) * 'Correction factor'!$C$13</f>
        <v>755957591.76941776</v>
      </c>
      <c r="DW19" s="53">
        <f t="shared" ca="1" si="48"/>
        <v>3563783816.7694178</v>
      </c>
      <c r="DX19" s="53">
        <f t="shared" ca="1" si="49"/>
        <v>2.6242804865397997</v>
      </c>
      <c r="DY19" s="53">
        <v>3106848885</v>
      </c>
      <c r="DZ19" s="53">
        <v>544190379</v>
      </c>
      <c r="EA19" s="53">
        <f ca="1">INDIRECT("ZS(-1)",0) * 'Correction factor'!$C$13</f>
        <v>754717482.4828862</v>
      </c>
      <c r="EB19" s="53">
        <f t="shared" ca="1" si="50"/>
        <v>3861566367.4828863</v>
      </c>
      <c r="EC19" s="53">
        <f t="shared" ca="1" si="51"/>
        <v>2.730900264184545</v>
      </c>
      <c r="ED19" s="53">
        <v>896732020</v>
      </c>
      <c r="EE19" s="53">
        <v>737013163</v>
      </c>
      <c r="EF19" s="53">
        <f ca="1">INDIRECT("ZS(-1)",0) * 'Correction factor'!$C$13</f>
        <v>1022136260.3988798</v>
      </c>
      <c r="EG19" s="53">
        <f t="shared" ca="1" si="52"/>
        <v>1918868280.3988798</v>
      </c>
      <c r="EH19" s="53">
        <f t="shared" ca="1" si="53"/>
        <v>1.4670062086521574</v>
      </c>
      <c r="EI19" s="53">
        <v>2667777287</v>
      </c>
      <c r="EJ19" s="53">
        <v>484921143</v>
      </c>
      <c r="EK19" s="53">
        <f ca="1">INDIRECT("ZS(-1)",0) * 'Correction factor'!$C$13</f>
        <v>672519174.11734259</v>
      </c>
      <c r="EL19" s="53">
        <f t="shared" ca="1" si="54"/>
        <v>3340296461.1173425</v>
      </c>
      <c r="EM19" s="53">
        <f t="shared" ca="1" si="55"/>
        <v>2.5381362375733687</v>
      </c>
      <c r="EN19" s="53">
        <v>3409381597</v>
      </c>
      <c r="EO19" s="53">
        <v>12683255</v>
      </c>
      <c r="EP19" s="53">
        <f ca="1">INDIRECT("ZS(-1)",0) * 'Correction factor'!$C$13</f>
        <v>17589936.633717075</v>
      </c>
      <c r="EQ19" s="53">
        <f t="shared" ca="1" si="56"/>
        <v>3426971533.6337171</v>
      </c>
      <c r="ER19" s="53">
        <f t="shared" ca="1" si="57"/>
        <v>2.3300559505084579</v>
      </c>
      <c r="ES19" s="53">
        <v>3055722667</v>
      </c>
      <c r="ET19" s="53">
        <v>15627435</v>
      </c>
      <c r="EU19" s="53">
        <f ca="1">INDIRECT("ZS(-1)",0) * 'Correction factor'!$C$13</f>
        <v>21673110.8376779</v>
      </c>
      <c r="EV19" s="53">
        <f t="shared" ca="1" si="58"/>
        <v>3077395777.837678</v>
      </c>
      <c r="EW19" s="53">
        <f t="shared" ca="1" si="59"/>
        <v>2.1035925811605107</v>
      </c>
      <c r="EX19" s="53">
        <v>2653309103</v>
      </c>
      <c r="EY19" s="53">
        <v>11055697</v>
      </c>
      <c r="EZ19" s="53">
        <f ca="1">INDIRECT("ZS(-1)",0) * 'Correction factor'!$C$13</f>
        <v>15332736.720311619</v>
      </c>
      <c r="FA19" s="53">
        <f t="shared" ca="1" si="60"/>
        <v>2668641839.7203116</v>
      </c>
      <c r="FB19" s="53">
        <f t="shared" ca="1" si="61"/>
        <v>1.9026608703229622</v>
      </c>
      <c r="FC19" s="53">
        <v>3007691956</v>
      </c>
      <c r="FD19" s="53">
        <v>191538000</v>
      </c>
      <c r="FE19" s="53">
        <f ca="1">INDIRECT("ZS(-1)",0) * 'Correction factor'!$C$13</f>
        <v>265636958.56851423</v>
      </c>
      <c r="FF19" s="53">
        <f t="shared" ca="1" si="62"/>
        <v>3273328914.5685143</v>
      </c>
      <c r="FG19" s="53">
        <f t="shared" ca="1" si="63"/>
        <v>2.5261739542757629</v>
      </c>
      <c r="FH19" s="53">
        <v>3987369402</v>
      </c>
      <c r="FI19" s="53">
        <v>60044434</v>
      </c>
      <c r="FJ19" s="53">
        <f ca="1">INDIRECT("ZS(-1)",0) * 'Correction factor'!$C$13</f>
        <v>83273401.762198031</v>
      </c>
      <c r="FK19" s="53">
        <f t="shared" ca="1" si="64"/>
        <v>4070642803.762198</v>
      </c>
      <c r="FL19" s="53">
        <f t="shared" ca="1" si="65"/>
        <v>2.2931926718500084</v>
      </c>
      <c r="FM19" s="53">
        <v>3698313350</v>
      </c>
      <c r="FN19" s="53">
        <v>13493643</v>
      </c>
      <c r="FO19" s="53">
        <f ca="1">INDIRECT("ZS(-1)",0) * 'Correction factor'!$C$13</f>
        <v>18713833.738105871</v>
      </c>
      <c r="FP19" s="53">
        <f t="shared" ca="1" si="66"/>
        <v>3717027183.7381058</v>
      </c>
      <c r="FQ19" s="53">
        <f t="shared" ca="1" si="67"/>
        <v>2.626866503783694</v>
      </c>
      <c r="FR19" s="53">
        <v>3736225298</v>
      </c>
      <c r="FS19" s="53">
        <v>16614433</v>
      </c>
      <c r="FT19" s="53">
        <f ca="1">INDIRECT("ZS(-1)",0) * 'Correction factor'!$C$13</f>
        <v>23041941.810295377</v>
      </c>
      <c r="FU19" s="53">
        <f t="shared" ca="1" si="68"/>
        <v>3759267239.8102956</v>
      </c>
      <c r="FV19" s="53">
        <f t="shared" ca="1" si="69"/>
        <v>2.6224823047969603</v>
      </c>
      <c r="FW19" s="53">
        <v>2881121728</v>
      </c>
      <c r="FX19" s="53">
        <v>1035092415</v>
      </c>
      <c r="FY19" s="53">
        <f ca="1">INDIRECT("ZS(-1)",0) * 'Correction factor'!$C$13</f>
        <v>1435531335.5988803</v>
      </c>
      <c r="FZ19" s="53">
        <f t="shared" ca="1" si="70"/>
        <v>4316653063.5988808</v>
      </c>
      <c r="GA19" s="53">
        <f t="shared" ca="1" si="71"/>
        <v>3.4641105181793415</v>
      </c>
      <c r="GB19" s="53">
        <v>2871101928</v>
      </c>
      <c r="GC19" s="53">
        <v>14833027</v>
      </c>
      <c r="GD19" s="53">
        <f ca="1">INDIRECT("ZS(-1)",0) * 'Correction factor'!$C$13</f>
        <v>20571375.803467996</v>
      </c>
      <c r="GE19" s="53">
        <f t="shared" ca="1" si="72"/>
        <v>2891673303.8034682</v>
      </c>
      <c r="GF19" s="53">
        <f t="shared" ca="1" si="73"/>
        <v>2.0164946915460278</v>
      </c>
      <c r="GG19" s="53">
        <v>2241159337</v>
      </c>
      <c r="GH19" s="53">
        <v>15473585</v>
      </c>
      <c r="GI19" s="53">
        <f ca="1">INDIRECT("ZS(-1)",0) * 'Correction factor'!$C$13</f>
        <v>21459741.970530044</v>
      </c>
      <c r="GJ19" s="53">
        <f t="shared" ca="1" si="74"/>
        <v>2262619078.97053</v>
      </c>
      <c r="GK19" s="53">
        <f t="shared" ca="1" si="75"/>
        <v>1.5777145479310022</v>
      </c>
      <c r="GL19" s="53">
        <v>744390097</v>
      </c>
      <c r="GM19" s="53">
        <v>163142920</v>
      </c>
      <c r="GN19" s="53">
        <f ca="1">INDIRECT("ZS(-1)",0) * 'Correction factor'!$C$13</f>
        <v>226256873.73151246</v>
      </c>
      <c r="GO19" s="53">
        <f t="shared" ca="1" si="76"/>
        <v>970646970.73151243</v>
      </c>
      <c r="GP19" s="53">
        <f t="shared" ca="1" si="77"/>
        <v>0.66960266673558844</v>
      </c>
      <c r="GQ19" s="53">
        <v>1396176245</v>
      </c>
      <c r="GR19" s="53">
        <v>9290951</v>
      </c>
      <c r="GS19" s="53">
        <f ca="1">INDIRECT("ZS(-1)",0) * 'Correction factor'!$C$13</f>
        <v>12885275.850479256</v>
      </c>
      <c r="GT19" s="53">
        <f t="shared" ca="1" si="78"/>
        <v>1409061520.8504794</v>
      </c>
      <c r="GU19" s="53">
        <f t="shared" ca="1" si="79"/>
        <v>1.4610333907077542</v>
      </c>
      <c r="GV19" s="53">
        <v>844992608</v>
      </c>
      <c r="GW19" s="53">
        <v>103573504</v>
      </c>
      <c r="GX19" s="53">
        <f ca="1">INDIRECT("ZS(-1)",0) * 'Correction factor'!$C$13</f>
        <v>143642256.84116909</v>
      </c>
      <c r="GY19" s="53">
        <f t="shared" ca="1" si="80"/>
        <v>988634864.84116912</v>
      </c>
      <c r="GZ19" s="53">
        <f t="shared" ca="1" si="81"/>
        <v>0.70183824183104948</v>
      </c>
      <c r="HA19" s="53">
        <v>436950636</v>
      </c>
      <c r="HB19" s="53">
        <v>418822077</v>
      </c>
      <c r="HC19" s="53">
        <f ca="1">INDIRECT("ZS(-1)",0) * 'Correction factor'!$C$13</f>
        <v>580848827.46832526</v>
      </c>
      <c r="HD19" s="53">
        <f t="shared" ca="1" si="82"/>
        <v>1017799463.4683253</v>
      </c>
      <c r="HE19" s="53">
        <f t="shared" ca="1" si="83"/>
        <v>0.745412414378126</v>
      </c>
      <c r="HF19" s="53">
        <v>462148811</v>
      </c>
      <c r="HG19" s="53">
        <v>1830390368</v>
      </c>
      <c r="HH19" s="53">
        <f ca="1">INDIRECT("ZS(-1)",0) * 'Correction factor'!$C$13</f>
        <v>2538500612.6649728</v>
      </c>
      <c r="HI19" s="53">
        <f t="shared" ca="1" si="84"/>
        <v>3000649423.6649728</v>
      </c>
      <c r="HJ19" s="53">
        <f t="shared" ca="1" si="85"/>
        <v>2.2103681941688746</v>
      </c>
      <c r="HK19" s="53">
        <v>357691013</v>
      </c>
      <c r="HL19" s="53">
        <v>2270407480</v>
      </c>
      <c r="HM19" s="53">
        <f ca="1">INDIRECT("ZS(-1)",0) * 'Correction factor'!$C$13</f>
        <v>3148744049.2142801</v>
      </c>
      <c r="HN19" s="53">
        <f t="shared" ca="1" si="86"/>
        <v>3506435062.2142801</v>
      </c>
      <c r="HO19" s="53">
        <f t="shared" ca="1" si="87"/>
        <v>2.6103455677666694</v>
      </c>
      <c r="HP19" s="53">
        <v>592232999</v>
      </c>
      <c r="HQ19" s="53">
        <v>10186851</v>
      </c>
      <c r="HR19" s="53">
        <f ca="1">INDIRECT("ZS(-1)",0) * 'Correction factor'!$C$13</f>
        <v>14127766.380721465</v>
      </c>
      <c r="HS19" s="53">
        <f t="shared" ca="1" si="88"/>
        <v>606360765.38072145</v>
      </c>
      <c r="HT19" s="53">
        <f t="shared" ca="1" si="89"/>
        <v>0.39309911121040164</v>
      </c>
      <c r="HU19" s="53">
        <v>540433569</v>
      </c>
      <c r="HV19" s="53">
        <v>49589537</v>
      </c>
      <c r="HW19" s="53">
        <f ca="1">INDIRECT("ZS(-1)",0) * 'Correction factor'!$C$13</f>
        <v>68773892.311190486</v>
      </c>
      <c r="HX19" s="53">
        <f t="shared" ca="1" si="90"/>
        <v>609207461.31119049</v>
      </c>
      <c r="HY19" s="53">
        <f t="shared" ca="1" si="91"/>
        <v>0.47804707938246538</v>
      </c>
      <c r="HZ19" s="53">
        <v>638078217</v>
      </c>
      <c r="IA19" s="53">
        <v>1099357819</v>
      </c>
      <c r="IB19" s="53">
        <f ca="1">INDIRECT("ZS(-1)",0) * 'Correction factor'!$C$13</f>
        <v>1524658644.3299773</v>
      </c>
      <c r="IC19" s="53">
        <f t="shared" ca="1" si="92"/>
        <v>2162736861.329977</v>
      </c>
      <c r="ID19" s="53">
        <f t="shared" ca="1" si="93"/>
        <v>1.6770571485424324</v>
      </c>
      <c r="IE19" s="53">
        <v>455527324</v>
      </c>
      <c r="IF19" s="53">
        <v>11062359</v>
      </c>
      <c r="IG19" s="53">
        <f ca="1">INDIRECT("ZS(-1)",0) * 'Correction factor'!$C$13</f>
        <v>15341976.001383698</v>
      </c>
      <c r="IH19" s="53">
        <f t="shared" ca="1" si="94"/>
        <v>470869300.00138372</v>
      </c>
      <c r="II19" s="61">
        <f t="shared" ca="1" si="95"/>
        <v>0.36031468566078928</v>
      </c>
    </row>
    <row r="20" spans="1:243" s="3" customFormat="1" x14ac:dyDescent="0.25">
      <c r="A20" s="57">
        <v>16</v>
      </c>
      <c r="B20" s="56">
        <v>45507</v>
      </c>
      <c r="C20" s="29" t="s">
        <v>40</v>
      </c>
      <c r="D20" s="52">
        <v>5512979610</v>
      </c>
      <c r="E20" s="53">
        <v>15887235</v>
      </c>
      <c r="F20" s="53">
        <f ca="1">INDIRECT("ZS(-1)",0) * 'Correction factor'!$C$13</f>
        <v>22033417.835955523</v>
      </c>
      <c r="G20" s="53">
        <f t="shared" ca="1" si="0"/>
        <v>5535013027.8359556</v>
      </c>
      <c r="H20" s="53">
        <f t="shared" ca="1" si="1"/>
        <v>4.003183516794544</v>
      </c>
      <c r="I20" s="53">
        <v>3788486874</v>
      </c>
      <c r="J20" s="53">
        <v>23461335</v>
      </c>
      <c r="K20" s="53">
        <f ca="1">INDIRECT("ZS(-1)",0) * 'Correction factor'!$C$13</f>
        <v>32537656.618305679</v>
      </c>
      <c r="L20" s="53">
        <f t="shared" ca="1" si="2"/>
        <v>3821024530.6183057</v>
      </c>
      <c r="M20" s="53">
        <f t="shared" ca="1" si="3"/>
        <v>2.5046947566814737</v>
      </c>
      <c r="N20" s="53">
        <v>4764265114</v>
      </c>
      <c r="O20" s="53">
        <v>12986176</v>
      </c>
      <c r="P20" s="53">
        <f ca="1">INDIRECT("ZS(-1)",0) * 'Correction factor'!$C$13</f>
        <v>18010046.54990359</v>
      </c>
      <c r="Q20" s="53">
        <f t="shared" ca="1" si="4"/>
        <v>4782275160.5499039</v>
      </c>
      <c r="R20" s="53">
        <f t="shared" ca="1" si="5"/>
        <v>3.7230180130617021</v>
      </c>
      <c r="S20" s="53">
        <v>3682400662</v>
      </c>
      <c r="T20" s="53">
        <v>11846303</v>
      </c>
      <c r="U20" s="53">
        <f ca="1">INDIRECT("ZS(-1)",0) * 'Correction factor'!$C$13</f>
        <v>16429198.901529022</v>
      </c>
      <c r="V20" s="53">
        <f t="shared" ca="1" si="6"/>
        <v>3698829860.9015288</v>
      </c>
      <c r="W20" s="53">
        <f t="shared" ca="1" si="7"/>
        <v>2.5250082560839124</v>
      </c>
      <c r="X20" s="53">
        <v>5134131889</v>
      </c>
      <c r="Y20" s="53">
        <v>15794692</v>
      </c>
      <c r="Z20" s="53">
        <f ca="1">INDIRECT("ZS(-1)",0) * 'Correction factor'!$C$13</f>
        <v>21905073.376595993</v>
      </c>
      <c r="AA20" s="53">
        <f t="shared" ca="1" si="8"/>
        <v>5156036962.3765965</v>
      </c>
      <c r="AB20" s="53">
        <f t="shared" ca="1" si="9"/>
        <v>3.5959714507091829</v>
      </c>
      <c r="AC20" s="53">
        <v>6246691631</v>
      </c>
      <c r="AD20" s="53">
        <v>22968485</v>
      </c>
      <c r="AE20" s="53">
        <f ca="1">INDIRECT("ZS(-1)",0) * 'Correction factor'!$C$13</f>
        <v>31854141.206061151</v>
      </c>
      <c r="AF20" s="53">
        <f t="shared" ca="1" si="10"/>
        <v>6278545772.2060614</v>
      </c>
      <c r="AG20" s="53">
        <f t="shared" ca="1" si="11"/>
        <v>4.0503785298884569</v>
      </c>
      <c r="AH20" s="53">
        <v>286264015</v>
      </c>
      <c r="AI20" s="53">
        <v>11992518</v>
      </c>
      <c r="AJ20" s="53">
        <f ca="1">INDIRECT("ZS(-1)",0) * 'Correction factor'!$C$13</f>
        <v>16631979.069939965</v>
      </c>
      <c r="AK20" s="53">
        <f t="shared" ca="1" si="12"/>
        <v>302895994.06993997</v>
      </c>
      <c r="AL20" s="53">
        <f t="shared" ca="1" si="13"/>
        <v>0.17190439226099544</v>
      </c>
      <c r="AM20" s="53">
        <v>260026973</v>
      </c>
      <c r="AN20" s="53">
        <v>2069681815</v>
      </c>
      <c r="AO20" s="53">
        <f ca="1">INDIRECT("ZS(-1)",0) * 'Correction factor'!$C$13</f>
        <v>2870365058.3234782</v>
      </c>
      <c r="AP20" s="53">
        <f t="shared" ca="1" si="14"/>
        <v>3130392031.3234782</v>
      </c>
      <c r="AQ20" s="53">
        <f t="shared" ca="1" si="15"/>
        <v>2.0329183866303873</v>
      </c>
      <c r="AR20" s="53">
        <v>205417817</v>
      </c>
      <c r="AS20" s="53">
        <v>13015830</v>
      </c>
      <c r="AT20" s="53">
        <f ca="1">INDIRECT("ZS(-1)",0) * 'Correction factor'!$C$13</f>
        <v>18051172.584264349</v>
      </c>
      <c r="AU20" s="53">
        <f t="shared" ca="1" si="16"/>
        <v>223468989.58426434</v>
      </c>
      <c r="AV20" s="53">
        <f t="shared" ca="1" si="17"/>
        <v>0.15992031923401831</v>
      </c>
      <c r="AW20" s="53">
        <v>112033370</v>
      </c>
      <c r="AX20" s="53">
        <v>13434903</v>
      </c>
      <c r="AY20" s="53">
        <f ca="1">INDIRECT("ZS(-1)",0) * 'Correction factor'!$C$13</f>
        <v>18632369.407548413</v>
      </c>
      <c r="AZ20" s="53">
        <f t="shared" ca="1" si="18"/>
        <v>130665739.40754841</v>
      </c>
      <c r="BA20" s="53">
        <f t="shared" ca="1" si="19"/>
        <v>8.977286922495735E-2</v>
      </c>
      <c r="BB20" s="53">
        <v>287614979</v>
      </c>
      <c r="BC20" s="53">
        <v>13127909</v>
      </c>
      <c r="BD20" s="53">
        <f ca="1">INDIRECT("ZS(-1)",0) * 'Correction factor'!$C$13</f>
        <v>18206610.79850591</v>
      </c>
      <c r="BE20" s="53">
        <f t="shared" ca="1" si="20"/>
        <v>305821589.7985059</v>
      </c>
      <c r="BF20" s="53">
        <f t="shared" ca="1" si="21"/>
        <v>0.20758175352560229</v>
      </c>
      <c r="BG20" s="53">
        <v>404418786</v>
      </c>
      <c r="BH20" s="53">
        <v>12211548</v>
      </c>
      <c r="BI20" s="53">
        <f ca="1">INDIRECT("ZS(-1)",0) * 'Correction factor'!$C$13</f>
        <v>16935743.665139154</v>
      </c>
      <c r="BJ20" s="53">
        <f t="shared" ca="1" si="22"/>
        <v>421354529.66513914</v>
      </c>
      <c r="BK20" s="53">
        <f t="shared" ca="1" si="23"/>
        <v>0.25664598664536481</v>
      </c>
      <c r="BL20" s="53">
        <v>606928301</v>
      </c>
      <c r="BM20" s="53">
        <v>7343668358</v>
      </c>
      <c r="BN20" s="53">
        <f ca="1">INDIRECT("ZS(-1)",0) * 'Correction factor'!$C$13</f>
        <v>10184661672.122269</v>
      </c>
      <c r="BO20" s="53">
        <f t="shared" ca="1" si="24"/>
        <v>10791589973.122269</v>
      </c>
      <c r="BP20" s="53">
        <f t="shared" ca="1" si="25"/>
        <v>51.756781515783125</v>
      </c>
      <c r="BQ20" s="53">
        <v>477051399</v>
      </c>
      <c r="BR20" s="53">
        <v>6155362453</v>
      </c>
      <c r="BS20" s="53">
        <f ca="1">INDIRECT("ZS(-1)",0) * 'Correction factor'!$C$13</f>
        <v>8536644221.5213127</v>
      </c>
      <c r="BT20" s="53">
        <f t="shared" ca="1" si="26"/>
        <v>9013695620.5213127</v>
      </c>
      <c r="BU20" s="53">
        <f t="shared" ca="1" si="27"/>
        <v>52.918141098162607</v>
      </c>
      <c r="BV20" s="53">
        <v>16943557</v>
      </c>
      <c r="BW20" s="53">
        <v>214587437</v>
      </c>
      <c r="BX20" s="53">
        <f ca="1">INDIRECT("ZS(-1)",0) * 'Correction factor'!$C$13</f>
        <v>297603369.10530889</v>
      </c>
      <c r="BY20" s="53">
        <f t="shared" ca="1" si="28"/>
        <v>314546926.10530889</v>
      </c>
      <c r="BZ20" s="53">
        <f t="shared" ca="1" si="29"/>
        <v>2.0019412983401148</v>
      </c>
      <c r="CA20" s="53">
        <v>576901567</v>
      </c>
      <c r="CB20" s="53">
        <v>7423961222</v>
      </c>
      <c r="CC20" s="53">
        <f ca="1">INDIRECT("ZS(-1)",0) * 'Correction factor'!$C$13</f>
        <v>10296016871.548573</v>
      </c>
      <c r="CD20" s="53">
        <f t="shared" ca="1" si="30"/>
        <v>10872918438.548573</v>
      </c>
      <c r="CE20" s="53">
        <f t="shared" ca="1" si="31"/>
        <v>61.543451562083874</v>
      </c>
      <c r="CF20" s="53">
        <v>28257025</v>
      </c>
      <c r="CG20" s="53">
        <v>11667495</v>
      </c>
      <c r="CH20" s="53">
        <f ca="1">INDIRECT("ZS(-1)",0) * 'Correction factor'!$C$13</f>
        <v>16181216.708503518</v>
      </c>
      <c r="CI20" s="53">
        <f t="shared" ca="1" si="32"/>
        <v>44438241.708503515</v>
      </c>
      <c r="CJ20" s="53">
        <f t="shared" ca="1" si="33"/>
        <v>0.3228195045418919</v>
      </c>
      <c r="CK20" s="53">
        <v>-12875463</v>
      </c>
      <c r="CL20" s="53">
        <v>132596929</v>
      </c>
      <c r="CM20" s="53">
        <f ca="1">INDIRECT("ZS(-1)",0) * 'Correction factor'!$C$13</f>
        <v>183893770.08784273</v>
      </c>
      <c r="CN20" s="53">
        <f t="shared" ca="1" si="34"/>
        <v>171018307.08784273</v>
      </c>
      <c r="CO20" s="53">
        <f t="shared" ca="1" si="35"/>
        <v>1.2215924805616425</v>
      </c>
      <c r="CP20" s="53">
        <v>4361106952</v>
      </c>
      <c r="CQ20" s="53">
        <v>14910455</v>
      </c>
      <c r="CR20" s="53">
        <f ca="1">INDIRECT("ZS(-1)",0) * 'Correction factor'!$C$13</f>
        <v>20678757.82911326</v>
      </c>
      <c r="CS20" s="53">
        <f t="shared" ca="1" si="36"/>
        <v>4381785709.829113</v>
      </c>
      <c r="CT20" s="53">
        <f t="shared" ca="1" si="37"/>
        <v>2.9850030992831367</v>
      </c>
      <c r="CU20" s="53">
        <v>3942087313</v>
      </c>
      <c r="CV20" s="53">
        <v>13358074</v>
      </c>
      <c r="CW20" s="53">
        <f ca="1">INDIRECT("ZS(-1)",0) * 'Correction factor'!$C$13</f>
        <v>18525818.112819113</v>
      </c>
      <c r="CX20" s="53">
        <f t="shared" ca="1" si="38"/>
        <v>3960613131.1128192</v>
      </c>
      <c r="CY20" s="53">
        <f t="shared" ca="1" si="39"/>
        <v>3.0303323375554192</v>
      </c>
      <c r="CZ20" s="53">
        <v>3661559403</v>
      </c>
      <c r="DA20" s="53">
        <v>140916061</v>
      </c>
      <c r="DB20" s="53">
        <f ca="1">INDIRECT("ZS(-1)",0) * 'Correction factor'!$C$13</f>
        <v>195431266.15864855</v>
      </c>
      <c r="DC20" s="53">
        <f t="shared" ca="1" si="40"/>
        <v>3856990669.1586485</v>
      </c>
      <c r="DD20" s="53">
        <f t="shared" ca="1" si="41"/>
        <v>2.5315862471955253</v>
      </c>
      <c r="DE20" s="53">
        <v>3398381336</v>
      </c>
      <c r="DF20" s="53">
        <v>334078764</v>
      </c>
      <c r="DG20" s="53">
        <f ca="1">INDIRECT("ZS(-1)",0) * 'Correction factor'!$C$13</f>
        <v>463321465.1468035</v>
      </c>
      <c r="DH20" s="53">
        <f t="shared" ca="1" si="42"/>
        <v>3861702801.1468034</v>
      </c>
      <c r="DI20" s="53">
        <f t="shared" ca="1" si="43"/>
        <v>2.811850973549165</v>
      </c>
      <c r="DJ20" s="53">
        <v>2945927174</v>
      </c>
      <c r="DK20" s="53">
        <v>175437902</v>
      </c>
      <c r="DL20" s="53">
        <f ca="1">INDIRECT("ZS(-1)",0) * 'Correction factor'!$C$13</f>
        <v>243308328.92126399</v>
      </c>
      <c r="DM20" s="53">
        <f t="shared" ca="1" si="44"/>
        <v>3189235502.9212642</v>
      </c>
      <c r="DN20" s="53">
        <f t="shared" ca="1" si="45"/>
        <v>2.628696331162157</v>
      </c>
      <c r="DO20" s="53">
        <v>3240971016</v>
      </c>
      <c r="DP20" s="53">
        <v>152215550</v>
      </c>
      <c r="DQ20" s="53">
        <f ca="1">INDIRECT("ZS(-1)",0) * 'Correction factor'!$C$13</f>
        <v>211102108.97489586</v>
      </c>
      <c r="DR20" s="53">
        <f t="shared" ca="1" si="46"/>
        <v>3452073124.974896</v>
      </c>
      <c r="DS20" s="53">
        <f t="shared" ca="1" si="47"/>
        <v>2.6007891778013863</v>
      </c>
      <c r="DT20" s="53">
        <v>2875226310</v>
      </c>
      <c r="DU20" s="53">
        <v>798403081</v>
      </c>
      <c r="DV20" s="53">
        <f ca="1">INDIRECT("ZS(-1)",0) * 'Correction factor'!$C$13</f>
        <v>1107275664.0905256</v>
      </c>
      <c r="DW20" s="53">
        <f t="shared" ca="1" si="48"/>
        <v>3982501974.0905256</v>
      </c>
      <c r="DX20" s="53">
        <f t="shared" ca="1" si="49"/>
        <v>2.9326139731130065</v>
      </c>
      <c r="DY20" s="53">
        <v>3170875798</v>
      </c>
      <c r="DZ20" s="53">
        <v>782051299</v>
      </c>
      <c r="EA20" s="53">
        <f ca="1">INDIRECT("ZS(-1)",0) * 'Correction factor'!$C$13</f>
        <v>1084597983.2248209</v>
      </c>
      <c r="EB20" s="53">
        <f t="shared" ca="1" si="50"/>
        <v>4255473781.2248211</v>
      </c>
      <c r="EC20" s="53">
        <f t="shared" ca="1" si="51"/>
        <v>3.009471641154895</v>
      </c>
      <c r="ED20" s="53">
        <v>949432491</v>
      </c>
      <c r="EE20" s="53">
        <v>1133744400</v>
      </c>
      <c r="EF20" s="53">
        <f ca="1">INDIRECT("ZS(-1)",0) * 'Correction factor'!$C$13</f>
        <v>1572348120.007962</v>
      </c>
      <c r="EG20" s="53">
        <f t="shared" ca="1" si="52"/>
        <v>2521780611.0079622</v>
      </c>
      <c r="EH20" s="53">
        <f t="shared" ca="1" si="53"/>
        <v>1.927942553950756</v>
      </c>
      <c r="EI20" s="53">
        <v>2801280922</v>
      </c>
      <c r="EJ20" s="53">
        <v>664463823</v>
      </c>
      <c r="EK20" s="53">
        <f ca="1">INDIRECT("ZS(-1)",0) * 'Correction factor'!$C$13</f>
        <v>921520267.6258893</v>
      </c>
      <c r="EL20" s="53">
        <f t="shared" ca="1" si="54"/>
        <v>3722801189.6258893</v>
      </c>
      <c r="EM20" s="53">
        <f t="shared" ca="1" si="55"/>
        <v>2.8287838264241958</v>
      </c>
      <c r="EN20" s="53">
        <v>3617572202</v>
      </c>
      <c r="EO20" s="53">
        <v>14255927</v>
      </c>
      <c r="EP20" s="53">
        <f ca="1">INDIRECT("ZS(-1)",0) * 'Correction factor'!$C$13</f>
        <v>19771017.186431743</v>
      </c>
      <c r="EQ20" s="53">
        <f t="shared" ca="1" si="56"/>
        <v>3637343219.1864319</v>
      </c>
      <c r="ER20" s="53">
        <f t="shared" ca="1" si="57"/>
        <v>2.4730912202589619</v>
      </c>
      <c r="ES20" s="53">
        <v>3235770736</v>
      </c>
      <c r="ET20" s="53">
        <v>16618589</v>
      </c>
      <c r="EU20" s="53">
        <f ca="1">INDIRECT("ZS(-1)",0) * 'Correction factor'!$C$13</f>
        <v>23047705.612777445</v>
      </c>
      <c r="EV20" s="53">
        <f t="shared" ca="1" si="58"/>
        <v>3258818441.6127772</v>
      </c>
      <c r="EW20" s="53">
        <f t="shared" ca="1" si="59"/>
        <v>2.227606324313117</v>
      </c>
      <c r="EX20" s="53">
        <v>2890134370</v>
      </c>
      <c r="EY20" s="53">
        <v>11903819</v>
      </c>
      <c r="EZ20" s="53">
        <f ca="1">INDIRECT("ZS(-1)",0) * 'Correction factor'!$C$13</f>
        <v>16508965.71181746</v>
      </c>
      <c r="FA20" s="53">
        <f t="shared" ca="1" si="60"/>
        <v>2906643335.7118173</v>
      </c>
      <c r="FB20" s="53">
        <f t="shared" ca="1" si="61"/>
        <v>2.0723487342998026</v>
      </c>
      <c r="FC20" s="53">
        <v>3190596369</v>
      </c>
      <c r="FD20" s="53">
        <v>267100496</v>
      </c>
      <c r="FE20" s="53">
        <f ca="1">INDIRECT("ZS(-1)",0) * 'Correction factor'!$C$13</f>
        <v>370431785.80533159</v>
      </c>
      <c r="FF20" s="53">
        <f t="shared" ca="1" si="62"/>
        <v>3561028154.8053317</v>
      </c>
      <c r="FG20" s="53">
        <f t="shared" ca="1" si="63"/>
        <v>2.7482042929064212</v>
      </c>
      <c r="FH20" s="53">
        <v>4096464453</v>
      </c>
      <c r="FI20" s="53">
        <v>76578976</v>
      </c>
      <c r="FJ20" s="53">
        <f ca="1">INDIRECT("ZS(-1)",0) * 'Correction factor'!$C$13</f>
        <v>106204545.70336562</v>
      </c>
      <c r="FK20" s="53">
        <f t="shared" ca="1" si="64"/>
        <v>4202668998.7033658</v>
      </c>
      <c r="FL20" s="53">
        <f t="shared" ca="1" si="65"/>
        <v>2.3675695006033215</v>
      </c>
      <c r="FM20" s="53">
        <v>4023611858</v>
      </c>
      <c r="FN20" s="53">
        <v>14311508</v>
      </c>
      <c r="FO20" s="53">
        <f ca="1">INDIRECT("ZS(-1)",0) * 'Correction factor'!$C$13</f>
        <v>19848100.416883126</v>
      </c>
      <c r="FP20" s="53">
        <f t="shared" ca="1" si="66"/>
        <v>4043459958.416883</v>
      </c>
      <c r="FQ20" s="53">
        <f t="shared" ca="1" si="67"/>
        <v>2.8575603564658505</v>
      </c>
      <c r="FR20" s="53">
        <v>3975764770</v>
      </c>
      <c r="FS20" s="53">
        <v>18405969</v>
      </c>
      <c r="FT20" s="53">
        <f ca="1">INDIRECT("ZS(-1)",0) * 'Correction factor'!$C$13</f>
        <v>25526556.738957059</v>
      </c>
      <c r="FU20" s="53">
        <f t="shared" ca="1" si="68"/>
        <v>4001291326.7389569</v>
      </c>
      <c r="FV20" s="53">
        <f t="shared" ca="1" si="69"/>
        <v>2.7913194331031366</v>
      </c>
      <c r="FW20" s="53">
        <v>2886546941</v>
      </c>
      <c r="FX20" s="53">
        <v>1433329970</v>
      </c>
      <c r="FY20" s="53">
        <f ca="1">INDIRECT("ZS(-1)",0) * 'Correction factor'!$C$13</f>
        <v>1987832251.8555052</v>
      </c>
      <c r="FZ20" s="53">
        <f t="shared" ca="1" si="70"/>
        <v>4874379192.855505</v>
      </c>
      <c r="GA20" s="53">
        <f t="shared" ca="1" si="71"/>
        <v>3.91168527625141</v>
      </c>
      <c r="GB20" s="53">
        <v>2991185505</v>
      </c>
      <c r="GC20" s="53">
        <v>14742281</v>
      </c>
      <c r="GD20" s="53">
        <f ca="1">INDIRECT("ZS(-1)",0) * 'Correction factor'!$C$13</f>
        <v>20445523.536856364</v>
      </c>
      <c r="GE20" s="53">
        <f t="shared" ca="1" si="72"/>
        <v>3011631028.5368562</v>
      </c>
      <c r="GF20" s="53">
        <f t="shared" ca="1" si="73"/>
        <v>2.1001466431052336</v>
      </c>
      <c r="GG20" s="53">
        <v>2296371346</v>
      </c>
      <c r="GH20" s="53">
        <v>16253864</v>
      </c>
      <c r="GI20" s="53">
        <f ca="1">INDIRECT("ZS(-1)",0) * 'Correction factor'!$C$13</f>
        <v>22541882.017909057</v>
      </c>
      <c r="GJ20" s="53">
        <f t="shared" ca="1" si="74"/>
        <v>2318913228.017909</v>
      </c>
      <c r="GK20" s="53">
        <f t="shared" ca="1" si="75"/>
        <v>1.6169682158333591</v>
      </c>
      <c r="GL20" s="53">
        <v>733171312</v>
      </c>
      <c r="GM20" s="53">
        <v>226934230</v>
      </c>
      <c r="GN20" s="53">
        <f ca="1">INDIRECT("ZS(-1)",0) * 'Correction factor'!$C$13</f>
        <v>314726679.05213422</v>
      </c>
      <c r="GO20" s="53">
        <f t="shared" ca="1" si="76"/>
        <v>1047897991.0521343</v>
      </c>
      <c r="GP20" s="53">
        <f t="shared" ca="1" si="77"/>
        <v>0.72289443065646064</v>
      </c>
      <c r="GQ20" s="53">
        <v>1555065483</v>
      </c>
      <c r="GR20" s="53">
        <v>10113111</v>
      </c>
      <c r="GS20" s="53">
        <f ca="1">INDIRECT("ZS(-1)",0) * 'Correction factor'!$C$13</f>
        <v>14025499.105690701</v>
      </c>
      <c r="GT20" s="53">
        <f t="shared" ca="1" si="78"/>
        <v>1569090982.1056907</v>
      </c>
      <c r="GU20" s="53">
        <f t="shared" ca="1" si="79"/>
        <v>1.6269653836910805</v>
      </c>
      <c r="GV20" s="53">
        <v>1188553933</v>
      </c>
      <c r="GW20" s="53">
        <v>122617645</v>
      </c>
      <c r="GX20" s="53">
        <f ca="1">INDIRECT("ZS(-1)",0) * 'Correction factor'!$C$13</f>
        <v>170053870.69215396</v>
      </c>
      <c r="GY20" s="53">
        <f t="shared" ca="1" si="80"/>
        <v>1358607803.6921539</v>
      </c>
      <c r="GZ20" s="53">
        <f t="shared" ca="1" si="81"/>
        <v>0.96448440793602286</v>
      </c>
      <c r="HA20" s="53">
        <v>503917643</v>
      </c>
      <c r="HB20" s="53">
        <v>644828535</v>
      </c>
      <c r="HC20" s="53">
        <f ca="1">INDIRECT("ZS(-1)",0) * 'Correction factor'!$C$13</f>
        <v>894288813.89380038</v>
      </c>
      <c r="HD20" s="53">
        <f t="shared" ca="1" si="82"/>
        <v>1398206456.8938003</v>
      </c>
      <c r="HE20" s="53">
        <f t="shared" ca="1" si="83"/>
        <v>1.0240135588995898</v>
      </c>
      <c r="HF20" s="53">
        <v>475557758</v>
      </c>
      <c r="HG20" s="53">
        <v>2556928541</v>
      </c>
      <c r="HH20" s="53">
        <f ca="1">INDIRECT("ZS(-1)",0) * 'Correction factor'!$C$13</f>
        <v>3546109497.3752913</v>
      </c>
      <c r="HI20" s="53">
        <f t="shared" ca="1" si="84"/>
        <v>4021667255.3752913</v>
      </c>
      <c r="HJ20" s="53">
        <f t="shared" ca="1" si="85"/>
        <v>2.9624804946239158</v>
      </c>
      <c r="HK20" s="53">
        <v>426130386</v>
      </c>
      <c r="HL20" s="53">
        <v>3482885937</v>
      </c>
      <c r="HM20" s="53">
        <f ca="1">INDIRECT("ZS(-1)",0) * 'Correction factor'!$C$13</f>
        <v>4830285516.950839</v>
      </c>
      <c r="HN20" s="53">
        <f t="shared" ca="1" si="86"/>
        <v>5256415902.950839</v>
      </c>
      <c r="HO20" s="53">
        <f t="shared" ca="1" si="87"/>
        <v>3.9131088159782541</v>
      </c>
      <c r="HP20" s="53">
        <v>689047542</v>
      </c>
      <c r="HQ20" s="53">
        <v>10815099</v>
      </c>
      <c r="HR20" s="53">
        <f ca="1">INDIRECT("ZS(-1)",0) * 'Correction factor'!$C$13</f>
        <v>14999060.264685754</v>
      </c>
      <c r="HS20" s="53">
        <f t="shared" ca="1" si="88"/>
        <v>704046602.26468575</v>
      </c>
      <c r="HT20" s="53">
        <f t="shared" ca="1" si="89"/>
        <v>0.45642810254581551</v>
      </c>
      <c r="HU20" s="53">
        <v>539713874</v>
      </c>
      <c r="HV20" s="53">
        <v>69115191</v>
      </c>
      <c r="HW20" s="53">
        <f ca="1">INDIRECT("ZS(-1)",0) * 'Correction factor'!$C$13</f>
        <v>95853298.708986983</v>
      </c>
      <c r="HX20" s="53">
        <f t="shared" ca="1" si="90"/>
        <v>635567172.708987</v>
      </c>
      <c r="HY20" s="53">
        <f t="shared" ca="1" si="91"/>
        <v>0.49873163078300126</v>
      </c>
      <c r="HZ20" s="53">
        <v>615183303</v>
      </c>
      <c r="IA20" s="53">
        <v>1401152146</v>
      </c>
      <c r="IB20" s="53">
        <f ca="1">INDIRECT("ZS(-1)",0) * 'Correction factor'!$C$13</f>
        <v>1943206019.4592552</v>
      </c>
      <c r="IC20" s="53">
        <f t="shared" ca="1" si="92"/>
        <v>2558389322.4592552</v>
      </c>
      <c r="ID20" s="53">
        <f t="shared" ca="1" si="93"/>
        <v>1.9838590531750762</v>
      </c>
      <c r="IE20" s="53">
        <v>448828142</v>
      </c>
      <c r="IF20" s="53">
        <v>11712921</v>
      </c>
      <c r="IG20" s="53">
        <f ca="1">INDIRECT("ZS(-1)",0) * 'Correction factor'!$C$13</f>
        <v>16244216.345546473</v>
      </c>
      <c r="IH20" s="53">
        <f t="shared" ca="1" si="94"/>
        <v>465072358.34554648</v>
      </c>
      <c r="II20" s="61">
        <f t="shared" ca="1" si="95"/>
        <v>0.35587879822767188</v>
      </c>
    </row>
    <row r="21" spans="1:243" x14ac:dyDescent="0.25">
      <c r="A21" s="5">
        <v>17</v>
      </c>
      <c r="B21" s="30">
        <v>45508</v>
      </c>
      <c r="C21" s="29" t="s">
        <v>34</v>
      </c>
      <c r="D21" s="52">
        <v>5763894909</v>
      </c>
      <c r="E21" s="53">
        <v>17000395</v>
      </c>
      <c r="F21" s="53">
        <f ca="1">INDIRECT("ZS(-1)",0) * 'Correction factor'!$C$13</f>
        <v>23577218.213949069</v>
      </c>
      <c r="G21" s="53">
        <f t="shared" ca="1" si="0"/>
        <v>5787472127.2139492</v>
      </c>
      <c r="H21" s="53">
        <f t="shared" ca="1" si="1"/>
        <v>4.1857738919593723</v>
      </c>
      <c r="I21" s="53">
        <v>4094681187</v>
      </c>
      <c r="J21" s="53">
        <v>26002118</v>
      </c>
      <c r="K21" s="53">
        <f ca="1">INDIRECT("ZS(-1)",0) * 'Correction factor'!$C$13</f>
        <v>36061374.462820008</v>
      </c>
      <c r="L21" s="53">
        <f t="shared" ca="1" si="2"/>
        <v>4130742561.4628201</v>
      </c>
      <c r="M21" s="53">
        <f t="shared" ca="1" si="3"/>
        <v>2.70771599396739</v>
      </c>
      <c r="N21" s="53">
        <v>4936218622</v>
      </c>
      <c r="O21" s="53">
        <v>13220666</v>
      </c>
      <c r="P21" s="53">
        <f ca="1">INDIRECT("ZS(-1)",0) * 'Correction factor'!$C$13</f>
        <v>18335252.046539929</v>
      </c>
      <c r="Q21" s="53">
        <f t="shared" ca="1" si="4"/>
        <v>4954553874.0465403</v>
      </c>
      <c r="R21" s="53">
        <f t="shared" ca="1" si="5"/>
        <v>3.8571375967498396</v>
      </c>
      <c r="S21" s="53">
        <v>3824024565</v>
      </c>
      <c r="T21" s="53">
        <v>12349692</v>
      </c>
      <c r="U21" s="53">
        <f ca="1">INDIRECT("ZS(-1)",0) * 'Correction factor'!$C$13</f>
        <v>17127330.462560493</v>
      </c>
      <c r="V21" s="53">
        <f t="shared" ca="1" si="6"/>
        <v>3841151895.4625607</v>
      </c>
      <c r="W21" s="53">
        <f t="shared" ca="1" si="7"/>
        <v>2.6221644719152826</v>
      </c>
      <c r="X21" s="53">
        <v>6131071212</v>
      </c>
      <c r="Y21" s="53">
        <v>17612303</v>
      </c>
      <c r="Z21" s="53">
        <f ca="1">INDIRECT("ZS(-1)",0) * 'Correction factor'!$C$13</f>
        <v>24425850.757067103</v>
      </c>
      <c r="AA21" s="53">
        <f t="shared" ca="1" si="8"/>
        <v>6155497062.7570667</v>
      </c>
      <c r="AB21" s="53">
        <f t="shared" ca="1" si="9"/>
        <v>4.2930242479091651</v>
      </c>
      <c r="AC21" s="53">
        <v>6687199593</v>
      </c>
      <c r="AD21" s="53">
        <v>23784731</v>
      </c>
      <c r="AE21" s="53">
        <f ca="1">INDIRECT("ZS(-1)",0) * 'Correction factor'!$C$13</f>
        <v>32986162.553698253</v>
      </c>
      <c r="AF21" s="53">
        <f t="shared" ca="1" si="10"/>
        <v>6720185755.5536985</v>
      </c>
      <c r="AG21" s="53">
        <f t="shared" ca="1" si="11"/>
        <v>4.3352867190443423</v>
      </c>
      <c r="AH21" s="53">
        <v>237110972</v>
      </c>
      <c r="AI21" s="53">
        <v>11986299</v>
      </c>
      <c r="AJ21" s="53">
        <f ca="1">INDIRECT("ZS(-1)",0) * 'Correction factor'!$C$13</f>
        <v>16623354.169161335</v>
      </c>
      <c r="AK21" s="53">
        <f t="shared" ca="1" si="12"/>
        <v>253734326.16916132</v>
      </c>
      <c r="AL21" s="53">
        <f t="shared" ca="1" si="13"/>
        <v>0.1440033740617622</v>
      </c>
      <c r="AM21" s="53">
        <v>285973942</v>
      </c>
      <c r="AN21" s="53">
        <v>2673573583</v>
      </c>
      <c r="AO21" s="53">
        <f ca="1">INDIRECT("ZS(-1)",0) * 'Correction factor'!$C$13</f>
        <v>3707880186.1627727</v>
      </c>
      <c r="AP21" s="53">
        <f t="shared" ca="1" si="14"/>
        <v>3993854128.1627727</v>
      </c>
      <c r="AQ21" s="53">
        <f t="shared" ca="1" si="15"/>
        <v>2.5936622025034737</v>
      </c>
      <c r="AR21" s="53">
        <v>180059934</v>
      </c>
      <c r="AS21" s="53">
        <v>14104755</v>
      </c>
      <c r="AT21" s="53">
        <f ca="1">INDIRECT("ZS(-1)",0) * 'Correction factor'!$C$13</f>
        <v>19561362.338303857</v>
      </c>
      <c r="AU21" s="53">
        <f t="shared" ca="1" si="16"/>
        <v>199621296.33830386</v>
      </c>
      <c r="AV21" s="53">
        <f t="shared" ca="1" si="17"/>
        <v>0.14285427922558627</v>
      </c>
      <c r="AW21" s="53">
        <v>48580926</v>
      </c>
      <c r="AX21" s="53">
        <v>11554028</v>
      </c>
      <c r="AY21" s="53">
        <f ca="1">INDIRECT("ZS(-1)",0) * 'Correction factor'!$C$13</f>
        <v>16023853.528466692</v>
      </c>
      <c r="AZ21" s="53">
        <f t="shared" ca="1" si="18"/>
        <v>64604779.528466694</v>
      </c>
      <c r="BA21" s="53">
        <f t="shared" ca="1" si="19"/>
        <v>4.4386205980335172E-2</v>
      </c>
      <c r="BB21" s="53">
        <v>235010961</v>
      </c>
      <c r="BC21" s="53">
        <v>12596753</v>
      </c>
      <c r="BD21" s="53">
        <f ca="1">INDIRECT("ZS(-1)",0) * 'Correction factor'!$C$13</f>
        <v>17469970.213528425</v>
      </c>
      <c r="BE21" s="53">
        <f t="shared" ca="1" si="20"/>
        <v>252480931.21352842</v>
      </c>
      <c r="BF21" s="53">
        <f t="shared" ca="1" si="21"/>
        <v>0.17137584847300161</v>
      </c>
      <c r="BG21" s="53">
        <v>348526706</v>
      </c>
      <c r="BH21" s="53">
        <v>12434122</v>
      </c>
      <c r="BI21" s="53">
        <f ca="1">INDIRECT("ZS(-1)",0) * 'Correction factor'!$C$13</f>
        <v>17244423.302685898</v>
      </c>
      <c r="BJ21" s="53">
        <f t="shared" ca="1" si="22"/>
        <v>365771129.30268592</v>
      </c>
      <c r="BK21" s="53">
        <f t="shared" ca="1" si="23"/>
        <v>0.22279027696909035</v>
      </c>
      <c r="BL21" s="53">
        <v>704255262</v>
      </c>
      <c r="BM21" s="53">
        <v>8418202837</v>
      </c>
      <c r="BN21" s="53">
        <f ca="1">INDIRECT("ZS(-1)",0) * 'Correction factor'!$C$13</f>
        <v>11674893745.541449</v>
      </c>
      <c r="BO21" s="53">
        <f t="shared" ca="1" si="24"/>
        <v>12379149007.541449</v>
      </c>
      <c r="BP21" s="53">
        <f t="shared" ca="1" si="25"/>
        <v>59.370761132548367</v>
      </c>
      <c r="BQ21" s="53">
        <v>573829869</v>
      </c>
      <c r="BR21" s="53">
        <v>7354716322</v>
      </c>
      <c r="BS21" s="53">
        <f ca="1">INDIRECT("ZS(-1)",0) * 'Correction factor'!$C$13</f>
        <v>10199983684.231272</v>
      </c>
      <c r="BT21" s="53">
        <f t="shared" ca="1" si="26"/>
        <v>10773813553.231272</v>
      </c>
      <c r="BU21" s="53">
        <f t="shared" ca="1" si="27"/>
        <v>63.251546288870045</v>
      </c>
      <c r="BV21" s="53">
        <v>19203936</v>
      </c>
      <c r="BW21" s="53">
        <v>226209875</v>
      </c>
      <c r="BX21" s="53">
        <f ca="1">INDIRECT("ZS(-1)",0) * 'Correction factor'!$C$13</f>
        <v>313722097.92920351</v>
      </c>
      <c r="BY21" s="53">
        <f t="shared" ca="1" si="28"/>
        <v>332926033.92920351</v>
      </c>
      <c r="BZ21" s="53">
        <f t="shared" ca="1" si="29"/>
        <v>2.1189155617191253</v>
      </c>
      <c r="CA21" s="53">
        <v>682550283</v>
      </c>
      <c r="CB21" s="53">
        <v>8672480492</v>
      </c>
      <c r="CC21" s="53">
        <f ca="1">INDIRECT("ZS(-1)",0) * 'Correction factor'!$C$13</f>
        <v>12027542008.059246</v>
      </c>
      <c r="CD21" s="53">
        <f t="shared" ca="1" si="30"/>
        <v>12710092291.059246</v>
      </c>
      <c r="CE21" s="53">
        <f t="shared" ca="1" si="31"/>
        <v>71.942317390255283</v>
      </c>
      <c r="CF21" s="53">
        <v>24504125</v>
      </c>
      <c r="CG21" s="53">
        <v>11206470</v>
      </c>
      <c r="CH21" s="53">
        <f ca="1">INDIRECT("ZS(-1)",0) * 'Correction factor'!$C$13</f>
        <v>15541838.210116519</v>
      </c>
      <c r="CI21" s="53">
        <f t="shared" ca="1" si="32"/>
        <v>40045963.210116521</v>
      </c>
      <c r="CJ21" s="53">
        <f t="shared" ca="1" si="33"/>
        <v>0.29091200518671451</v>
      </c>
      <c r="CK21" s="53">
        <v>19851983</v>
      </c>
      <c r="CL21" s="53">
        <v>370948428</v>
      </c>
      <c r="CM21" s="53">
        <f ca="1">INDIRECT("ZS(-1)",0) * 'Correction factor'!$C$13</f>
        <v>514454636.67622864</v>
      </c>
      <c r="CN21" s="53">
        <f t="shared" ca="1" si="34"/>
        <v>534306619.67622864</v>
      </c>
      <c r="CO21" s="53">
        <f t="shared" ca="1" si="35"/>
        <v>3.8165794061774423</v>
      </c>
      <c r="CP21" s="53">
        <v>4563579956</v>
      </c>
      <c r="CQ21" s="53">
        <v>15042808</v>
      </c>
      <c r="CR21" s="53">
        <f ca="1">INDIRECT("ZS(-1)",0) * 'Correction factor'!$C$13</f>
        <v>20862313.303104941</v>
      </c>
      <c r="CS21" s="53">
        <f t="shared" ca="1" si="36"/>
        <v>4584442269.3031054</v>
      </c>
      <c r="CT21" s="53">
        <f t="shared" ca="1" si="37"/>
        <v>3.123058791226939</v>
      </c>
      <c r="CU21" s="53">
        <v>4102044484</v>
      </c>
      <c r="CV21" s="53">
        <v>13527452</v>
      </c>
      <c r="CW21" s="53">
        <f ca="1">INDIRECT("ZS(-1)",0) * 'Correction factor'!$C$13</f>
        <v>18760722.188085731</v>
      </c>
      <c r="CX21" s="53">
        <f t="shared" ca="1" si="38"/>
        <v>4120805206.1880856</v>
      </c>
      <c r="CY21" s="53">
        <f t="shared" ca="1" si="39"/>
        <v>3.1528980134370954</v>
      </c>
      <c r="CZ21" s="53">
        <v>3856833009</v>
      </c>
      <c r="DA21" s="53">
        <v>158974389</v>
      </c>
      <c r="DB21" s="53">
        <f ca="1">INDIRECT("ZS(-1)",0) * 'Correction factor'!$C$13</f>
        <v>220475692.46962935</v>
      </c>
      <c r="DC21" s="53">
        <f t="shared" ca="1" si="40"/>
        <v>4077308701.4696293</v>
      </c>
      <c r="DD21" s="53">
        <f t="shared" ca="1" si="41"/>
        <v>2.6761948678664496</v>
      </c>
      <c r="DE21" s="53">
        <v>3741507200</v>
      </c>
      <c r="DF21" s="53">
        <v>396178328</v>
      </c>
      <c r="DG21" s="53">
        <f ca="1">INDIRECT("ZS(-1)",0) * 'Correction factor'!$C$13</f>
        <v>549445050.59402966</v>
      </c>
      <c r="DH21" s="53">
        <f t="shared" ca="1" si="42"/>
        <v>4290952250.5940294</v>
      </c>
      <c r="DI21" s="53">
        <f t="shared" ca="1" si="43"/>
        <v>3.1244036334703762</v>
      </c>
      <c r="DJ21" s="53">
        <v>3120210358</v>
      </c>
      <c r="DK21" s="53">
        <v>256643813</v>
      </c>
      <c r="DL21" s="53">
        <f ca="1">INDIRECT("ZS(-1)",0) * 'Correction factor'!$C$13</f>
        <v>355929799.41706878</v>
      </c>
      <c r="DM21" s="53">
        <f t="shared" ca="1" si="44"/>
        <v>3476140157.417069</v>
      </c>
      <c r="DN21" s="53">
        <f t="shared" ca="1" si="45"/>
        <v>2.8651747009707371</v>
      </c>
      <c r="DO21" s="53">
        <v>3451736120</v>
      </c>
      <c r="DP21" s="53">
        <v>195490920</v>
      </c>
      <c r="DQ21" s="53">
        <f ca="1">INDIRECT("ZS(-1)",0) * 'Correction factor'!$C$13</f>
        <v>271119116.91967511</v>
      </c>
      <c r="DR21" s="53">
        <f t="shared" ca="1" si="46"/>
        <v>3722855236.9196749</v>
      </c>
      <c r="DS21" s="53">
        <f t="shared" ca="1" si="47"/>
        <v>2.8047962080097357</v>
      </c>
      <c r="DT21" s="53">
        <v>2832295577</v>
      </c>
      <c r="DU21" s="53">
        <v>1111638213</v>
      </c>
      <c r="DV21" s="53">
        <f ca="1">INDIRECT("ZS(-1)",0) * 'Correction factor'!$C$13</f>
        <v>1541689867.9627969</v>
      </c>
      <c r="DW21" s="53">
        <f t="shared" ca="1" si="48"/>
        <v>4373985444.9627972</v>
      </c>
      <c r="DX21" s="53">
        <f t="shared" ca="1" si="49"/>
        <v>3.2208925237306705</v>
      </c>
      <c r="DY21" s="53">
        <v>3140248253</v>
      </c>
      <c r="DZ21" s="53">
        <v>1050204855</v>
      </c>
      <c r="EA21" s="53">
        <f ca="1">INDIRECT("ZS(-1)",0) * 'Correction factor'!$C$13</f>
        <v>1456490218.9439564</v>
      </c>
      <c r="EB21" s="53">
        <f t="shared" ca="1" si="50"/>
        <v>4596738471.9439564</v>
      </c>
      <c r="EC21" s="53">
        <f t="shared" ca="1" si="51"/>
        <v>3.2508140771905678</v>
      </c>
      <c r="ED21" s="53">
        <v>974330134</v>
      </c>
      <c r="EE21" s="53">
        <v>1623469840</v>
      </c>
      <c r="EF21" s="53">
        <f ca="1">INDIRECT("ZS(-1)",0) * 'Correction factor'!$C$13</f>
        <v>2251530195.7069221</v>
      </c>
      <c r="EG21" s="53">
        <f t="shared" ca="1" si="52"/>
        <v>3225860329.7069221</v>
      </c>
      <c r="EH21" s="53">
        <f t="shared" ca="1" si="53"/>
        <v>2.4662230233651177</v>
      </c>
      <c r="EI21" s="53">
        <v>2644937798</v>
      </c>
      <c r="EJ21" s="53">
        <v>843369039</v>
      </c>
      <c r="EK21" s="53">
        <f ca="1">INDIRECT("ZS(-1)",0) * 'Correction factor'!$C$13</f>
        <v>1169637285.9213872</v>
      </c>
      <c r="EL21" s="53">
        <f t="shared" ca="1" si="54"/>
        <v>3814575083.9213872</v>
      </c>
      <c r="EM21" s="53">
        <f t="shared" ca="1" si="55"/>
        <v>2.8985185489214658</v>
      </c>
      <c r="EN21" s="53">
        <v>3786673342</v>
      </c>
      <c r="EO21" s="53">
        <v>15313656</v>
      </c>
      <c r="EP21" s="53">
        <f ca="1">INDIRECT("ZS(-1)",0) * 'Correction factor'!$C$13</f>
        <v>21237942.363418639</v>
      </c>
      <c r="EQ21" s="53">
        <f t="shared" ca="1" si="56"/>
        <v>3807911284.3634186</v>
      </c>
      <c r="ER21" s="53">
        <f t="shared" ca="1" si="57"/>
        <v>2.5890633348014318</v>
      </c>
      <c r="ES21" s="53">
        <v>3390038862</v>
      </c>
      <c r="ET21" s="53">
        <v>17880197</v>
      </c>
      <c r="EU21" s="53">
        <f ca="1">INDIRECT("ZS(-1)",0) * 'Correction factor'!$C$13</f>
        <v>24797383.024182525</v>
      </c>
      <c r="EV21" s="53">
        <f t="shared" ca="1" si="58"/>
        <v>3414836245.0241823</v>
      </c>
      <c r="EW21" s="53">
        <f t="shared" ca="1" si="59"/>
        <v>2.3342542557065231</v>
      </c>
      <c r="EX21" s="53">
        <v>3087297727</v>
      </c>
      <c r="EY21" s="53">
        <v>12445174</v>
      </c>
      <c r="EZ21" s="53">
        <f ca="1">INDIRECT("ZS(-1)",0) * 'Correction factor'!$C$13</f>
        <v>17259750.912173826</v>
      </c>
      <c r="FA21" s="53">
        <f t="shared" ca="1" si="60"/>
        <v>3104557477.9121737</v>
      </c>
      <c r="FB21" s="53">
        <f t="shared" ca="1" si="61"/>
        <v>2.2134555281914916</v>
      </c>
      <c r="FC21" s="53">
        <v>3384810991</v>
      </c>
      <c r="FD21" s="53">
        <v>351039527</v>
      </c>
      <c r="FE21" s="53">
        <f ca="1">INDIRECT("ZS(-1)",0) * 'Correction factor'!$C$13</f>
        <v>486843719.20772815</v>
      </c>
      <c r="FF21" s="53">
        <f t="shared" ca="1" si="62"/>
        <v>3871654710.2077284</v>
      </c>
      <c r="FG21" s="53">
        <f t="shared" ca="1" si="63"/>
        <v>2.9879286634918225</v>
      </c>
      <c r="FH21" s="53">
        <v>4233517763</v>
      </c>
      <c r="FI21" s="53">
        <v>95890946</v>
      </c>
      <c r="FJ21" s="53">
        <f ca="1">INDIRECT("ZS(-1)",0) * 'Correction factor'!$C$13</f>
        <v>132987601.67537323</v>
      </c>
      <c r="FK21" s="53">
        <f t="shared" ca="1" si="64"/>
        <v>4366505364.6753731</v>
      </c>
      <c r="FL21" s="53">
        <f t="shared" ca="1" si="65"/>
        <v>2.4598665583265644</v>
      </c>
      <c r="FM21" s="53">
        <v>4250425452</v>
      </c>
      <c r="FN21" s="53">
        <v>15194506</v>
      </c>
      <c r="FO21" s="53">
        <f ca="1">INDIRECT("ZS(-1)",0) * 'Correction factor'!$C$13</f>
        <v>21072697.64115236</v>
      </c>
      <c r="FP21" s="53">
        <f t="shared" ca="1" si="66"/>
        <v>4271498149.6411524</v>
      </c>
      <c r="FQ21" s="53">
        <f t="shared" ca="1" si="67"/>
        <v>3.0187176083501459</v>
      </c>
      <c r="FR21" s="53">
        <v>4245145949</v>
      </c>
      <c r="FS21" s="53">
        <v>19418585</v>
      </c>
      <c r="FT21" s="53">
        <f ca="1">INDIRECT("ZS(-1)",0) * 'Correction factor'!$C$13</f>
        <v>26930916.36700901</v>
      </c>
      <c r="FU21" s="53">
        <f t="shared" ca="1" si="68"/>
        <v>4272076865.3670092</v>
      </c>
      <c r="FV21" s="53">
        <f t="shared" ca="1" si="69"/>
        <v>2.9802206838380583</v>
      </c>
      <c r="FW21" s="53">
        <v>2780485994</v>
      </c>
      <c r="FX21" s="53">
        <v>1929608095</v>
      </c>
      <c r="FY21" s="53">
        <f ca="1">INDIRECT("ZS(-1)",0) * 'Correction factor'!$C$13</f>
        <v>2676102003.7015352</v>
      </c>
      <c r="FZ21" s="53">
        <f t="shared" ca="1" si="70"/>
        <v>5456587997.7015352</v>
      </c>
      <c r="GA21" s="53">
        <f t="shared" ca="1" si="71"/>
        <v>4.3789073612624021</v>
      </c>
      <c r="GB21" s="53">
        <v>3095990075</v>
      </c>
      <c r="GC21" s="53">
        <v>9637856</v>
      </c>
      <c r="GD21" s="53">
        <f ca="1">INDIRECT("ZS(-1)",0) * 'Correction factor'!$C$13</f>
        <v>13366385.54731336</v>
      </c>
      <c r="GE21" s="53">
        <f t="shared" ca="1" si="72"/>
        <v>3109356460.5473132</v>
      </c>
      <c r="GF21" s="53">
        <f t="shared" ca="1" si="73"/>
        <v>2.1682950105639396</v>
      </c>
      <c r="GG21" s="53">
        <v>2365103966</v>
      </c>
      <c r="GH21" s="53">
        <v>16670051</v>
      </c>
      <c r="GI21" s="53">
        <f ca="1">INDIRECT("ZS(-1)",0) * 'Correction factor'!$C$13</f>
        <v>23119076.354676459</v>
      </c>
      <c r="GJ21" s="53">
        <f t="shared" ca="1" si="74"/>
        <v>2388223042.3546762</v>
      </c>
      <c r="GK21" s="53">
        <f t="shared" ca="1" si="75"/>
        <v>1.665297651136834</v>
      </c>
      <c r="GL21" s="53">
        <v>706280827</v>
      </c>
      <c r="GM21" s="53">
        <v>299337191</v>
      </c>
      <c r="GN21" s="53">
        <f ca="1">INDIRECT("ZS(-1)",0) * 'Correction factor'!$C$13</f>
        <v>415139664.21118748</v>
      </c>
      <c r="GO21" s="53">
        <f t="shared" ca="1" si="76"/>
        <v>1121420491.2111874</v>
      </c>
      <c r="GP21" s="53">
        <f t="shared" ca="1" si="77"/>
        <v>0.77361406782224462</v>
      </c>
      <c r="GQ21" s="53">
        <v>1706152732</v>
      </c>
      <c r="GR21" s="53">
        <v>9650682</v>
      </c>
      <c r="GS21" s="53">
        <f ca="1">INDIRECT("ZS(-1)",0) * 'Correction factor'!$C$13</f>
        <v>13384173.451701</v>
      </c>
      <c r="GT21" s="53">
        <f t="shared" ca="1" si="78"/>
        <v>1719536905.4517009</v>
      </c>
      <c r="GU21" s="53">
        <f t="shared" ca="1" si="79"/>
        <v>1.7829603592487904</v>
      </c>
      <c r="GV21" s="53">
        <v>1552428818</v>
      </c>
      <c r="GW21" s="53">
        <v>134948178</v>
      </c>
      <c r="GX21" s="53">
        <f ca="1">INDIRECT("ZS(-1)",0) * 'Correction factor'!$C$13</f>
        <v>187154630.24717018</v>
      </c>
      <c r="GY21" s="53">
        <f t="shared" ca="1" si="80"/>
        <v>1739583448.2471702</v>
      </c>
      <c r="GZ21" s="53">
        <f t="shared" ca="1" si="81"/>
        <v>1.2349414655048963</v>
      </c>
      <c r="HA21" s="53">
        <v>561200254</v>
      </c>
      <c r="HB21" s="53">
        <v>917802083</v>
      </c>
      <c r="HC21" s="53">
        <f ca="1">INDIRECT("ZS(-1)",0) * 'Correction factor'!$C$13</f>
        <v>1272865718.0087872</v>
      </c>
      <c r="HD21" s="53">
        <f t="shared" ca="1" si="82"/>
        <v>1834065972.0087872</v>
      </c>
      <c r="HE21" s="53">
        <f t="shared" ca="1" si="83"/>
        <v>1.3432268274784571</v>
      </c>
      <c r="HF21" s="53">
        <v>484410128</v>
      </c>
      <c r="HG21" s="53">
        <v>3280021442</v>
      </c>
      <c r="HH21" s="53">
        <f ca="1">INDIRECT("ZS(-1)",0) * 'Correction factor'!$C$13</f>
        <v>4548940261.9448481</v>
      </c>
      <c r="HI21" s="53">
        <f t="shared" ca="1" si="84"/>
        <v>5033350389.9448481</v>
      </c>
      <c r="HJ21" s="53">
        <f t="shared" ca="1" si="85"/>
        <v>3.707716577717671</v>
      </c>
      <c r="HK21" s="53">
        <v>508236163</v>
      </c>
      <c r="HL21" s="53">
        <v>4881073469</v>
      </c>
      <c r="HM21" s="53">
        <f ca="1">INDIRECT("ZS(-1)",0) * 'Correction factor'!$C$13</f>
        <v>6769380023.0483093</v>
      </c>
      <c r="HN21" s="53">
        <f t="shared" ca="1" si="86"/>
        <v>7277616186.0483093</v>
      </c>
      <c r="HO21" s="53">
        <f t="shared" ca="1" si="87"/>
        <v>5.4177798299683024</v>
      </c>
      <c r="HP21" s="53">
        <v>842810489</v>
      </c>
      <c r="HQ21" s="53">
        <v>10554495</v>
      </c>
      <c r="HR21" s="53">
        <f ca="1">INDIRECT("ZS(-1)",0) * 'Correction factor'!$C$13</f>
        <v>14637638.228584357</v>
      </c>
      <c r="HS21" s="53">
        <f t="shared" ca="1" si="88"/>
        <v>857448127.22858441</v>
      </c>
      <c r="HT21" s="53">
        <f t="shared" ca="1" si="89"/>
        <v>0.5558771542729114</v>
      </c>
      <c r="HU21" s="53">
        <v>560240921</v>
      </c>
      <c r="HV21" s="53">
        <v>92256257</v>
      </c>
      <c r="HW21" s="53">
        <f ca="1">INDIRECT("ZS(-1)",0) * 'Correction factor'!$C$13</f>
        <v>127946786.11239128</v>
      </c>
      <c r="HX21" s="53">
        <f t="shared" ca="1" si="90"/>
        <v>688187707.11239123</v>
      </c>
      <c r="HY21" s="53">
        <f t="shared" ca="1" si="91"/>
        <v>0.54002313554059389</v>
      </c>
      <c r="HZ21" s="53">
        <v>575924372</v>
      </c>
      <c r="IA21" s="53">
        <v>1654300968</v>
      </c>
      <c r="IB21" s="53">
        <f ca="1">INDIRECT("ZS(-1)",0) * 'Correction factor'!$C$13</f>
        <v>2294288745.2958107</v>
      </c>
      <c r="IC21" s="53">
        <f t="shared" ca="1" si="92"/>
        <v>2870213117.2958107</v>
      </c>
      <c r="ID21" s="53">
        <f t="shared" ca="1" si="93"/>
        <v>2.2256574585042794</v>
      </c>
      <c r="IE21" s="53">
        <v>435807742</v>
      </c>
      <c r="IF21" s="53">
        <v>11774199</v>
      </c>
      <c r="IG21" s="53">
        <f ca="1">INDIRECT("ZS(-1)",0) * 'Correction factor'!$C$13</f>
        <v>16329200.534308815</v>
      </c>
      <c r="IH21" s="53">
        <f t="shared" ca="1" si="94"/>
        <v>452136942.53430879</v>
      </c>
      <c r="II21" s="61">
        <f t="shared" ca="1" si="95"/>
        <v>0.34598046703066243</v>
      </c>
    </row>
    <row r="22" spans="1:243" s="3" customFormat="1" x14ac:dyDescent="0.25">
      <c r="A22" s="57">
        <v>18</v>
      </c>
      <c r="B22" s="56">
        <v>45509</v>
      </c>
      <c r="C22" s="29" t="s">
        <v>35</v>
      </c>
      <c r="D22" s="52">
        <v>5980206083</v>
      </c>
      <c r="E22" s="53">
        <v>17645060</v>
      </c>
      <c r="F22" s="53">
        <f ca="1">INDIRECT("ZS(-1)",0) * 'Correction factor'!$C$13</f>
        <v>24471280.227207907</v>
      </c>
      <c r="G22" s="53">
        <f t="shared" ca="1" si="0"/>
        <v>6004677363.2272081</v>
      </c>
      <c r="H22" s="53">
        <f t="shared" ca="1" si="1"/>
        <v>4.34286700379071</v>
      </c>
      <c r="I22" s="53">
        <v>4267190176</v>
      </c>
      <c r="J22" s="53">
        <v>26093837</v>
      </c>
      <c r="K22" s="53">
        <f ca="1">INDIRECT("ZS(-1)",0) * 'Correction factor'!$C$13</f>
        <v>36188576.14709647</v>
      </c>
      <c r="L22" s="53">
        <f t="shared" ca="1" si="2"/>
        <v>4303378752.1470966</v>
      </c>
      <c r="M22" s="53">
        <f t="shared" ca="1" si="3"/>
        <v>2.820879612299461</v>
      </c>
      <c r="N22" s="53">
        <v>4992674075</v>
      </c>
      <c r="O22" s="53">
        <v>13250776</v>
      </c>
      <c r="P22" s="53">
        <f ca="1">INDIRECT("ZS(-1)",0) * 'Correction factor'!$C$13</f>
        <v>18377010.490412675</v>
      </c>
      <c r="Q22" s="53">
        <f t="shared" ca="1" si="4"/>
        <v>5011051085.4904127</v>
      </c>
      <c r="R22" s="53">
        <f t="shared" ca="1" si="5"/>
        <v>3.9011208743388073</v>
      </c>
      <c r="S22" s="53">
        <v>4005882313</v>
      </c>
      <c r="T22" s="53">
        <v>12572164</v>
      </c>
      <c r="U22" s="53">
        <f ca="1">INDIRECT("ZS(-1)",0) * 'Correction factor'!$C$13</f>
        <v>17435868.640084818</v>
      </c>
      <c r="V22" s="53">
        <f t="shared" ca="1" si="6"/>
        <v>4023318181.6400847</v>
      </c>
      <c r="W22" s="53">
        <f t="shared" ca="1" si="7"/>
        <v>2.7465203882120877</v>
      </c>
      <c r="X22" s="53">
        <v>6800689434</v>
      </c>
      <c r="Y22" s="53">
        <v>19306543</v>
      </c>
      <c r="Z22" s="53">
        <f ca="1">INDIRECT("ZS(-1)",0) * 'Correction factor'!$C$13</f>
        <v>26775529.466697149</v>
      </c>
      <c r="AA22" s="53">
        <f t="shared" ca="1" si="8"/>
        <v>6827464963.4666967</v>
      </c>
      <c r="AB22" s="53">
        <f t="shared" ca="1" si="9"/>
        <v>4.7616743767536684</v>
      </c>
      <c r="AC22" s="53">
        <v>6412637039</v>
      </c>
      <c r="AD22" s="53">
        <v>24171101</v>
      </c>
      <c r="AE22" s="53">
        <f ca="1">INDIRECT("ZS(-1)",0) * 'Correction factor'!$C$13</f>
        <v>33522004.79744162</v>
      </c>
      <c r="AF22" s="53">
        <f t="shared" ca="1" si="10"/>
        <v>6446159043.7974415</v>
      </c>
      <c r="AG22" s="53">
        <f t="shared" ca="1" si="11"/>
        <v>4.1585082180693478</v>
      </c>
      <c r="AH22" s="53">
        <v>215496566</v>
      </c>
      <c r="AI22" s="53">
        <v>12938289</v>
      </c>
      <c r="AJ22" s="53">
        <f ca="1">INDIRECT("ZS(-1)",0) * 'Correction factor'!$C$13</f>
        <v>17943633.84310405</v>
      </c>
      <c r="AK22" s="53">
        <f t="shared" ca="1" si="12"/>
        <v>233440199.84310406</v>
      </c>
      <c r="AL22" s="53">
        <f t="shared" ca="1" si="13"/>
        <v>0.1324857260213487</v>
      </c>
      <c r="AM22" s="53">
        <v>345119851</v>
      </c>
      <c r="AN22" s="53">
        <v>3474524724</v>
      </c>
      <c r="AO22" s="53">
        <f ca="1">INDIRECT("ZS(-1)",0) * 'Correction factor'!$C$13</f>
        <v>4818689660.2996082</v>
      </c>
      <c r="AP22" s="53">
        <f t="shared" ca="1" si="14"/>
        <v>5163809511.2996082</v>
      </c>
      <c r="AQ22" s="53">
        <f t="shared" ca="1" si="15"/>
        <v>3.3534468512365954</v>
      </c>
      <c r="AR22" s="53">
        <v>166987495</v>
      </c>
      <c r="AS22" s="53">
        <v>15468164</v>
      </c>
      <c r="AT22" s="53">
        <f ca="1">INDIRECT("ZS(-1)",0) * 'Correction factor'!$C$13</f>
        <v>21452223.78639739</v>
      </c>
      <c r="AU22" s="53">
        <f t="shared" ca="1" si="16"/>
        <v>188439718.7863974</v>
      </c>
      <c r="AV22" s="53">
        <f t="shared" ca="1" si="17"/>
        <v>0.13485244660009554</v>
      </c>
      <c r="AW22" s="53">
        <v>48939927</v>
      </c>
      <c r="AX22" s="53">
        <v>11841935</v>
      </c>
      <c r="AY22" s="53">
        <f ca="1">INDIRECT("ZS(-1)",0) * 'Correction factor'!$C$13</f>
        <v>16423141.084098397</v>
      </c>
      <c r="AZ22" s="53">
        <f t="shared" ca="1" si="18"/>
        <v>65363068.084098399</v>
      </c>
      <c r="BA22" s="53">
        <f t="shared" ca="1" si="19"/>
        <v>4.4907182172320613E-2</v>
      </c>
      <c r="BB22" s="53">
        <v>213656798</v>
      </c>
      <c r="BC22" s="53">
        <v>13216345</v>
      </c>
      <c r="BD22" s="53">
        <f ca="1">INDIRECT("ZS(-1)",0) * 'Correction factor'!$C$13</f>
        <v>18329259.411668651</v>
      </c>
      <c r="BE22" s="53">
        <f t="shared" ca="1" si="20"/>
        <v>231986057.41166866</v>
      </c>
      <c r="BF22" s="53">
        <f t="shared" ca="1" si="21"/>
        <v>0.15746459438240909</v>
      </c>
      <c r="BG22" s="53">
        <v>309230788</v>
      </c>
      <c r="BH22" s="53">
        <v>12876852</v>
      </c>
      <c r="BI22" s="53">
        <f ca="1">INDIRECT("ZS(-1)",0) * 'Correction factor'!$C$13</f>
        <v>17858429.143130291</v>
      </c>
      <c r="BJ22" s="53">
        <f t="shared" ca="1" si="22"/>
        <v>327089217.1431303</v>
      </c>
      <c r="BK22" s="53">
        <f t="shared" ca="1" si="23"/>
        <v>0.19922922134353871</v>
      </c>
      <c r="BL22" s="53">
        <v>790312152</v>
      </c>
      <c r="BM22" s="53">
        <v>9515844505</v>
      </c>
      <c r="BN22" s="53">
        <f ca="1">INDIRECT("ZS(-1)",0) * 'Correction factor'!$C$13</f>
        <v>13197172323.607372</v>
      </c>
      <c r="BO22" s="53">
        <f t="shared" ca="1" si="24"/>
        <v>13987484475.607372</v>
      </c>
      <c r="BP22" s="53">
        <f t="shared" ca="1" si="25"/>
        <v>67.084385133469226</v>
      </c>
      <c r="BQ22" s="53">
        <v>670722469</v>
      </c>
      <c r="BR22" s="53">
        <v>8590195030</v>
      </c>
      <c r="BS22" s="53">
        <f ca="1">INDIRECT("ZS(-1)",0) * 'Correction factor'!$C$13</f>
        <v>11913423348.262835</v>
      </c>
      <c r="BT22" s="53">
        <f t="shared" ca="1" si="26"/>
        <v>12584145817.262835</v>
      </c>
      <c r="BU22" s="53">
        <f t="shared" ca="1" si="27"/>
        <v>73.879752766629693</v>
      </c>
      <c r="BV22" s="53">
        <v>17963981</v>
      </c>
      <c r="BW22" s="53">
        <v>195624336</v>
      </c>
      <c r="BX22" s="53">
        <f ca="1">INDIRECT("ZS(-1)",0) * 'Correction factor'!$C$13</f>
        <v>271304146.62899846</v>
      </c>
      <c r="BY22" s="53">
        <f t="shared" ca="1" si="28"/>
        <v>289268127.62899846</v>
      </c>
      <c r="BZ22" s="53">
        <f t="shared" ca="1" si="29"/>
        <v>1.8410537917643865</v>
      </c>
      <c r="CA22" s="53">
        <v>759789698</v>
      </c>
      <c r="CB22" s="53">
        <v>9667143832</v>
      </c>
      <c r="CC22" s="53">
        <f ca="1">INDIRECT("ZS(-1)",0) * 'Correction factor'!$C$13</f>
        <v>13407003756.835991</v>
      </c>
      <c r="CD22" s="53">
        <f t="shared" ca="1" si="30"/>
        <v>14166793454.835991</v>
      </c>
      <c r="CE22" s="53">
        <f t="shared" ca="1" si="31"/>
        <v>80.187612158169756</v>
      </c>
      <c r="CF22" s="53">
        <v>22748506</v>
      </c>
      <c r="CG22" s="53">
        <v>10991395</v>
      </c>
      <c r="CH22" s="53">
        <f ca="1">INDIRECT("ZS(-1)",0) * 'Correction factor'!$C$13</f>
        <v>15243558.657943461</v>
      </c>
      <c r="CI22" s="53">
        <f t="shared" ca="1" si="32"/>
        <v>37992064.657943457</v>
      </c>
      <c r="CJ22" s="53">
        <f t="shared" ca="1" si="33"/>
        <v>0.27599155632329914</v>
      </c>
      <c r="CK22" s="53">
        <v>37282293</v>
      </c>
      <c r="CL22" s="53">
        <v>505390270</v>
      </c>
      <c r="CM22" s="53">
        <f ca="1">INDIRECT("ZS(-1)",0) * 'Correction factor'!$C$13</f>
        <v>700907048.27720988</v>
      </c>
      <c r="CN22" s="53">
        <f t="shared" ca="1" si="34"/>
        <v>738189341.27720988</v>
      </c>
      <c r="CO22" s="53">
        <f t="shared" ca="1" si="35"/>
        <v>5.2729240739811774</v>
      </c>
      <c r="CP22" s="53">
        <v>4686374847</v>
      </c>
      <c r="CQ22" s="53">
        <v>16196440</v>
      </c>
      <c r="CR22" s="53">
        <f ca="1">INDIRECT("ZS(-1)",0) * 'Correction factor'!$C$13</f>
        <v>22462242.799013391</v>
      </c>
      <c r="CS22" s="53">
        <f t="shared" ca="1" si="36"/>
        <v>4708837089.7990131</v>
      </c>
      <c r="CT22" s="53">
        <f t="shared" ca="1" si="37"/>
        <v>3.2078002526548954</v>
      </c>
      <c r="CU22" s="53">
        <v>4012816875</v>
      </c>
      <c r="CV22" s="53">
        <v>14084258</v>
      </c>
      <c r="CW22" s="53">
        <f ca="1">INDIRECT("ZS(-1)",0) * 'Correction factor'!$C$13</f>
        <v>19532935.808112569</v>
      </c>
      <c r="CX22" s="53">
        <f t="shared" ca="1" si="38"/>
        <v>4032349810.8081126</v>
      </c>
      <c r="CY22" s="53">
        <f t="shared" ca="1" si="39"/>
        <v>3.0852192889119694</v>
      </c>
      <c r="CZ22" s="53">
        <v>3972566670</v>
      </c>
      <c r="DA22" s="53">
        <v>173208809</v>
      </c>
      <c r="DB22" s="53">
        <f ca="1">INDIRECT("ZS(-1)",0) * 'Correction factor'!$C$13</f>
        <v>240216882.39427528</v>
      </c>
      <c r="DC22" s="53">
        <f t="shared" ca="1" si="40"/>
        <v>4212783552.3942752</v>
      </c>
      <c r="DD22" s="53">
        <f t="shared" ca="1" si="41"/>
        <v>2.7651155573003474</v>
      </c>
      <c r="DE22" s="53">
        <v>3790552163</v>
      </c>
      <c r="DF22" s="53">
        <v>466577649</v>
      </c>
      <c r="DG22" s="53">
        <f ca="1">INDIRECT("ZS(-1)",0) * 'Correction factor'!$C$13</f>
        <v>647079261.6421169</v>
      </c>
      <c r="DH22" s="53">
        <f t="shared" ca="1" si="42"/>
        <v>4437631424.6421165</v>
      </c>
      <c r="DI22" s="53">
        <f t="shared" ca="1" si="43"/>
        <v>3.2312062538646797</v>
      </c>
      <c r="DJ22" s="53">
        <v>3145522755</v>
      </c>
      <c r="DK22" s="53">
        <v>367506609</v>
      </c>
      <c r="DL22" s="53">
        <f ca="1">INDIRECT("ZS(-1)",0) * 'Correction factor'!$C$13</f>
        <v>509681305.37328446</v>
      </c>
      <c r="DM22" s="53">
        <f t="shared" ca="1" si="44"/>
        <v>3655204060.3732843</v>
      </c>
      <c r="DN22" s="53">
        <f t="shared" ca="1" si="45"/>
        <v>3.0127663806423781</v>
      </c>
      <c r="DO22" s="53">
        <v>3576748355</v>
      </c>
      <c r="DP22" s="53">
        <v>252082228</v>
      </c>
      <c r="DQ22" s="53">
        <f ca="1">INDIRECT("ZS(-1)",0) * 'Correction factor'!$C$13</f>
        <v>349603506.11938494</v>
      </c>
      <c r="DR22" s="53">
        <f t="shared" ca="1" si="46"/>
        <v>3926351861.1193848</v>
      </c>
      <c r="DS22" s="53">
        <f t="shared" ca="1" si="47"/>
        <v>2.9581104046612245</v>
      </c>
      <c r="DT22" s="53">
        <v>2731376954</v>
      </c>
      <c r="DU22" s="53">
        <v>1535454415</v>
      </c>
      <c r="DV22" s="53">
        <f ca="1">INDIRECT("ZS(-1)",0) * 'Correction factor'!$C$13</f>
        <v>2129464862.4356382</v>
      </c>
      <c r="DW22" s="53">
        <f t="shared" ca="1" si="48"/>
        <v>4860841816.4356384</v>
      </c>
      <c r="DX22" s="53">
        <f t="shared" ca="1" si="49"/>
        <v>3.5794012720424413</v>
      </c>
      <c r="DY22" s="53">
        <v>2868806698</v>
      </c>
      <c r="DZ22" s="53">
        <v>1418695609</v>
      </c>
      <c r="EA22" s="53">
        <f ca="1">INDIRECT("ZS(-1)",0) * 'Correction factor'!$C$13</f>
        <v>1967536398.5698195</v>
      </c>
      <c r="EB22" s="53">
        <f t="shared" ca="1" si="50"/>
        <v>4836343096.5698195</v>
      </c>
      <c r="EC22" s="53">
        <f t="shared" ca="1" si="51"/>
        <v>3.4202625005559102</v>
      </c>
      <c r="ED22" s="53">
        <v>919043111</v>
      </c>
      <c r="EE22" s="53">
        <v>2329235417</v>
      </c>
      <c r="EF22" s="53">
        <f ca="1">INDIRECT("ZS(-1)",0) * 'Correction factor'!$C$13</f>
        <v>3230330336.3402824</v>
      </c>
      <c r="EG22" s="53">
        <f t="shared" ca="1" si="52"/>
        <v>4149373447.3402824</v>
      </c>
      <c r="EH22" s="53">
        <f t="shared" ca="1" si="53"/>
        <v>3.172263917979429</v>
      </c>
      <c r="EI22" s="53">
        <v>2636151161</v>
      </c>
      <c r="EJ22" s="53">
        <v>1095005310</v>
      </c>
      <c r="EK22" s="53">
        <f ca="1">INDIRECT("ZS(-1)",0) * 'Correction factor'!$C$13</f>
        <v>1518622310.79354</v>
      </c>
      <c r="EL22" s="53">
        <f t="shared" ca="1" si="54"/>
        <v>4154773471.79354</v>
      </c>
      <c r="EM22" s="53">
        <f t="shared" ca="1" si="55"/>
        <v>3.1570195132141734</v>
      </c>
      <c r="EN22" s="53">
        <v>3871268694</v>
      </c>
      <c r="EO22" s="53">
        <v>16028913</v>
      </c>
      <c r="EP22" s="53">
        <f ca="1">INDIRECT("ZS(-1)",0) * 'Correction factor'!$C$13</f>
        <v>22229905.807094775</v>
      </c>
      <c r="EQ22" s="53">
        <f t="shared" ca="1" si="56"/>
        <v>3893498599.8070946</v>
      </c>
      <c r="ER22" s="53">
        <f t="shared" ca="1" si="57"/>
        <v>2.6472555992192595</v>
      </c>
      <c r="ES22" s="53">
        <v>3467238920</v>
      </c>
      <c r="ET22" s="53">
        <v>18350906</v>
      </c>
      <c r="EU22" s="53">
        <f ca="1">INDIRECT("ZS(-1)",0) * 'Correction factor'!$C$13</f>
        <v>25450191.903521489</v>
      </c>
      <c r="EV22" s="53">
        <f t="shared" ca="1" si="58"/>
        <v>3492689111.9035215</v>
      </c>
      <c r="EW22" s="53">
        <f t="shared" ca="1" si="59"/>
        <v>2.38747156183558</v>
      </c>
      <c r="EX22" s="53">
        <v>3242137001</v>
      </c>
      <c r="EY22" s="53">
        <v>13142927</v>
      </c>
      <c r="EZ22" s="53">
        <f ca="1">INDIRECT("ZS(-1)",0) * 'Correction factor'!$C$13</f>
        <v>18227438.706512582</v>
      </c>
      <c r="FA22" s="53">
        <f t="shared" ca="1" si="60"/>
        <v>3260364439.7065125</v>
      </c>
      <c r="FB22" s="53">
        <f t="shared" ca="1" si="61"/>
        <v>2.3245411767478608</v>
      </c>
      <c r="FC22" s="53">
        <v>3459841814</v>
      </c>
      <c r="FD22" s="53">
        <v>473529585</v>
      </c>
      <c r="FE22" s="53">
        <f ca="1">INDIRECT("ZS(-1)",0) * 'Correction factor'!$C$13</f>
        <v>656720644.21478105</v>
      </c>
      <c r="FF22" s="53">
        <f t="shared" ca="1" si="62"/>
        <v>4116562458.2147808</v>
      </c>
      <c r="FG22" s="53">
        <f t="shared" ca="1" si="63"/>
        <v>3.176934898539638</v>
      </c>
      <c r="FH22" s="53">
        <v>4172894250</v>
      </c>
      <c r="FI22" s="53">
        <v>123100677</v>
      </c>
      <c r="FJ22" s="53">
        <f ca="1">INDIRECT("ZS(-1)",0) * 'Correction factor'!$C$13</f>
        <v>170723769.88380924</v>
      </c>
      <c r="FK22" s="53">
        <f t="shared" ca="1" si="64"/>
        <v>4343618019.8838091</v>
      </c>
      <c r="FL22" s="53">
        <f t="shared" ca="1" si="65"/>
        <v>2.4469729948565369</v>
      </c>
      <c r="FM22" s="53">
        <v>4407462354</v>
      </c>
      <c r="FN22" s="53">
        <v>16142081</v>
      </c>
      <c r="FO22" s="53">
        <f ca="1">INDIRECT("ZS(-1)",0) * 'Correction factor'!$C$13</f>
        <v>22386854.315105099</v>
      </c>
      <c r="FP22" s="53">
        <f t="shared" ca="1" si="66"/>
        <v>4429849208.3151054</v>
      </c>
      <c r="FQ22" s="53">
        <f t="shared" ca="1" si="67"/>
        <v>3.1306261501249111</v>
      </c>
      <c r="FR22" s="53">
        <v>4326060894</v>
      </c>
      <c r="FS22" s="53">
        <v>20151955</v>
      </c>
      <c r="FT22" s="53">
        <f ca="1">INDIRECT("ZS(-1)",0) * 'Correction factor'!$C$13</f>
        <v>27948000.059568144</v>
      </c>
      <c r="FU22" s="53">
        <f t="shared" ca="1" si="68"/>
        <v>4354008894.0595684</v>
      </c>
      <c r="FV22" s="53">
        <f t="shared" ca="1" si="69"/>
        <v>3.0373768479880683</v>
      </c>
      <c r="FW22" s="53">
        <v>2454617534</v>
      </c>
      <c r="FX22" s="53">
        <v>2468634934</v>
      </c>
      <c r="FY22" s="53">
        <f ca="1">INDIRECT("ZS(-1)",0) * 'Correction factor'!$C$13</f>
        <v>3423658363.7907095</v>
      </c>
      <c r="FZ22" s="53">
        <f t="shared" ca="1" si="70"/>
        <v>5878275897.7907095</v>
      </c>
      <c r="GA22" s="53">
        <f t="shared" ca="1" si="71"/>
        <v>4.7173115527889715</v>
      </c>
      <c r="GB22" s="53">
        <v>3153972470</v>
      </c>
      <c r="GC22" s="53">
        <v>10025125</v>
      </c>
      <c r="GD22" s="53">
        <f ca="1">INDIRECT("ZS(-1)",0) * 'Correction factor'!$C$13</f>
        <v>13903474.580862159</v>
      </c>
      <c r="GE22" s="53">
        <f t="shared" ca="1" si="72"/>
        <v>3167875944.580862</v>
      </c>
      <c r="GF22" s="53">
        <f t="shared" ca="1" si="73"/>
        <v>2.2091032957704497</v>
      </c>
      <c r="GG22" s="53">
        <v>2322149414</v>
      </c>
      <c r="GH22" s="53">
        <v>16759488</v>
      </c>
      <c r="GI22" s="53">
        <f ca="1">INDIRECT("ZS(-1)",0) * 'Correction factor'!$C$13</f>
        <v>23243113.217667051</v>
      </c>
      <c r="GJ22" s="53">
        <f t="shared" ca="1" si="74"/>
        <v>2345392527.2176671</v>
      </c>
      <c r="GK22" s="53">
        <f t="shared" ca="1" si="75"/>
        <v>1.6354321172274391</v>
      </c>
      <c r="GL22" s="53">
        <v>679225817</v>
      </c>
      <c r="GM22" s="53">
        <v>398236184</v>
      </c>
      <c r="GN22" s="53">
        <f ca="1">INDIRECT("ZS(-1)",0) * 'Correction factor'!$C$13</f>
        <v>552299014.86749995</v>
      </c>
      <c r="GO22" s="53">
        <f t="shared" ca="1" si="76"/>
        <v>1231524831.8674998</v>
      </c>
      <c r="GP22" s="53">
        <f t="shared" ca="1" si="77"/>
        <v>0.84956975752791386</v>
      </c>
      <c r="GQ22" s="53">
        <v>1870822474</v>
      </c>
      <c r="GR22" s="53">
        <v>9807877</v>
      </c>
      <c r="GS22" s="53">
        <f ca="1">INDIRECT("ZS(-1)",0) * 'Correction factor'!$C$13</f>
        <v>13602181.375466403</v>
      </c>
      <c r="GT22" s="53">
        <f t="shared" ca="1" si="78"/>
        <v>1884424655.3754663</v>
      </c>
      <c r="GU22" s="53">
        <f t="shared" ca="1" si="79"/>
        <v>1.9539298341741189</v>
      </c>
      <c r="GV22" s="53">
        <v>1865343124</v>
      </c>
      <c r="GW22" s="53">
        <v>141233108</v>
      </c>
      <c r="GX22" s="53">
        <f ca="1">INDIRECT("ZS(-1)",0) * 'Correction factor'!$C$13</f>
        <v>195870966.90107706</v>
      </c>
      <c r="GY22" s="53">
        <f t="shared" ca="1" si="80"/>
        <v>2061214090.901077</v>
      </c>
      <c r="GZ22" s="53">
        <f t="shared" ca="1" si="81"/>
        <v>1.463269124974476</v>
      </c>
      <c r="HA22" s="53">
        <v>589568912</v>
      </c>
      <c r="HB22" s="53">
        <v>1293883196</v>
      </c>
      <c r="HC22" s="53">
        <f ca="1">INDIRECT("ZS(-1)",0) * 'Correction factor'!$C$13</f>
        <v>1794438685.4219465</v>
      </c>
      <c r="HD22" s="53">
        <f t="shared" ca="1" si="82"/>
        <v>2384007597.4219465</v>
      </c>
      <c r="HE22" s="53">
        <f t="shared" ca="1" si="83"/>
        <v>1.7459911533401906</v>
      </c>
      <c r="HF22" s="53">
        <v>509047062</v>
      </c>
      <c r="HG22" s="53">
        <v>4079180299</v>
      </c>
      <c r="HH22" s="53">
        <f ca="1">INDIRECT("ZS(-1)",0) * 'Correction factor'!$C$13</f>
        <v>5657264083.7795238</v>
      </c>
      <c r="HI22" s="53">
        <f t="shared" ca="1" si="84"/>
        <v>6166311145.7795238</v>
      </c>
      <c r="HJ22" s="53">
        <f t="shared" ca="1" si="85"/>
        <v>4.5422893872529508</v>
      </c>
      <c r="HK22" s="53">
        <v>643381788</v>
      </c>
      <c r="HL22" s="53">
        <v>6771959600</v>
      </c>
      <c r="HM22" s="53">
        <f ca="1">INDIRECT("ZS(-1)",0) * 'Correction factor'!$C$13</f>
        <v>9391779968.9505596</v>
      </c>
      <c r="HN22" s="53">
        <f t="shared" ca="1" si="86"/>
        <v>10035161756.95056</v>
      </c>
      <c r="HO22" s="53">
        <f t="shared" ca="1" si="87"/>
        <v>7.4706188904965583</v>
      </c>
      <c r="HP22" s="53">
        <v>1093156434</v>
      </c>
      <c r="HQ22" s="53">
        <v>11171097</v>
      </c>
      <c r="HR22" s="53">
        <f ca="1">INDIRECT("ZS(-1)",0) * 'Correction factor'!$C$13</f>
        <v>15492780.706459573</v>
      </c>
      <c r="HS22" s="53">
        <f t="shared" ca="1" si="88"/>
        <v>1108649214.7064595</v>
      </c>
      <c r="HT22" s="53">
        <f t="shared" ca="1" si="89"/>
        <v>0.71872892480367434</v>
      </c>
      <c r="HU22" s="53">
        <v>627041217</v>
      </c>
      <c r="HV22" s="53">
        <v>126094704</v>
      </c>
      <c r="HW22" s="53">
        <f ca="1">INDIRECT("ZS(-1)",0) * 'Correction factor'!$C$13</f>
        <v>174876075.04598078</v>
      </c>
      <c r="HX22" s="53">
        <f t="shared" ca="1" si="90"/>
        <v>801917292.04598081</v>
      </c>
      <c r="HY22" s="53">
        <f t="shared" ca="1" si="91"/>
        <v>0.62926711131178137</v>
      </c>
      <c r="HZ22" s="53">
        <v>546866236</v>
      </c>
      <c r="IA22" s="53">
        <v>1879430350</v>
      </c>
      <c r="IB22" s="53">
        <f ca="1">INDIRECT("ZS(-1)",0) * 'Correction factor'!$C$13</f>
        <v>2606512347.4994946</v>
      </c>
      <c r="IC22" s="53">
        <f t="shared" ca="1" si="92"/>
        <v>3153378583.4994946</v>
      </c>
      <c r="ID22" s="53">
        <f t="shared" ca="1" si="93"/>
        <v>2.4452332551757281</v>
      </c>
      <c r="IE22" s="53">
        <v>479792140</v>
      </c>
      <c r="IF22" s="53">
        <v>12021348</v>
      </c>
      <c r="IG22" s="53">
        <f ca="1">INDIRECT("ZS(-1)",0) * 'Correction factor'!$C$13</f>
        <v>16671962.329217656</v>
      </c>
      <c r="IH22" s="53">
        <f t="shared" ca="1" si="94"/>
        <v>496464102.32921767</v>
      </c>
      <c r="II22" s="61">
        <f t="shared" ca="1" si="95"/>
        <v>0.37990012721596489</v>
      </c>
    </row>
    <row r="23" spans="1:243" x14ac:dyDescent="0.25">
      <c r="A23" s="5">
        <v>19</v>
      </c>
      <c r="B23" s="30">
        <v>45510</v>
      </c>
      <c r="C23" s="29" t="s">
        <v>36</v>
      </c>
      <c r="D23" s="52">
        <v>6464599759</v>
      </c>
      <c r="E23" s="53">
        <v>17753331</v>
      </c>
      <c r="F23" s="53">
        <f ca="1">INDIRECT("ZS(-1)",0) * 'Correction factor'!$C$13</f>
        <v>24621437.267279178</v>
      </c>
      <c r="G23" s="53">
        <f t="shared" ca="1" si="0"/>
        <v>6489221196.2672796</v>
      </c>
      <c r="H23" s="53">
        <f t="shared" ca="1" si="1"/>
        <v>4.693312048063504</v>
      </c>
      <c r="I23" s="53">
        <v>4748237329</v>
      </c>
      <c r="J23" s="53">
        <v>28870165</v>
      </c>
      <c r="K23" s="53">
        <f ca="1">INDIRECT("ZS(-1)",0) * 'Correction factor'!$C$13</f>
        <v>40038962.628675088</v>
      </c>
      <c r="L23" s="53">
        <f t="shared" ca="1" si="2"/>
        <v>4788276291.6286755</v>
      </c>
      <c r="M23" s="53">
        <f t="shared" ca="1" si="3"/>
        <v>3.1387316216061718</v>
      </c>
      <c r="N23" s="53">
        <v>5402668471</v>
      </c>
      <c r="O23" s="53">
        <v>13425018</v>
      </c>
      <c r="P23" s="53">
        <f ca="1">INDIRECT("ZS(-1)",0) * 'Correction factor'!$C$13</f>
        <v>18618660.267140504</v>
      </c>
      <c r="Q23" s="53">
        <f t="shared" ca="1" si="4"/>
        <v>5421287131.2671404</v>
      </c>
      <c r="R23" s="53">
        <f t="shared" ca="1" si="5"/>
        <v>4.2204910771730457</v>
      </c>
      <c r="S23" s="53">
        <v>4446293957</v>
      </c>
      <c r="T23" s="53">
        <v>12707890</v>
      </c>
      <c r="U23" s="53">
        <f ca="1">INDIRECT("ZS(-1)",0) * 'Correction factor'!$C$13</f>
        <v>17624102.002857063</v>
      </c>
      <c r="V23" s="53">
        <f t="shared" ca="1" si="6"/>
        <v>4463918059.0028572</v>
      </c>
      <c r="W23" s="53">
        <f t="shared" ca="1" si="7"/>
        <v>3.0472961388705411</v>
      </c>
      <c r="X23" s="53">
        <v>7476897365</v>
      </c>
      <c r="Y23" s="53">
        <v>21220527</v>
      </c>
      <c r="Z23" s="53">
        <f ca="1">INDIRECT("ZS(-1)",0) * 'Correction factor'!$C$13</f>
        <v>29429962.991683308</v>
      </c>
      <c r="AA23" s="53">
        <f t="shared" ca="1" si="8"/>
        <v>7506327327.991683</v>
      </c>
      <c r="AB23" s="53">
        <f t="shared" ca="1" si="9"/>
        <v>5.2351329069399144</v>
      </c>
      <c r="AC23" s="53">
        <v>7089310810</v>
      </c>
      <c r="AD23" s="53">
        <v>23798279</v>
      </c>
      <c r="AE23" s="53">
        <f ca="1">INDIRECT("ZS(-1)",0) * 'Correction factor'!$C$13</f>
        <v>33004951.773146544</v>
      </c>
      <c r="AF23" s="53">
        <f t="shared" ca="1" si="10"/>
        <v>7122315761.7731466</v>
      </c>
      <c r="AG23" s="53">
        <f t="shared" ca="1" si="11"/>
        <v>4.5947064640791648</v>
      </c>
      <c r="AH23" s="53">
        <v>163488400</v>
      </c>
      <c r="AI23" s="53">
        <v>12084086</v>
      </c>
      <c r="AJ23" s="53">
        <f ca="1">INDIRECT("ZS(-1)",0) * 'Correction factor'!$C$13</f>
        <v>16758971.337908734</v>
      </c>
      <c r="AK23" s="53">
        <f t="shared" ca="1" si="12"/>
        <v>180247371.33790874</v>
      </c>
      <c r="AL23" s="53">
        <f t="shared" ca="1" si="13"/>
        <v>0.10229687890600009</v>
      </c>
      <c r="AM23" s="53">
        <v>383306358</v>
      </c>
      <c r="AN23" s="53">
        <v>4064744463</v>
      </c>
      <c r="AO23" s="53">
        <f ca="1">INDIRECT("ZS(-1)",0) * 'Correction factor'!$C$13</f>
        <v>5637243557.4639425</v>
      </c>
      <c r="AP23" s="53">
        <f t="shared" ca="1" si="14"/>
        <v>6020549915.4639425</v>
      </c>
      <c r="AQ23" s="53">
        <f t="shared" ca="1" si="15"/>
        <v>3.9098255101288713</v>
      </c>
      <c r="AR23" s="53">
        <v>132853972</v>
      </c>
      <c r="AS23" s="53">
        <v>15848684</v>
      </c>
      <c r="AT23" s="53">
        <f ca="1">INDIRECT("ZS(-1)",0) * 'Correction factor'!$C$13</f>
        <v>21979952.881796166</v>
      </c>
      <c r="AU23" s="53">
        <f t="shared" ca="1" si="16"/>
        <v>154833924.88179618</v>
      </c>
      <c r="AV23" s="53">
        <f t="shared" ca="1" si="17"/>
        <v>0.11080325167898114</v>
      </c>
      <c r="AW23" s="53">
        <v>37553096</v>
      </c>
      <c r="AX23" s="53">
        <v>10979888</v>
      </c>
      <c r="AY23" s="53">
        <f ca="1">INDIRECT("ZS(-1)",0) * 'Correction factor'!$C$13</f>
        <v>15227600.025806507</v>
      </c>
      <c r="AZ23" s="53">
        <f t="shared" ca="1" si="18"/>
        <v>52780696.025806509</v>
      </c>
      <c r="BA23" s="53">
        <f t="shared" ca="1" si="19"/>
        <v>3.6262562347335776E-2</v>
      </c>
      <c r="BB23" s="53">
        <v>173499782</v>
      </c>
      <c r="BC23" s="53">
        <v>13046782</v>
      </c>
      <c r="BD23" s="53">
        <f ca="1">INDIRECT("ZS(-1)",0) * 'Correction factor'!$C$13</f>
        <v>18094098.766753528</v>
      </c>
      <c r="BE23" s="53">
        <f t="shared" ca="1" si="20"/>
        <v>191593880.76675352</v>
      </c>
      <c r="BF23" s="53">
        <f t="shared" ca="1" si="21"/>
        <v>0.13004769794226009</v>
      </c>
      <c r="BG23" s="53">
        <v>276266018</v>
      </c>
      <c r="BH23" s="53">
        <v>12973313</v>
      </c>
      <c r="BI23" s="53">
        <f ca="1">INDIRECT("ZS(-1)",0) * 'Correction factor'!$C$13</f>
        <v>17992207.331586249</v>
      </c>
      <c r="BJ23" s="53">
        <f t="shared" ca="1" si="22"/>
        <v>294258225.33158624</v>
      </c>
      <c r="BK23" s="53">
        <f t="shared" ca="1" si="23"/>
        <v>0.17923194661929184</v>
      </c>
      <c r="BL23" s="53">
        <v>925550144</v>
      </c>
      <c r="BM23" s="53">
        <v>10963593553</v>
      </c>
      <c r="BN23" s="53">
        <f ca="1">INDIRECT("ZS(-1)",0) * 'Correction factor'!$C$13</f>
        <v>15205001860.728893</v>
      </c>
      <c r="BO23" s="53">
        <f t="shared" ca="1" si="24"/>
        <v>16130552004.728893</v>
      </c>
      <c r="BP23" s="53">
        <f t="shared" ca="1" si="25"/>
        <v>77.362599757502096</v>
      </c>
      <c r="BQ23" s="53">
        <v>811513252</v>
      </c>
      <c r="BR23" s="53">
        <v>10258673333</v>
      </c>
      <c r="BS23" s="53">
        <f ca="1">INDIRECT("ZS(-1)",0) * 'Correction factor'!$C$13</f>
        <v>14227374114.41094</v>
      </c>
      <c r="BT23" s="53">
        <f t="shared" ca="1" si="26"/>
        <v>15038887366.41094</v>
      </c>
      <c r="BU23" s="53">
        <f t="shared" ca="1" si="27"/>
        <v>88.291195656003509</v>
      </c>
      <c r="BV23" s="53">
        <v>17121641</v>
      </c>
      <c r="BW23" s="53">
        <v>188224129</v>
      </c>
      <c r="BX23" s="53">
        <f ca="1">INDIRECT("ZS(-1)",0) * 'Correction factor'!$C$13</f>
        <v>261041073.60820138</v>
      </c>
      <c r="BY23" s="53">
        <f t="shared" ca="1" si="28"/>
        <v>278162714.60820138</v>
      </c>
      <c r="BZ23" s="53">
        <f t="shared" ca="1" si="29"/>
        <v>1.7703731297826053</v>
      </c>
      <c r="CA23" s="53">
        <v>903878369</v>
      </c>
      <c r="CB23" s="53">
        <v>11302489565</v>
      </c>
      <c r="CC23" s="53">
        <f ca="1">INDIRECT("ZS(-1)",0) * 'Correction factor'!$C$13</f>
        <v>15675004188.719572</v>
      </c>
      <c r="CD23" s="53">
        <f t="shared" ca="1" si="30"/>
        <v>16578882557.719572</v>
      </c>
      <c r="CE23" s="53">
        <f t="shared" ca="1" si="31"/>
        <v>93.840642823831814</v>
      </c>
      <c r="CF23" s="53">
        <v>17269865</v>
      </c>
      <c r="CG23" s="53">
        <v>10662335</v>
      </c>
      <c r="CH23" s="53">
        <f ca="1">INDIRECT("ZS(-1)",0) * 'Correction factor'!$C$13</f>
        <v>14787197.530717764</v>
      </c>
      <c r="CI23" s="53">
        <f t="shared" ca="1" si="32"/>
        <v>32057062.530717764</v>
      </c>
      <c r="CJ23" s="53">
        <f t="shared" ca="1" si="33"/>
        <v>0.23287701415185569</v>
      </c>
      <c r="CK23" s="53">
        <v>20834562</v>
      </c>
      <c r="CL23" s="53">
        <v>539737552</v>
      </c>
      <c r="CM23" s="53">
        <f ca="1">INDIRECT("ZS(-1)",0) * 'Correction factor'!$C$13</f>
        <v>748542021.62753761</v>
      </c>
      <c r="CN23" s="53">
        <f t="shared" ca="1" si="34"/>
        <v>769376583.62753761</v>
      </c>
      <c r="CO23" s="53">
        <f t="shared" ca="1" si="35"/>
        <v>5.4956961350158187</v>
      </c>
      <c r="CP23" s="53">
        <v>4801259393</v>
      </c>
      <c r="CQ23" s="53">
        <v>16534379</v>
      </c>
      <c r="CR23" s="53">
        <f ca="1">INDIRECT("ZS(-1)",0) * 'Correction factor'!$C$13</f>
        <v>22930917.882504318</v>
      </c>
      <c r="CS23" s="53">
        <f t="shared" ca="1" si="36"/>
        <v>4824190310.8825045</v>
      </c>
      <c r="CT23" s="53">
        <f t="shared" ca="1" si="37"/>
        <v>3.2863823069242595</v>
      </c>
      <c r="CU23" s="53">
        <v>4011049264</v>
      </c>
      <c r="CV23" s="53">
        <v>14758117</v>
      </c>
      <c r="CW23" s="53">
        <f ca="1">INDIRECT("ZS(-1)",0) * 'Correction factor'!$C$13</f>
        <v>20467485.898768317</v>
      </c>
      <c r="CX23" s="53">
        <f t="shared" ca="1" si="38"/>
        <v>4031516749.8987684</v>
      </c>
      <c r="CY23" s="53">
        <f t="shared" ca="1" si="39"/>
        <v>3.0845818998691192</v>
      </c>
      <c r="CZ23" s="53">
        <v>4155078800</v>
      </c>
      <c r="DA23" s="53">
        <v>197987073</v>
      </c>
      <c r="DB23" s="53">
        <f ca="1">INDIRECT("ZS(-1)",0) * 'Correction factor'!$C$13</f>
        <v>274580939.07006651</v>
      </c>
      <c r="DC23" s="53">
        <f t="shared" ca="1" si="40"/>
        <v>4429659739.0700665</v>
      </c>
      <c r="DD23" s="53">
        <f t="shared" ca="1" si="41"/>
        <v>2.9074650775942112</v>
      </c>
      <c r="DE23" s="53">
        <v>4056158912</v>
      </c>
      <c r="DF23" s="53">
        <v>553803097</v>
      </c>
      <c r="DG23" s="53">
        <f ca="1">INDIRECT("ZS(-1)",0) * 'Correction factor'!$C$13</f>
        <v>768049005.0689882</v>
      </c>
      <c r="DH23" s="53">
        <f t="shared" ca="1" si="42"/>
        <v>4824207917.0689878</v>
      </c>
      <c r="DI23" s="53">
        <f t="shared" ca="1" si="43"/>
        <v>3.5126871296738993</v>
      </c>
      <c r="DJ23" s="53">
        <v>3212025126</v>
      </c>
      <c r="DK23" s="53">
        <v>531707750</v>
      </c>
      <c r="DL23" s="53">
        <f ca="1">INDIRECT("ZS(-1)",0) * 'Correction factor'!$C$13</f>
        <v>737405786.61836255</v>
      </c>
      <c r="DM23" s="53">
        <f t="shared" ca="1" si="44"/>
        <v>3949430912.6183624</v>
      </c>
      <c r="DN23" s="53">
        <f t="shared" ca="1" si="45"/>
        <v>3.25528000069884</v>
      </c>
      <c r="DO23" s="53">
        <v>3333481645</v>
      </c>
      <c r="DP23" s="53">
        <v>134864760</v>
      </c>
      <c r="DQ23" s="53">
        <f ca="1">INDIRECT("ZS(-1)",0) * 'Correction factor'!$C$13</f>
        <v>187038940.91236526</v>
      </c>
      <c r="DR23" s="53">
        <f t="shared" ca="1" si="46"/>
        <v>3520520585.9123654</v>
      </c>
      <c r="DS23" s="53">
        <f t="shared" ca="1" si="47"/>
        <v>2.6523574410476778</v>
      </c>
      <c r="DT23" s="53">
        <v>2569541959</v>
      </c>
      <c r="DU23" s="53">
        <v>2048769165</v>
      </c>
      <c r="DV23" s="53">
        <f ca="1">INDIRECT("ZS(-1)",0) * 'Correction factor'!$C$13</f>
        <v>2841362078.5408354</v>
      </c>
      <c r="DW23" s="53">
        <f t="shared" ca="1" si="48"/>
        <v>5410904037.5408354</v>
      </c>
      <c r="DX23" s="53">
        <f t="shared" ca="1" si="49"/>
        <v>3.9844532133068427</v>
      </c>
      <c r="DY23" s="53">
        <v>2707810619</v>
      </c>
      <c r="DZ23" s="53">
        <v>1887096777</v>
      </c>
      <c r="EA23" s="53">
        <f ca="1">INDIRECT("ZS(-1)",0) * 'Correction factor'!$C$13</f>
        <v>2617144631.1788039</v>
      </c>
      <c r="EB23" s="53">
        <f t="shared" ca="1" si="50"/>
        <v>5324955250.1788044</v>
      </c>
      <c r="EC23" s="53">
        <f t="shared" ca="1" si="51"/>
        <v>3.7658090825364074</v>
      </c>
      <c r="ED23" s="53">
        <v>884131283</v>
      </c>
      <c r="EE23" s="53">
        <v>3256788208</v>
      </c>
      <c r="EF23" s="53">
        <f ca="1">INDIRECT("ZS(-1)",0) * 'Correction factor'!$C$13</f>
        <v>4516718950.1556959</v>
      </c>
      <c r="EG23" s="53">
        <f t="shared" ca="1" si="52"/>
        <v>5400850233.1556959</v>
      </c>
      <c r="EH23" s="53">
        <f t="shared" ca="1" si="53"/>
        <v>4.1290384050711744</v>
      </c>
      <c r="EI23" s="53">
        <v>2565021261</v>
      </c>
      <c r="EJ23" s="53">
        <v>1423454351</v>
      </c>
      <c r="EK23" s="53">
        <f ca="1">INDIRECT("ZS(-1)",0) * 'Correction factor'!$C$13</f>
        <v>1974136121.6090715</v>
      </c>
      <c r="EL23" s="53">
        <f t="shared" ca="1" si="54"/>
        <v>4539157382.6090717</v>
      </c>
      <c r="EM23" s="53">
        <f t="shared" ca="1" si="55"/>
        <v>3.4490950054759359</v>
      </c>
      <c r="EN23" s="53">
        <v>4066786043</v>
      </c>
      <c r="EO23" s="53">
        <v>15138081</v>
      </c>
      <c r="EP23" s="53">
        <f ca="1">INDIRECT("ZS(-1)",0) * 'Correction factor'!$C$13</f>
        <v>20994443.898358617</v>
      </c>
      <c r="EQ23" s="53">
        <f t="shared" ca="1" si="56"/>
        <v>4087780486.8983588</v>
      </c>
      <c r="ER23" s="53">
        <f t="shared" ca="1" si="57"/>
        <v>2.7793511426605013</v>
      </c>
      <c r="ES23" s="53">
        <v>3636453188</v>
      </c>
      <c r="ET23" s="53">
        <v>19179228</v>
      </c>
      <c r="EU23" s="53">
        <f ca="1">INDIRECT("ZS(-1)",0) * 'Correction factor'!$C$13</f>
        <v>26598961.008322567</v>
      </c>
      <c r="EV23" s="53">
        <f t="shared" ca="1" si="58"/>
        <v>3663052149.0083227</v>
      </c>
      <c r="EW23" s="53">
        <f t="shared" ca="1" si="59"/>
        <v>2.5039253581066085</v>
      </c>
      <c r="EX23" s="53">
        <v>3460431957</v>
      </c>
      <c r="EY23" s="53">
        <v>12887368</v>
      </c>
      <c r="EZ23" s="53">
        <f ca="1">INDIRECT("ZS(-1)",0) * 'Correction factor'!$C$13</f>
        <v>17873013.394069042</v>
      </c>
      <c r="FA23" s="53">
        <f t="shared" ca="1" si="60"/>
        <v>3478304970.3940692</v>
      </c>
      <c r="FB23" s="53">
        <f t="shared" ca="1" si="61"/>
        <v>2.4799261795701559</v>
      </c>
      <c r="FC23" s="53">
        <v>3613024112</v>
      </c>
      <c r="FD23" s="53">
        <v>616032883</v>
      </c>
      <c r="FE23" s="53">
        <f ca="1">INDIRECT("ZS(-1)",0) * 'Correction factor'!$C$13</f>
        <v>854353190.58522785</v>
      </c>
      <c r="FF23" s="53">
        <f t="shared" ca="1" si="62"/>
        <v>4467377302.585228</v>
      </c>
      <c r="FG23" s="53">
        <f t="shared" ca="1" si="63"/>
        <v>3.4476743646157959</v>
      </c>
      <c r="FH23" s="53">
        <v>4290138497</v>
      </c>
      <c r="FI23" s="53">
        <v>161106334</v>
      </c>
      <c r="FJ23" s="53">
        <f ca="1">INDIRECT("ZS(-1)",0) * 'Correction factor'!$C$13</f>
        <v>223432408.03330523</v>
      </c>
      <c r="FK23" s="53">
        <f t="shared" ca="1" si="64"/>
        <v>4513570905.0333052</v>
      </c>
      <c r="FL23" s="53">
        <f t="shared" ca="1" si="65"/>
        <v>2.5427157877206974</v>
      </c>
      <c r="FM23" s="53">
        <v>4601107621</v>
      </c>
      <c r="FN23" s="53">
        <v>16272572</v>
      </c>
      <c r="FO23" s="53">
        <f ca="1">INDIRECT("ZS(-1)",0) * 'Correction factor'!$C$13</f>
        <v>22567827.450256161</v>
      </c>
      <c r="FP23" s="53">
        <f t="shared" ca="1" si="66"/>
        <v>4623675448.4502563</v>
      </c>
      <c r="FQ23" s="53">
        <f t="shared" ca="1" si="67"/>
        <v>3.2676054167799693</v>
      </c>
      <c r="FR23" s="53">
        <v>4556678930</v>
      </c>
      <c r="FS23" s="53">
        <v>21110170</v>
      </c>
      <c r="FT23" s="53">
        <f ca="1">INDIRECT("ZS(-1)",0) * 'Correction factor'!$C$13</f>
        <v>29276912.95546728</v>
      </c>
      <c r="FU23" s="53">
        <f t="shared" ca="1" si="68"/>
        <v>4585955842.9554672</v>
      </c>
      <c r="FV23" s="53">
        <f t="shared" ca="1" si="69"/>
        <v>3.1991841179500291</v>
      </c>
      <c r="FW23" s="53">
        <v>2177702611</v>
      </c>
      <c r="FX23" s="53">
        <v>3277484347</v>
      </c>
      <c r="FY23" s="53">
        <f ca="1">INDIRECT("ZS(-1)",0) * 'Correction factor'!$C$13</f>
        <v>4545421658.8509483</v>
      </c>
      <c r="FZ23" s="53">
        <f t="shared" ca="1" si="70"/>
        <v>6723124269.8509483</v>
      </c>
      <c r="GA23" s="53">
        <f t="shared" ca="1" si="71"/>
        <v>5.3953016735610495</v>
      </c>
      <c r="GB23" s="53">
        <v>3347331593</v>
      </c>
      <c r="GC23" s="53">
        <v>9550005</v>
      </c>
      <c r="GD23" s="53">
        <f ca="1">INDIRECT("ZS(-1)",0) * 'Correction factor'!$C$13</f>
        <v>13244548.248985078</v>
      </c>
      <c r="GE23" s="53">
        <f t="shared" ca="1" si="72"/>
        <v>3360576141.2489853</v>
      </c>
      <c r="GF23" s="53">
        <f t="shared" ca="1" si="73"/>
        <v>2.3434818658288452</v>
      </c>
      <c r="GG23" s="53">
        <v>2394885379</v>
      </c>
      <c r="GH23" s="53">
        <v>18273399</v>
      </c>
      <c r="GI23" s="53">
        <f ca="1">INDIRECT("ZS(-1)",0) * 'Correction factor'!$C$13</f>
        <v>25342700.315701999</v>
      </c>
      <c r="GJ23" s="53">
        <f t="shared" ca="1" si="74"/>
        <v>2420228079.315702</v>
      </c>
      <c r="GK23" s="53">
        <f t="shared" ca="1" si="75"/>
        <v>1.687614625695121</v>
      </c>
      <c r="GL23" s="53">
        <v>656804270</v>
      </c>
      <c r="GM23" s="53">
        <v>515117989</v>
      </c>
      <c r="GN23" s="53">
        <f ca="1">INDIRECT("ZS(-1)",0) * 'Correction factor'!$C$13</f>
        <v>714398061.49113691</v>
      </c>
      <c r="GO23" s="53">
        <f t="shared" ca="1" si="76"/>
        <v>1371202331.491137</v>
      </c>
      <c r="GP23" s="53">
        <f t="shared" ca="1" si="77"/>
        <v>0.94592654743316684</v>
      </c>
      <c r="GQ23" s="53">
        <v>2108333593</v>
      </c>
      <c r="GR23" s="53">
        <v>9714664</v>
      </c>
      <c r="GS23" s="53">
        <f ca="1">INDIRECT("ZS(-1)",0) * 'Correction factor'!$C$13</f>
        <v>13472907.717920396</v>
      </c>
      <c r="GT23" s="53">
        <f t="shared" ca="1" si="78"/>
        <v>2121806500.7179203</v>
      </c>
      <c r="GU23" s="53">
        <f t="shared" ca="1" si="79"/>
        <v>2.20006727903445</v>
      </c>
      <c r="GV23" s="53">
        <v>2180311212</v>
      </c>
      <c r="GW23" s="53">
        <v>158425101</v>
      </c>
      <c r="GX23" s="53">
        <f ca="1">INDIRECT("ZS(-1)",0) * 'Correction factor'!$C$13</f>
        <v>219713905.28537253</v>
      </c>
      <c r="GY23" s="53">
        <f t="shared" ca="1" si="80"/>
        <v>2400025117.2853727</v>
      </c>
      <c r="GZ23" s="53">
        <f t="shared" ca="1" si="81"/>
        <v>1.7037932492260823</v>
      </c>
      <c r="HA23" s="53">
        <v>598160773</v>
      </c>
      <c r="HB23" s="53">
        <v>1806107299</v>
      </c>
      <c r="HC23" s="53">
        <f ca="1">INDIRECT("ZS(-1)",0) * 'Correction factor'!$C$13</f>
        <v>2504823323.5950785</v>
      </c>
      <c r="HD23" s="53">
        <f t="shared" ca="1" si="82"/>
        <v>3102984096.5950785</v>
      </c>
      <c r="HE23" s="53">
        <f t="shared" ca="1" si="83"/>
        <v>2.2725526493577761</v>
      </c>
      <c r="HF23" s="53">
        <v>546289313</v>
      </c>
      <c r="HG23" s="53">
        <v>5003975365</v>
      </c>
      <c r="HH23" s="53">
        <f ca="1">INDIRECT("ZS(-1)",0) * 'Correction factor'!$C$13</f>
        <v>6939828110.9250956</v>
      </c>
      <c r="HI23" s="53">
        <f t="shared" ca="1" si="84"/>
        <v>7486117423.9250956</v>
      </c>
      <c r="HJ23" s="53">
        <f t="shared" ca="1" si="85"/>
        <v>5.5144982020082089</v>
      </c>
      <c r="HK23" s="53">
        <v>791021996</v>
      </c>
      <c r="HL23" s="53">
        <v>8737378275</v>
      </c>
      <c r="HM23" s="53">
        <f ca="1">INDIRECT("ZS(-1)",0) * 'Correction factor'!$C$13</f>
        <v>12117546339.805216</v>
      </c>
      <c r="HN23" s="53">
        <f t="shared" ca="1" si="86"/>
        <v>12908568335.805216</v>
      </c>
      <c r="HO23" s="53">
        <f t="shared" ca="1" si="87"/>
        <v>9.6097100170746437</v>
      </c>
      <c r="HP23" s="53">
        <v>1434339815</v>
      </c>
      <c r="HQ23" s="53">
        <v>11165515</v>
      </c>
      <c r="HR23" s="53">
        <f ca="1">INDIRECT("ZS(-1)",0) * 'Correction factor'!$C$13</f>
        <v>15485039.237389574</v>
      </c>
      <c r="HS23" s="53">
        <f t="shared" ca="1" si="88"/>
        <v>1449824854.2373896</v>
      </c>
      <c r="HT23" s="53">
        <f t="shared" ca="1" si="89"/>
        <v>0.93991051887010502</v>
      </c>
      <c r="HU23" s="53">
        <v>728586347</v>
      </c>
      <c r="HV23" s="53">
        <v>163517654</v>
      </c>
      <c r="HW23" s="53">
        <f ca="1">INDIRECT("ZS(-1)",0) * 'Correction factor'!$C$13</f>
        <v>226776578.43779638</v>
      </c>
      <c r="HX23" s="53">
        <f t="shared" ca="1" si="90"/>
        <v>955362925.43779635</v>
      </c>
      <c r="HY23" s="53">
        <f t="shared" ca="1" si="91"/>
        <v>0.74967639968305377</v>
      </c>
      <c r="HZ23" s="53">
        <v>510427902</v>
      </c>
      <c r="IA23" s="53">
        <v>2255434343</v>
      </c>
      <c r="IB23" s="53">
        <f ca="1">INDIRECT("ZS(-1)",0) * 'Correction factor'!$C$13</f>
        <v>3127978360.040802</v>
      </c>
      <c r="IC23" s="53">
        <f t="shared" ca="1" si="92"/>
        <v>3638406262.040802</v>
      </c>
      <c r="ID23" s="53">
        <f t="shared" ca="1" si="93"/>
        <v>2.8213396369009778</v>
      </c>
      <c r="IE23" s="53">
        <v>370738316</v>
      </c>
      <c r="IF23" s="53">
        <v>11139915</v>
      </c>
      <c r="IG23" s="53">
        <f ca="1">INDIRECT("ZS(-1)",0) * 'Correction factor'!$C$13</f>
        <v>15449535.545488467</v>
      </c>
      <c r="IH23" s="53">
        <f t="shared" ca="1" si="94"/>
        <v>386187851.54548848</v>
      </c>
      <c r="II23" s="61">
        <f t="shared" ca="1" si="95"/>
        <v>0.29551545266429419</v>
      </c>
    </row>
    <row r="24" spans="1:243" s="3" customFormat="1" x14ac:dyDescent="0.25">
      <c r="A24" s="57">
        <v>20</v>
      </c>
      <c r="B24" s="56">
        <v>45511</v>
      </c>
      <c r="C24" s="29" t="s">
        <v>37</v>
      </c>
      <c r="D24" s="52">
        <v>6599291527</v>
      </c>
      <c r="E24" s="53">
        <v>17986993</v>
      </c>
      <c r="F24" s="53">
        <f ca="1">INDIRECT("ZS(-1)",0) * 'Correction factor'!$C$13</f>
        <v>24945494.44138059</v>
      </c>
      <c r="G24" s="53">
        <f t="shared" ca="1" si="0"/>
        <v>6624237021.4413805</v>
      </c>
      <c r="H24" s="53">
        <f t="shared" ca="1" si="1"/>
        <v>4.7909618861262508</v>
      </c>
      <c r="I24" s="53">
        <v>4876619728</v>
      </c>
      <c r="J24" s="53">
        <v>29540062</v>
      </c>
      <c r="K24" s="53">
        <f ca="1">INDIRECT("ZS(-1)",0) * 'Correction factor'!$C$13</f>
        <v>40968017.968263954</v>
      </c>
      <c r="L24" s="53">
        <f t="shared" ca="1" si="2"/>
        <v>4917587745.9682636</v>
      </c>
      <c r="M24" s="53">
        <f t="shared" ca="1" si="3"/>
        <v>3.2234957258582875</v>
      </c>
      <c r="N24" s="53">
        <v>5294010425</v>
      </c>
      <c r="O24" s="53">
        <v>13426883</v>
      </c>
      <c r="P24" s="53">
        <f ca="1">INDIRECT("ZS(-1)",0) * 'Correction factor'!$C$13</f>
        <v>18621246.766570017</v>
      </c>
      <c r="Q24" s="53">
        <f t="shared" ca="1" si="4"/>
        <v>5312631671.7665701</v>
      </c>
      <c r="R24" s="53">
        <f t="shared" ca="1" si="5"/>
        <v>4.1359024202352037</v>
      </c>
      <c r="S24" s="53">
        <v>4483601687</v>
      </c>
      <c r="T24" s="53">
        <v>12842485</v>
      </c>
      <c r="U24" s="53">
        <f ca="1">INDIRECT("ZS(-1)",0) * 'Correction factor'!$C$13</f>
        <v>17810766.82361602</v>
      </c>
      <c r="V24" s="53">
        <f t="shared" ca="1" si="6"/>
        <v>4501412453.823616</v>
      </c>
      <c r="W24" s="53">
        <f t="shared" ca="1" si="7"/>
        <v>3.072891708291031</v>
      </c>
      <c r="X24" s="53">
        <v>7825491870</v>
      </c>
      <c r="Y24" s="53">
        <v>22353646</v>
      </c>
      <c r="Z24" s="53">
        <f ca="1">INDIRECT("ZS(-1)",0) * 'Correction factor'!$C$13</f>
        <v>31001443.76759303</v>
      </c>
      <c r="AA24" s="53">
        <f t="shared" ca="1" si="8"/>
        <v>7856493313.7675934</v>
      </c>
      <c r="AB24" s="53">
        <f t="shared" ca="1" si="9"/>
        <v>5.4793489389520689</v>
      </c>
      <c r="AC24" s="53">
        <v>6615527691</v>
      </c>
      <c r="AD24" s="53">
        <v>24264745</v>
      </c>
      <c r="AE24" s="53">
        <f ca="1">INDIRECT("ZS(-1)",0) * 'Correction factor'!$C$13</f>
        <v>33651876.19292549</v>
      </c>
      <c r="AF24" s="53">
        <f t="shared" ca="1" si="10"/>
        <v>6649179567.1929255</v>
      </c>
      <c r="AG24" s="53">
        <f t="shared" ca="1" si="11"/>
        <v>4.289479624334791</v>
      </c>
      <c r="AH24" s="53">
        <v>136912817</v>
      </c>
      <c r="AI24" s="53">
        <v>11663139</v>
      </c>
      <c r="AJ24" s="53">
        <f ca="1">INDIRECT("ZS(-1)",0) * 'Correction factor'!$C$13</f>
        <v>16175175.533428472</v>
      </c>
      <c r="AK24" s="53">
        <f t="shared" ca="1" si="12"/>
        <v>153087992.53342846</v>
      </c>
      <c r="AL24" s="53">
        <f t="shared" ca="1" si="13"/>
        <v>8.6882952677275208E-2</v>
      </c>
      <c r="AM24" s="53">
        <v>439870789</v>
      </c>
      <c r="AN24" s="53">
        <v>4766129943</v>
      </c>
      <c r="AO24" s="53">
        <f ca="1">INDIRECT("ZS(-1)",0) * 'Correction factor'!$C$13</f>
        <v>6609969103.7853909</v>
      </c>
      <c r="AP24" s="53">
        <f t="shared" ca="1" si="14"/>
        <v>7049839892.7853909</v>
      </c>
      <c r="AQ24" s="53">
        <f t="shared" ca="1" si="15"/>
        <v>4.5782601659590192</v>
      </c>
      <c r="AR24" s="53">
        <v>120391516</v>
      </c>
      <c r="AS24" s="53">
        <v>17036739</v>
      </c>
      <c r="AT24" s="53">
        <f ca="1">INDIRECT("ZS(-1)",0) * 'Correction factor'!$C$13</f>
        <v>23627622.361544918</v>
      </c>
      <c r="AU24" s="53">
        <f t="shared" ca="1" si="16"/>
        <v>144019138.36154491</v>
      </c>
      <c r="AV24" s="53">
        <f t="shared" ca="1" si="17"/>
        <v>0.10306390441659873</v>
      </c>
      <c r="AW24" s="53">
        <v>40388700</v>
      </c>
      <c r="AX24" s="53">
        <v>11368662</v>
      </c>
      <c r="AY24" s="53">
        <f ca="1">INDIRECT("ZS(-1)",0) * 'Correction factor'!$C$13</f>
        <v>15766776.288117461</v>
      </c>
      <c r="AZ24" s="53">
        <f t="shared" ca="1" si="18"/>
        <v>56155476.288117461</v>
      </c>
      <c r="BA24" s="53">
        <f t="shared" ca="1" si="19"/>
        <v>3.8581178600724589E-2</v>
      </c>
      <c r="BB24" s="53">
        <v>155582774</v>
      </c>
      <c r="BC24" s="53">
        <v>14451629</v>
      </c>
      <c r="BD24" s="53">
        <f ca="1">INDIRECT("ZS(-1)",0) * 'Correction factor'!$C$13</f>
        <v>20042429.042386048</v>
      </c>
      <c r="BE24" s="53">
        <f t="shared" ca="1" si="20"/>
        <v>175625203.04238605</v>
      </c>
      <c r="BF24" s="53">
        <f t="shared" ca="1" si="21"/>
        <v>0.11920867861176278</v>
      </c>
      <c r="BG24" s="53">
        <v>244436056</v>
      </c>
      <c r="BH24" s="53">
        <v>13379352</v>
      </c>
      <c r="BI24" s="53">
        <f ca="1">INDIRECT("ZS(-1)",0) * 'Correction factor'!$C$13</f>
        <v>18555327.782985978</v>
      </c>
      <c r="BJ24" s="53">
        <f t="shared" ca="1" si="22"/>
        <v>262991383.78298599</v>
      </c>
      <c r="BK24" s="53">
        <f t="shared" ca="1" si="23"/>
        <v>0.16018739189502657</v>
      </c>
      <c r="BL24" s="53">
        <v>1014323866</v>
      </c>
      <c r="BM24" s="53">
        <v>12045045724</v>
      </c>
      <c r="BN24" s="53">
        <f ca="1">INDIRECT("ZS(-1)",0) * 'Correction factor'!$C$13</f>
        <v>16704827824.985369</v>
      </c>
      <c r="BO24" s="53">
        <f t="shared" ca="1" si="24"/>
        <v>17719151690.985367</v>
      </c>
      <c r="BP24" s="53">
        <f t="shared" ca="1" si="25"/>
        <v>84.981570370951871</v>
      </c>
      <c r="BQ24" s="53">
        <v>918234062</v>
      </c>
      <c r="BR24" s="53">
        <v>11630186532</v>
      </c>
      <c r="BS24" s="53">
        <f ca="1">INDIRECT("ZS(-1)",0) * 'Correction factor'!$C$13</f>
        <v>16129474975.957649</v>
      </c>
      <c r="BT24" s="53">
        <f t="shared" ca="1" si="26"/>
        <v>17047709037.957649</v>
      </c>
      <c r="BU24" s="53">
        <f t="shared" ca="1" si="27"/>
        <v>100.08470556928894</v>
      </c>
      <c r="BV24" s="53">
        <v>14931953</v>
      </c>
      <c r="BW24" s="53">
        <v>177769966</v>
      </c>
      <c r="BX24" s="53">
        <f ca="1">INDIRECT("ZS(-1)",0) * 'Correction factor'!$C$13</f>
        <v>246542582.11461008</v>
      </c>
      <c r="BY24" s="53">
        <f t="shared" ca="1" si="28"/>
        <v>261474535.11461008</v>
      </c>
      <c r="BZ24" s="53">
        <f t="shared" ca="1" si="29"/>
        <v>1.6641608194733066</v>
      </c>
      <c r="CA24" s="53">
        <v>967938781</v>
      </c>
      <c r="CB24" s="53">
        <v>12102229315</v>
      </c>
      <c r="CC24" s="53">
        <f ca="1">INDIRECT("ZS(-1)",0) * 'Correction factor'!$C$13</f>
        <v>16784133629.542511</v>
      </c>
      <c r="CD24" s="53">
        <f t="shared" ca="1" si="30"/>
        <v>17752072410.542511</v>
      </c>
      <c r="CE24" s="53">
        <f t="shared" ca="1" si="31"/>
        <v>100.48119230356976</v>
      </c>
      <c r="CF24" s="53">
        <v>30547988</v>
      </c>
      <c r="CG24" s="53">
        <v>12374901</v>
      </c>
      <c r="CH24" s="53">
        <f ca="1">INDIRECT("ZS(-1)",0) * 'Correction factor'!$C$13</f>
        <v>17162291.891042329</v>
      </c>
      <c r="CI24" s="53">
        <f t="shared" ca="1" si="32"/>
        <v>47710279.891042329</v>
      </c>
      <c r="CJ24" s="53">
        <f t="shared" ca="1" si="33"/>
        <v>0.34658907112056253</v>
      </c>
      <c r="CK24" s="53">
        <v>-657316</v>
      </c>
      <c r="CL24" s="53">
        <v>225504638</v>
      </c>
      <c r="CM24" s="53">
        <f ca="1">INDIRECT("ZS(-1)",0) * 'Correction factor'!$C$13</f>
        <v>312744030.85243553</v>
      </c>
      <c r="CN24" s="53">
        <f t="shared" ca="1" si="34"/>
        <v>312086714.85243553</v>
      </c>
      <c r="CO24" s="53">
        <f t="shared" ca="1" si="35"/>
        <v>2.2292513043711581</v>
      </c>
      <c r="CP24" s="53">
        <v>4571800816</v>
      </c>
      <c r="CQ24" s="53">
        <v>17556115</v>
      </c>
      <c r="CR24" s="53">
        <f ca="1">INDIRECT("ZS(-1)",0) * 'Correction factor'!$C$13</f>
        <v>24347925.700796038</v>
      </c>
      <c r="CS24" s="53">
        <f t="shared" ca="1" si="36"/>
        <v>4596148741.7007961</v>
      </c>
      <c r="CT24" s="53">
        <f t="shared" ca="1" si="37"/>
        <v>3.1310335893350243</v>
      </c>
      <c r="CU24" s="53">
        <v>3775107960</v>
      </c>
      <c r="CV24" s="53">
        <v>16954775</v>
      </c>
      <c r="CW24" s="53">
        <f ca="1">INDIRECT("ZS(-1)",0) * 'Correction factor'!$C$13</f>
        <v>23513949.525490925</v>
      </c>
      <c r="CX24" s="53">
        <f t="shared" ca="1" si="38"/>
        <v>3798621909.5254908</v>
      </c>
      <c r="CY24" s="53">
        <f t="shared" ca="1" si="39"/>
        <v>2.9063901041370643</v>
      </c>
      <c r="CZ24" s="53">
        <v>4135388669</v>
      </c>
      <c r="DA24" s="53">
        <v>219458290</v>
      </c>
      <c r="DB24" s="53">
        <f ca="1">INDIRECT("ZS(-1)",0) * 'Correction factor'!$C$13</f>
        <v>304358574.73841733</v>
      </c>
      <c r="DC24" s="53">
        <f t="shared" ca="1" si="40"/>
        <v>4439747243.7384176</v>
      </c>
      <c r="DD24" s="53">
        <f t="shared" ca="1" si="41"/>
        <v>2.9140861431547584</v>
      </c>
      <c r="DE24" s="53">
        <v>3900435778</v>
      </c>
      <c r="DF24" s="53">
        <v>657516595</v>
      </c>
      <c r="DG24" s="53">
        <f ca="1">INDIRECT("ZS(-1)",0) * 'Correction factor'!$C$13</f>
        <v>911885414.4040637</v>
      </c>
      <c r="DH24" s="53">
        <f t="shared" ca="1" si="42"/>
        <v>4812321192.4040642</v>
      </c>
      <c r="DI24" s="53">
        <f t="shared" ca="1" si="43"/>
        <v>3.5040319586153057</v>
      </c>
      <c r="DJ24" s="53">
        <v>2992228542</v>
      </c>
      <c r="DK24" s="53">
        <v>801377314</v>
      </c>
      <c r="DL24" s="53">
        <f ca="1">INDIRECT("ZS(-1)",0) * 'Correction factor'!$C$13</f>
        <v>1111400517.6871703</v>
      </c>
      <c r="DM24" s="53">
        <f t="shared" ca="1" si="44"/>
        <v>4103629059.68717</v>
      </c>
      <c r="DN24" s="53">
        <f t="shared" ca="1" si="45"/>
        <v>3.3823763230307895</v>
      </c>
      <c r="DO24" s="53">
        <v>3478236635</v>
      </c>
      <c r="DP24" s="53">
        <v>160623738</v>
      </c>
      <c r="DQ24" s="53">
        <f ca="1">INDIRECT("ZS(-1)",0) * 'Correction factor'!$C$13</f>
        <v>222763113.51390263</v>
      </c>
      <c r="DR24" s="53">
        <f t="shared" ca="1" si="46"/>
        <v>3700999748.5139027</v>
      </c>
      <c r="DS24" s="53">
        <f t="shared" ca="1" si="47"/>
        <v>2.788330300230998</v>
      </c>
      <c r="DT24" s="53">
        <v>2191976498</v>
      </c>
      <c r="DU24" s="53">
        <v>2710756018</v>
      </c>
      <c r="DV24" s="53">
        <f ca="1">INDIRECT("ZS(-1)",0) * 'Correction factor'!$C$13</f>
        <v>3759447128.2085886</v>
      </c>
      <c r="DW24" s="53">
        <f t="shared" ca="1" si="48"/>
        <v>5951423626.2085886</v>
      </c>
      <c r="DX24" s="53">
        <f t="shared" ca="1" si="49"/>
        <v>4.3824782008099161</v>
      </c>
      <c r="DY24" s="53">
        <v>2346818372</v>
      </c>
      <c r="DZ24" s="53">
        <v>2516178672</v>
      </c>
      <c r="EA24" s="53">
        <f ca="1">INDIRECT("ZS(-1)",0) * 'Correction factor'!$C$13</f>
        <v>3489595013.2351971</v>
      </c>
      <c r="EB24" s="53">
        <f t="shared" ca="1" si="50"/>
        <v>5836413385.2351971</v>
      </c>
      <c r="EC24" s="53">
        <f t="shared" ca="1" si="51"/>
        <v>4.1275123457268021</v>
      </c>
      <c r="ED24" s="53">
        <v>819336764</v>
      </c>
      <c r="EE24" s="53">
        <v>4325821291</v>
      </c>
      <c r="EF24" s="53">
        <f ca="1">INDIRECT("ZS(-1)",0) * 'Correction factor'!$C$13</f>
        <v>5999321341.2072992</v>
      </c>
      <c r="EG24" s="53">
        <f t="shared" ca="1" si="52"/>
        <v>6818658105.2072992</v>
      </c>
      <c r="EH24" s="53">
        <f t="shared" ca="1" si="53"/>
        <v>5.2129757301194806</v>
      </c>
      <c r="EI24" s="53">
        <v>2294436496</v>
      </c>
      <c r="EJ24" s="53">
        <v>1868345062</v>
      </c>
      <c r="EK24" s="53">
        <f ca="1">INDIRECT("ZS(-1)",0) * 'Correction factor'!$C$13</f>
        <v>2591138572.1171889</v>
      </c>
      <c r="EL24" s="53">
        <f t="shared" ca="1" si="54"/>
        <v>4885575068.1171894</v>
      </c>
      <c r="EM24" s="53">
        <f t="shared" ca="1" si="55"/>
        <v>3.7123217253672398</v>
      </c>
      <c r="EN24" s="53">
        <v>4079084191</v>
      </c>
      <c r="EO24" s="53">
        <v>16373759</v>
      </c>
      <c r="EP24" s="53">
        <f ca="1">INDIRECT("ZS(-1)",0) * 'Correction factor'!$C$13</f>
        <v>22708159.953084178</v>
      </c>
      <c r="EQ24" s="53">
        <f t="shared" ca="1" si="56"/>
        <v>4101792350.953084</v>
      </c>
      <c r="ER24" s="53">
        <f t="shared" ca="1" si="57"/>
        <v>2.7888780461955913</v>
      </c>
      <c r="ES24" s="53">
        <v>3658339447</v>
      </c>
      <c r="ET24" s="53">
        <v>20943999</v>
      </c>
      <c r="EU24" s="53">
        <f ca="1">INDIRECT("ZS(-1)",0) * 'Correction factor'!$C$13</f>
        <v>29046456.549729053</v>
      </c>
      <c r="EV24" s="53">
        <f t="shared" ca="1" si="58"/>
        <v>3687385903.5497289</v>
      </c>
      <c r="EW24" s="53">
        <f t="shared" ca="1" si="59"/>
        <v>2.5205590020121873</v>
      </c>
      <c r="EX24" s="53">
        <v>3489765050</v>
      </c>
      <c r="EY24" s="53">
        <v>13957553</v>
      </c>
      <c r="EZ24" s="53">
        <f ca="1">INDIRECT("ZS(-1)",0) * 'Correction factor'!$C$13</f>
        <v>19357213.336146571</v>
      </c>
      <c r="FA24" s="53">
        <f t="shared" ca="1" si="60"/>
        <v>3509122263.3361464</v>
      </c>
      <c r="FB24" s="53">
        <f t="shared" ca="1" si="61"/>
        <v>2.5018979768107759</v>
      </c>
      <c r="FC24" s="53">
        <v>3396981643</v>
      </c>
      <c r="FD24" s="53">
        <v>821727617</v>
      </c>
      <c r="FE24" s="53">
        <f ca="1">INDIRECT("ZS(-1)",0) * 'Correction factor'!$C$13</f>
        <v>1139623599.2420979</v>
      </c>
      <c r="FF24" s="53">
        <f t="shared" ca="1" si="62"/>
        <v>4536605242.2420979</v>
      </c>
      <c r="FG24" s="53">
        <f t="shared" ca="1" si="63"/>
        <v>3.5011006540702461</v>
      </c>
      <c r="FH24" s="53">
        <v>4145600322</v>
      </c>
      <c r="FI24" s="53">
        <v>214413526</v>
      </c>
      <c r="FJ24" s="53">
        <f ca="1">INDIRECT("ZS(-1)",0) * 'Correction factor'!$C$13</f>
        <v>297362178.38022244</v>
      </c>
      <c r="FK24" s="53">
        <f t="shared" ca="1" si="64"/>
        <v>4442962500.3802223</v>
      </c>
      <c r="FL24" s="53">
        <f t="shared" ca="1" si="65"/>
        <v>2.5029386115037568</v>
      </c>
      <c r="FM24" s="53">
        <v>4405147152</v>
      </c>
      <c r="FN24" s="53">
        <v>17567794</v>
      </c>
      <c r="FO24" s="53">
        <f ca="1">INDIRECT("ZS(-1)",0) * 'Correction factor'!$C$13</f>
        <v>24364122.873362951</v>
      </c>
      <c r="FP24" s="53">
        <f t="shared" ca="1" si="66"/>
        <v>4429511274.8733625</v>
      </c>
      <c r="FQ24" s="53">
        <f t="shared" ca="1" si="67"/>
        <v>3.1303873286165542</v>
      </c>
      <c r="FR24" s="53">
        <v>4340036714</v>
      </c>
      <c r="FS24" s="53">
        <v>23472518</v>
      </c>
      <c r="FT24" s="53">
        <f ca="1">INDIRECT("ZS(-1)",0) * 'Correction factor'!$C$13</f>
        <v>32553165.906842008</v>
      </c>
      <c r="FU24" s="53">
        <f t="shared" ca="1" si="68"/>
        <v>4372589879.9068422</v>
      </c>
      <c r="FV24" s="53">
        <f t="shared" ca="1" si="69"/>
        <v>3.050339030105405</v>
      </c>
      <c r="FW24" s="53">
        <v>1775806961</v>
      </c>
      <c r="FX24" s="53">
        <v>4057438632</v>
      </c>
      <c r="FY24" s="53">
        <f ca="1">INDIRECT("ZS(-1)",0) * 'Correction factor'!$C$13</f>
        <v>5627111371.0223198</v>
      </c>
      <c r="FZ24" s="53">
        <f t="shared" ca="1" si="70"/>
        <v>7402918332.0223198</v>
      </c>
      <c r="GA24" s="53">
        <f t="shared" ca="1" si="71"/>
        <v>5.9408358469746521</v>
      </c>
      <c r="GB24" s="53">
        <v>3287262984</v>
      </c>
      <c r="GC24" s="53">
        <v>10649657</v>
      </c>
      <c r="GD24" s="53">
        <f ca="1">INDIRECT("ZS(-1)",0) * 'Correction factor'!$C$13</f>
        <v>14769614.882048927</v>
      </c>
      <c r="GE24" s="53">
        <f t="shared" ca="1" si="72"/>
        <v>3302032598.8820491</v>
      </c>
      <c r="GF24" s="53">
        <f t="shared" ca="1" si="73"/>
        <v>2.30265680365742</v>
      </c>
      <c r="GG24" s="53">
        <v>2252081671</v>
      </c>
      <c r="GH24" s="53">
        <v>19381161</v>
      </c>
      <c r="GI24" s="53">
        <f ca="1">INDIRECT("ZS(-1)",0) * 'Correction factor'!$C$13</f>
        <v>26879014.407411084</v>
      </c>
      <c r="GJ24" s="53">
        <f t="shared" ca="1" si="74"/>
        <v>2278960685.4074111</v>
      </c>
      <c r="GK24" s="53">
        <f t="shared" ca="1" si="75"/>
        <v>1.5891094797830578</v>
      </c>
      <c r="GL24" s="53">
        <v>624801149</v>
      </c>
      <c r="GM24" s="53">
        <v>647600450</v>
      </c>
      <c r="GN24" s="53">
        <f ca="1">INDIRECT("ZS(-1)",0) * 'Correction factor'!$C$13</f>
        <v>898133080.14911497</v>
      </c>
      <c r="GO24" s="53">
        <f t="shared" ca="1" si="76"/>
        <v>1522934229.1491151</v>
      </c>
      <c r="GP24" s="53">
        <f t="shared" ca="1" si="77"/>
        <v>1.050599086846816</v>
      </c>
      <c r="GQ24" s="53">
        <v>2241120387</v>
      </c>
      <c r="GR24" s="53">
        <v>10626007</v>
      </c>
      <c r="GS24" s="53">
        <f ca="1">INDIRECT("ZS(-1)",0) * 'Correction factor'!$C$13</f>
        <v>14736815.572929353</v>
      </c>
      <c r="GT24" s="53">
        <f t="shared" ca="1" si="78"/>
        <v>2255857202.5729294</v>
      </c>
      <c r="GU24" s="53">
        <f t="shared" ca="1" si="79"/>
        <v>2.3390623112313165</v>
      </c>
      <c r="GV24" s="53">
        <v>2271924626</v>
      </c>
      <c r="GW24" s="53">
        <v>162290166</v>
      </c>
      <c r="GX24" s="53">
        <f ca="1">INDIRECT("ZS(-1)",0) * 'Correction factor'!$C$13</f>
        <v>225074220.79075325</v>
      </c>
      <c r="GY24" s="53">
        <f t="shared" ca="1" si="80"/>
        <v>2496998846.7907534</v>
      </c>
      <c r="GZ24" s="53">
        <f t="shared" ca="1" si="81"/>
        <v>1.7726355227896293</v>
      </c>
      <c r="HA24" s="53">
        <v>591489064</v>
      </c>
      <c r="HB24" s="53">
        <v>2498239281</v>
      </c>
      <c r="HC24" s="53">
        <f ca="1">INDIRECT("ZS(-1)",0) * 'Correction factor'!$C$13</f>
        <v>3464715536.2446709</v>
      </c>
      <c r="HD24" s="53">
        <f t="shared" ca="1" si="82"/>
        <v>4056204600.2446709</v>
      </c>
      <c r="HE24" s="53">
        <f t="shared" ca="1" si="83"/>
        <v>2.9706689508135473</v>
      </c>
      <c r="HF24" s="53">
        <v>586687389</v>
      </c>
      <c r="HG24" s="53">
        <v>5931462882</v>
      </c>
      <c r="HH24" s="53">
        <f ca="1">INDIRECT("ZS(-1)",0) * 'Correction factor'!$C$13</f>
        <v>8226126198.6473389</v>
      </c>
      <c r="HI24" s="53">
        <f t="shared" ca="1" si="84"/>
        <v>8812813587.6473389</v>
      </c>
      <c r="HJ24" s="53">
        <f t="shared" ca="1" si="85"/>
        <v>6.4917823127377421</v>
      </c>
      <c r="HK24" s="53">
        <v>963548772</v>
      </c>
      <c r="HL24" s="53">
        <v>11042115450</v>
      </c>
      <c r="HM24" s="53">
        <f ca="1">INDIRECT("ZS(-1)",0) * 'Correction factor'!$C$13</f>
        <v>15313900971.610861</v>
      </c>
      <c r="HN24" s="53">
        <f t="shared" ca="1" si="86"/>
        <v>16277449743.610861</v>
      </c>
      <c r="HO24" s="53">
        <f t="shared" ca="1" si="87"/>
        <v>12.117654551956093</v>
      </c>
      <c r="HP24" s="53">
        <v>1800947558</v>
      </c>
      <c r="HQ24" s="53">
        <v>12346979</v>
      </c>
      <c r="HR24" s="53">
        <f ca="1">INDIRECT("ZS(-1)",0) * 'Correction factor'!$C$13</f>
        <v>17123567.903336756</v>
      </c>
      <c r="HS24" s="53">
        <f t="shared" ca="1" si="88"/>
        <v>1818071125.9033368</v>
      </c>
      <c r="HT24" s="53">
        <f t="shared" ca="1" si="89"/>
        <v>1.178641799591307</v>
      </c>
      <c r="HU24" s="53">
        <v>903668553</v>
      </c>
      <c r="HV24" s="53">
        <v>220018344</v>
      </c>
      <c r="HW24" s="53">
        <f ca="1">INDIRECT("ZS(-1)",0) * 'Correction factor'!$C$13</f>
        <v>305135292.88935411</v>
      </c>
      <c r="HX24" s="53">
        <f t="shared" ca="1" si="90"/>
        <v>1208803845.8893542</v>
      </c>
      <c r="HY24" s="53">
        <f t="shared" ca="1" si="91"/>
        <v>0.9485523155444695</v>
      </c>
      <c r="HZ24" s="53">
        <v>479440779</v>
      </c>
      <c r="IA24" s="53">
        <v>2468797910</v>
      </c>
      <c r="IB24" s="53">
        <f ca="1">INDIRECT("ZS(-1)",0) * 'Correction factor'!$C$13</f>
        <v>3423884389.1692748</v>
      </c>
      <c r="IC24" s="53">
        <f t="shared" ca="1" si="92"/>
        <v>3903325168.1692748</v>
      </c>
      <c r="ID24" s="53">
        <f t="shared" ca="1" si="93"/>
        <v>3.0267664519937689</v>
      </c>
      <c r="IE24" s="53">
        <v>434695736</v>
      </c>
      <c r="IF24" s="53">
        <v>10998614</v>
      </c>
      <c r="IG24" s="53">
        <f ca="1">INDIRECT("ZS(-1)",0) * 'Correction factor'!$C$13</f>
        <v>15253570.421686979</v>
      </c>
      <c r="IH24" s="53">
        <f t="shared" ca="1" si="94"/>
        <v>449949306.42168701</v>
      </c>
      <c r="II24" s="61">
        <f t="shared" ca="1" si="95"/>
        <v>0.34430646233709417</v>
      </c>
    </row>
    <row r="25" spans="1:243" x14ac:dyDescent="0.25">
      <c r="A25" s="5">
        <v>21</v>
      </c>
      <c r="B25" s="30">
        <v>45512</v>
      </c>
      <c r="C25" s="29" t="s">
        <v>38</v>
      </c>
      <c r="D25" s="52">
        <v>7012948277</v>
      </c>
      <c r="E25" s="53">
        <v>18622639</v>
      </c>
      <c r="F25" s="53">
        <f ca="1">INDIRECT("ZS(-1)",0) * 'Correction factor'!$C$13</f>
        <v>25827048.337559111</v>
      </c>
      <c r="G25" s="53">
        <f t="shared" ca="1" si="0"/>
        <v>7038775325.3375587</v>
      </c>
      <c r="H25" s="53">
        <f t="shared" ca="1" si="1"/>
        <v>5.0907756168061145</v>
      </c>
      <c r="I25" s="53">
        <v>5264831105</v>
      </c>
      <c r="J25" s="53">
        <v>32054186</v>
      </c>
      <c r="K25" s="53">
        <f ca="1">INDIRECT("ZS(-1)",0) * 'Correction factor'!$C$13</f>
        <v>44454763.432997361</v>
      </c>
      <c r="L25" s="53">
        <f t="shared" ca="1" si="2"/>
        <v>5309285868.4329977</v>
      </c>
      <c r="M25" s="53">
        <f t="shared" ca="1" si="3"/>
        <v>3.4802551959108499</v>
      </c>
      <c r="N25" s="53">
        <v>5646753701</v>
      </c>
      <c r="O25" s="53">
        <v>14434735</v>
      </c>
      <c r="P25" s="53">
        <f ca="1">INDIRECT("ZS(-1)",0) * 'Correction factor'!$C$13</f>
        <v>20018999.379457247</v>
      </c>
      <c r="Q25" s="53">
        <f t="shared" ca="1" si="4"/>
        <v>5666772700.3794575</v>
      </c>
      <c r="R25" s="53">
        <f t="shared" ca="1" si="5"/>
        <v>4.4116024551404243</v>
      </c>
      <c r="S25" s="53">
        <v>4985108496</v>
      </c>
      <c r="T25" s="53">
        <v>13690829</v>
      </c>
      <c r="U25" s="53">
        <f ca="1">INDIRECT("ZS(-1)",0) * 'Correction factor'!$C$13</f>
        <v>18987303.698700067</v>
      </c>
      <c r="V25" s="53">
        <f t="shared" ca="1" si="6"/>
        <v>5004095799.6987</v>
      </c>
      <c r="W25" s="53">
        <f t="shared" ca="1" si="7"/>
        <v>3.4160487731637326</v>
      </c>
      <c r="X25" s="53">
        <v>8425770680</v>
      </c>
      <c r="Y25" s="53">
        <v>24576991</v>
      </c>
      <c r="Z25" s="53">
        <f ca="1">INDIRECT("ZS(-1)",0) * 'Correction factor'!$C$13</f>
        <v>34084918.606259577</v>
      </c>
      <c r="AA25" s="53">
        <f t="shared" ca="1" si="8"/>
        <v>8459855598.6062593</v>
      </c>
      <c r="AB25" s="53">
        <f t="shared" ca="1" si="9"/>
        <v>5.9001514984656112</v>
      </c>
      <c r="AC25" s="53">
        <v>7384087910</v>
      </c>
      <c r="AD25" s="53">
        <v>26560356</v>
      </c>
      <c r="AE25" s="53">
        <f ca="1">INDIRECT("ZS(-1)",0) * 'Correction factor'!$C$13</f>
        <v>36835574.070612557</v>
      </c>
      <c r="AF25" s="53">
        <f t="shared" ca="1" si="10"/>
        <v>7420923484.0706129</v>
      </c>
      <c r="AG25" s="53">
        <f t="shared" ca="1" si="11"/>
        <v>4.7873425220349208</v>
      </c>
      <c r="AH25" s="53">
        <v>87307431</v>
      </c>
      <c r="AI25" s="53">
        <v>11257043</v>
      </c>
      <c r="AJ25" s="53">
        <f ca="1">INDIRECT("ZS(-1)",0) * 'Correction factor'!$C$13</f>
        <v>15611976.030839745</v>
      </c>
      <c r="AK25" s="53">
        <f t="shared" ca="1" si="12"/>
        <v>102919407.03083974</v>
      </c>
      <c r="AL25" s="53">
        <f t="shared" ca="1" si="13"/>
        <v>5.8410472452182054E-2</v>
      </c>
      <c r="AM25" s="53">
        <v>481145735</v>
      </c>
      <c r="AN25" s="53">
        <v>5227253523</v>
      </c>
      <c r="AO25" s="53">
        <f ca="1">INDIRECT("ZS(-1)",0) * 'Correction factor'!$C$13</f>
        <v>7249484319.1234694</v>
      </c>
      <c r="AP25" s="53">
        <f t="shared" ca="1" si="14"/>
        <v>7730630054.1234694</v>
      </c>
      <c r="AQ25" s="53">
        <f t="shared" ca="1" si="15"/>
        <v>5.0203743876196585</v>
      </c>
      <c r="AR25" s="53">
        <v>27271791</v>
      </c>
      <c r="AS25" s="53">
        <v>6993317</v>
      </c>
      <c r="AT25" s="53">
        <f ca="1">INDIRECT("ZS(-1)",0) * 'Correction factor'!$C$13</f>
        <v>9698772.3490142226</v>
      </c>
      <c r="AU25" s="53">
        <f t="shared" ca="1" si="16"/>
        <v>36970563.349014223</v>
      </c>
      <c r="AV25" s="53">
        <f t="shared" ca="1" si="17"/>
        <v>2.6457112926652676E-2</v>
      </c>
      <c r="AW25" s="53">
        <v>40199580</v>
      </c>
      <c r="AX25" s="53">
        <v>11996685</v>
      </c>
      <c r="AY25" s="53">
        <f ca="1">INDIRECT("ZS(-1)",0) * 'Correction factor'!$C$13</f>
        <v>16637758.12791465</v>
      </c>
      <c r="AZ25" s="53">
        <f t="shared" ca="1" si="18"/>
        <v>56837338.127914652</v>
      </c>
      <c r="BA25" s="53">
        <f t="shared" ca="1" si="19"/>
        <v>3.9049646418311254E-2</v>
      </c>
      <c r="BB25" s="53">
        <v>143331475</v>
      </c>
      <c r="BC25" s="53">
        <v>14293734</v>
      </c>
      <c r="BD25" s="53">
        <f ca="1">INDIRECT("ZS(-1)",0) * 'Correction factor'!$C$13</f>
        <v>19823450.314545225</v>
      </c>
      <c r="BE25" s="53">
        <f t="shared" ca="1" si="20"/>
        <v>163154925.31454521</v>
      </c>
      <c r="BF25" s="53">
        <f t="shared" ca="1" si="21"/>
        <v>0.11074425947313363</v>
      </c>
      <c r="BG25" s="53">
        <v>221674858</v>
      </c>
      <c r="BH25" s="53">
        <v>14001841</v>
      </c>
      <c r="BI25" s="53">
        <f ca="1">INDIRECT("ZS(-1)",0) * 'Correction factor'!$C$13</f>
        <v>19418634.723135483</v>
      </c>
      <c r="BJ25" s="53">
        <f t="shared" ca="1" si="22"/>
        <v>241093492.72313547</v>
      </c>
      <c r="BK25" s="53">
        <f t="shared" ca="1" si="23"/>
        <v>0.14684944140242262</v>
      </c>
      <c r="BL25" s="53">
        <v>1182345005</v>
      </c>
      <c r="BM25" s="53">
        <v>13765120710</v>
      </c>
      <c r="BN25" s="53">
        <f ca="1">INDIRECT("ZS(-1)",0) * 'Correction factor'!$C$13</f>
        <v>19090336119.897186</v>
      </c>
      <c r="BO25" s="53">
        <f t="shared" ca="1" si="24"/>
        <v>20272681124.897186</v>
      </c>
      <c r="BP25" s="53">
        <f t="shared" ca="1" si="25"/>
        <v>97.22837230970805</v>
      </c>
      <c r="BQ25" s="53">
        <v>1121607515</v>
      </c>
      <c r="BR25" s="53">
        <v>13914024358</v>
      </c>
      <c r="BS25" s="53">
        <f ca="1">INDIRECT("ZS(-1)",0) * 'Correction factor'!$C$13</f>
        <v>19296845074.644947</v>
      </c>
      <c r="BT25" s="53">
        <f t="shared" ca="1" si="26"/>
        <v>20418452589.644947</v>
      </c>
      <c r="BU25" s="53">
        <f t="shared" ca="1" si="27"/>
        <v>119.87386757158804</v>
      </c>
      <c r="BV25" s="53">
        <v>13417232</v>
      </c>
      <c r="BW25" s="53">
        <v>163507165</v>
      </c>
      <c r="BX25" s="53">
        <f ca="1">INDIRECT("ZS(-1)",0) * 'Correction factor'!$C$13</f>
        <v>226762031.63215768</v>
      </c>
      <c r="BY25" s="53">
        <f t="shared" ca="1" si="28"/>
        <v>240179263.63215768</v>
      </c>
      <c r="BZ25" s="53">
        <f t="shared" ca="1" si="29"/>
        <v>1.5286265640032246</v>
      </c>
      <c r="CA25" s="53">
        <v>1147726685</v>
      </c>
      <c r="CB25" s="53">
        <v>14024226911</v>
      </c>
      <c r="CC25" s="53">
        <f ca="1">INDIRECT("ZS(-1)",0) * 'Correction factor'!$C$13</f>
        <v>19449680914.036636</v>
      </c>
      <c r="CD25" s="53">
        <f t="shared" ca="1" si="30"/>
        <v>20597407599.036636</v>
      </c>
      <c r="CE25" s="53">
        <f t="shared" ca="1" si="31"/>
        <v>116.58650472182023</v>
      </c>
      <c r="CF25" s="53">
        <v>36027454</v>
      </c>
      <c r="CG25" s="53">
        <v>13224453</v>
      </c>
      <c r="CH25" s="53">
        <f ca="1">INDIRECT("ZS(-1)",0) * 'Correction factor'!$C$13</f>
        <v>18340504.096587956</v>
      </c>
      <c r="CI25" s="53">
        <f t="shared" ca="1" si="32"/>
        <v>54367958.096587956</v>
      </c>
      <c r="CJ25" s="53">
        <f t="shared" ca="1" si="33"/>
        <v>0.39495345947354105</v>
      </c>
      <c r="CK25" s="53">
        <v>-41833562</v>
      </c>
      <c r="CL25" s="53">
        <v>-36807176</v>
      </c>
      <c r="CM25" s="53">
        <f ca="1">INDIRECT("ZS(-1)",0) * 'Correction factor'!$C$13</f>
        <v>-51046509.236475326</v>
      </c>
      <c r="CN25" s="53">
        <f t="shared" ca="1" si="34"/>
        <v>-92880071.236475319</v>
      </c>
      <c r="CO25" s="53">
        <f t="shared" ca="1" si="35"/>
        <v>-0.66344708089192428</v>
      </c>
      <c r="CP25" s="53">
        <v>4471515367</v>
      </c>
      <c r="CQ25" s="53">
        <v>18928106</v>
      </c>
      <c r="CR25" s="53">
        <f ca="1">INDIRECT("ZS(-1)",0) * 'Correction factor'!$C$13</f>
        <v>26250689.206854232</v>
      </c>
      <c r="CS25" s="53">
        <f t="shared" ca="1" si="36"/>
        <v>4497766056.2068539</v>
      </c>
      <c r="CT25" s="53">
        <f t="shared" ca="1" si="37"/>
        <v>3.0640123700050927</v>
      </c>
      <c r="CU25" s="53">
        <v>3605284978</v>
      </c>
      <c r="CV25" s="53">
        <v>17777598</v>
      </c>
      <c r="CW25" s="53">
        <f ca="1">INDIRECT("ZS(-1)",0) * 'Correction factor'!$C$13</f>
        <v>24655092.270848092</v>
      </c>
      <c r="CX25" s="53">
        <f t="shared" ca="1" si="38"/>
        <v>3629940070.2708483</v>
      </c>
      <c r="CY25" s="53">
        <f t="shared" ca="1" si="39"/>
        <v>2.7773287655690009</v>
      </c>
      <c r="CZ25" s="53">
        <v>4222558824</v>
      </c>
      <c r="DA25" s="53">
        <v>250786666</v>
      </c>
      <c r="DB25" s="53">
        <f ca="1">INDIRECT("ZS(-1)",0) * 'Correction factor'!$C$13</f>
        <v>347806739.16287011</v>
      </c>
      <c r="DC25" s="53">
        <f t="shared" ca="1" si="40"/>
        <v>4570365563.1628704</v>
      </c>
      <c r="DD25" s="53">
        <f t="shared" ca="1" si="41"/>
        <v>2.9998191846502591</v>
      </c>
      <c r="DE25" s="53">
        <v>3923680980</v>
      </c>
      <c r="DF25" s="53">
        <v>798311752</v>
      </c>
      <c r="DG25" s="53">
        <f ca="1">INDIRECT("ZS(-1)",0) * 'Correction factor'!$C$13</f>
        <v>1107149003.2828054</v>
      </c>
      <c r="DH25" s="53">
        <f t="shared" ca="1" si="42"/>
        <v>5030829983.2828054</v>
      </c>
      <c r="DI25" s="53">
        <f t="shared" ca="1" si="43"/>
        <v>3.6631364231481478</v>
      </c>
      <c r="DJ25" s="53">
        <v>2837033597</v>
      </c>
      <c r="DK25" s="53">
        <v>1186378861</v>
      </c>
      <c r="DL25" s="53">
        <f ca="1">INDIRECT("ZS(-1)",0) * 'Correction factor'!$C$13</f>
        <v>1645344904.645648</v>
      </c>
      <c r="DM25" s="53">
        <f t="shared" ca="1" si="44"/>
        <v>4482378501.645648</v>
      </c>
      <c r="DN25" s="53">
        <f t="shared" ca="1" si="45"/>
        <v>3.6945568652309513</v>
      </c>
      <c r="DO25" s="53">
        <v>2949609687</v>
      </c>
      <c r="DP25" s="53">
        <v>169164867</v>
      </c>
      <c r="DQ25" s="53">
        <f ca="1">INDIRECT("ZS(-1)",0) * 'Correction factor'!$C$13</f>
        <v>234608489.00232446</v>
      </c>
      <c r="DR25" s="53">
        <f t="shared" ca="1" si="46"/>
        <v>3184218176.0023246</v>
      </c>
      <c r="DS25" s="53">
        <f t="shared" ca="1" si="47"/>
        <v>2.3989874698745091</v>
      </c>
      <c r="DT25" s="53">
        <v>1823234003</v>
      </c>
      <c r="DU25" s="53">
        <v>3483771109</v>
      </c>
      <c r="DV25" s="53">
        <f ca="1">INDIRECT("ZS(-1)",0) * 'Correction factor'!$C$13</f>
        <v>4831513129.2151947</v>
      </c>
      <c r="DW25" s="53">
        <f t="shared" ca="1" si="48"/>
        <v>6654747132.2151947</v>
      </c>
      <c r="DX25" s="53">
        <f t="shared" ca="1" si="49"/>
        <v>4.9003878854133562</v>
      </c>
      <c r="DY25" s="53">
        <v>2096130483</v>
      </c>
      <c r="DZ25" s="53">
        <v>3348592758</v>
      </c>
      <c r="EA25" s="53">
        <f ca="1">INDIRECT("ZS(-1)",0) * 'Correction factor'!$C$13</f>
        <v>4644039280.5588074</v>
      </c>
      <c r="EB25" s="53">
        <f t="shared" ca="1" si="50"/>
        <v>6740169763.5588074</v>
      </c>
      <c r="EC25" s="53">
        <f t="shared" ca="1" si="51"/>
        <v>4.7666489803073429</v>
      </c>
      <c r="ED25" s="53">
        <v>837867854</v>
      </c>
      <c r="EE25" s="53">
        <v>7013682569</v>
      </c>
      <c r="EF25" s="53">
        <f ca="1">INDIRECT("ZS(-1)",0) * 'Correction factor'!$C$13</f>
        <v>9727016602.4191723</v>
      </c>
      <c r="EG25" s="53">
        <f t="shared" ca="1" si="52"/>
        <v>10564884456.419172</v>
      </c>
      <c r="EH25" s="53">
        <f t="shared" ca="1" si="53"/>
        <v>8.0770270943442952</v>
      </c>
      <c r="EI25" s="53">
        <v>1968168255</v>
      </c>
      <c r="EJ25" s="53">
        <v>2410682085</v>
      </c>
      <c r="EK25" s="53">
        <f ca="1">INDIRECT("ZS(-1)",0) * 'Correction factor'!$C$13</f>
        <v>3343285703.8029242</v>
      </c>
      <c r="EL25" s="53">
        <f t="shared" ca="1" si="54"/>
        <v>5311453958.8029242</v>
      </c>
      <c r="EM25" s="53">
        <f t="shared" ca="1" si="55"/>
        <v>4.0359273268010218</v>
      </c>
      <c r="EN25" s="53">
        <v>4217890881</v>
      </c>
      <c r="EO25" s="53">
        <v>17392043</v>
      </c>
      <c r="EP25" s="53">
        <f ca="1">INDIRECT("ZS(-1)",0) * 'Correction factor'!$C$13</f>
        <v>24120380.320421107</v>
      </c>
      <c r="EQ25" s="53">
        <f t="shared" ca="1" si="56"/>
        <v>4242011261.3204212</v>
      </c>
      <c r="ER25" s="53">
        <f t="shared" ca="1" si="57"/>
        <v>2.8842152566943309</v>
      </c>
      <c r="ES25" s="53">
        <v>3824100342</v>
      </c>
      <c r="ET25" s="53">
        <v>22360990</v>
      </c>
      <c r="EU25" s="53">
        <f ca="1">INDIRECT("ZS(-1)",0) * 'Correction factor'!$C$13</f>
        <v>31011628.889207162</v>
      </c>
      <c r="EV25" s="53">
        <f t="shared" ca="1" si="58"/>
        <v>3855111970.8892074</v>
      </c>
      <c r="EW25" s="53">
        <f t="shared" ca="1" si="59"/>
        <v>2.6352102644411195</v>
      </c>
      <c r="EX25" s="53">
        <v>3703866162</v>
      </c>
      <c r="EY25" s="53">
        <v>13993316</v>
      </c>
      <c r="EZ25" s="53">
        <f ca="1">INDIRECT("ZS(-1)",0) * 'Correction factor'!$C$13</f>
        <v>19406811.71635982</v>
      </c>
      <c r="FA25" s="53">
        <f t="shared" ca="1" si="60"/>
        <v>3723272973.7163596</v>
      </c>
      <c r="FB25" s="53">
        <f t="shared" ca="1" si="61"/>
        <v>2.6545809524456785</v>
      </c>
      <c r="FC25" s="53">
        <v>2969230510</v>
      </c>
      <c r="FD25" s="53">
        <v>1004444429</v>
      </c>
      <c r="FE25" s="53">
        <f ca="1">INDIRECT("ZS(-1)",0) * 'Correction factor'!$C$13</f>
        <v>1393026778.8671069</v>
      </c>
      <c r="FF25" s="53">
        <f t="shared" ca="1" si="62"/>
        <v>4362257288.8671074</v>
      </c>
      <c r="FG25" s="53">
        <f t="shared" ca="1" si="63"/>
        <v>3.36654856037842</v>
      </c>
      <c r="FH25" s="53">
        <v>4275673721</v>
      </c>
      <c r="FI25" s="53">
        <v>281893191</v>
      </c>
      <c r="FJ25" s="53">
        <f ca="1">INDIRECT("ZS(-1)",0) * 'Correction factor'!$C$13</f>
        <v>390947226.65169978</v>
      </c>
      <c r="FK25" s="53">
        <f t="shared" ca="1" si="64"/>
        <v>4666620947.6517</v>
      </c>
      <c r="FL25" s="53">
        <f t="shared" ca="1" si="65"/>
        <v>2.6289363806536996</v>
      </c>
      <c r="FM25" s="53">
        <v>4390108718</v>
      </c>
      <c r="FN25" s="53">
        <v>18557531</v>
      </c>
      <c r="FO25" s="53">
        <f ca="1">INDIRECT("ZS(-1)",0) * 'Correction factor'!$C$13</f>
        <v>25736752.463641252</v>
      </c>
      <c r="FP25" s="53">
        <f t="shared" ca="1" si="66"/>
        <v>4415845470.4636412</v>
      </c>
      <c r="FQ25" s="53">
        <f t="shared" ca="1" si="67"/>
        <v>3.1207295451039099</v>
      </c>
      <c r="FR25" s="53">
        <v>4366525183</v>
      </c>
      <c r="FS25" s="53">
        <v>27994986</v>
      </c>
      <c r="FT25" s="53">
        <f ca="1">INDIRECT("ZS(-1)",0) * 'Correction factor'!$C$13</f>
        <v>38825209.285928309</v>
      </c>
      <c r="FU25" s="53">
        <f t="shared" ca="1" si="68"/>
        <v>4405350392.2859287</v>
      </c>
      <c r="FV25" s="53">
        <f t="shared" ca="1" si="69"/>
        <v>3.0731929158575051</v>
      </c>
      <c r="FW25" s="53">
        <v>1491461465</v>
      </c>
      <c r="FX25" s="53">
        <v>5230725650</v>
      </c>
      <c r="FY25" s="53">
        <f ca="1">INDIRECT("ZS(-1)",0) * 'Correction factor'!$C$13</f>
        <v>7254299683.4691534</v>
      </c>
      <c r="FZ25" s="53">
        <f t="shared" ca="1" si="70"/>
        <v>8745761148.4691544</v>
      </c>
      <c r="GA25" s="53">
        <f t="shared" ca="1" si="71"/>
        <v>7.0184660980462512</v>
      </c>
      <c r="GB25" s="53">
        <v>3449940456</v>
      </c>
      <c r="GC25" s="53">
        <v>11360487</v>
      </c>
      <c r="GD25" s="53">
        <f ca="1">INDIRECT("ZS(-1)",0) * 'Correction factor'!$C$13</f>
        <v>15755438.68337951</v>
      </c>
      <c r="GE25" s="53">
        <f t="shared" ca="1" si="72"/>
        <v>3465695894.6833797</v>
      </c>
      <c r="GF25" s="53">
        <f t="shared" ca="1" si="73"/>
        <v>2.4167866283337487</v>
      </c>
      <c r="GG25" s="53">
        <v>2355865007</v>
      </c>
      <c r="GH25" s="53">
        <v>19486126</v>
      </c>
      <c r="GI25" s="53">
        <f ca="1">INDIRECT("ZS(-1)",0) * 'Correction factor'!$C$13</f>
        <v>27024586.478520438</v>
      </c>
      <c r="GJ25" s="53">
        <f t="shared" ca="1" si="74"/>
        <v>2382889593.4785204</v>
      </c>
      <c r="GK25" s="53">
        <f t="shared" ca="1" si="75"/>
        <v>1.661578660184815</v>
      </c>
      <c r="GL25" s="53">
        <v>585726520</v>
      </c>
      <c r="GM25" s="53">
        <v>843813133</v>
      </c>
      <c r="GN25" s="53">
        <f ca="1">INDIRECT("ZS(-1)",0) * 'Correction factor'!$C$13</f>
        <v>1170253183.4429157</v>
      </c>
      <c r="GO25" s="53">
        <f t="shared" ca="1" si="76"/>
        <v>1755979703.4429157</v>
      </c>
      <c r="GP25" s="53">
        <f t="shared" ca="1" si="77"/>
        <v>1.211365952415032</v>
      </c>
      <c r="GQ25" s="53">
        <v>2483211744</v>
      </c>
      <c r="GR25" s="53">
        <v>11331505</v>
      </c>
      <c r="GS25" s="53">
        <f ca="1">INDIRECT("ZS(-1)",0) * 'Correction factor'!$C$13</f>
        <v>15715244.620931156</v>
      </c>
      <c r="GT25" s="53">
        <f t="shared" ca="1" si="78"/>
        <v>2498926988.6209311</v>
      </c>
      <c r="GU25" s="53">
        <f t="shared" ca="1" si="79"/>
        <v>2.5910974909827087</v>
      </c>
      <c r="GV25" s="53">
        <v>2474385482</v>
      </c>
      <c r="GW25" s="53">
        <v>211285285</v>
      </c>
      <c r="GX25" s="53">
        <f ca="1">INDIRECT("ZS(-1)",0) * 'Correction factor'!$C$13</f>
        <v>293023736.79208159</v>
      </c>
      <c r="GY25" s="53">
        <f t="shared" ca="1" si="80"/>
        <v>2767409218.7920818</v>
      </c>
      <c r="GZ25" s="53">
        <f t="shared" ca="1" si="81"/>
        <v>1.9646015830689041</v>
      </c>
      <c r="HA25" s="53">
        <v>616452956</v>
      </c>
      <c r="HB25" s="53">
        <v>3331470594</v>
      </c>
      <c r="HC25" s="53">
        <f ca="1">INDIRECT("ZS(-1)",0) * 'Correction factor'!$C$13</f>
        <v>4620293185.4284868</v>
      </c>
      <c r="HD25" s="53">
        <f t="shared" ca="1" si="82"/>
        <v>5236746141.4284868</v>
      </c>
      <c r="HE25" s="53">
        <f t="shared" ca="1" si="83"/>
        <v>3.8352698393704987</v>
      </c>
      <c r="HF25" s="53">
        <v>667288999</v>
      </c>
      <c r="HG25" s="53">
        <v>7239478852</v>
      </c>
      <c r="HH25" s="53">
        <f ca="1">INDIRECT("ZS(-1)",0) * 'Correction factor'!$C$13</f>
        <v>10040165104.921003</v>
      </c>
      <c r="HI25" s="53">
        <f t="shared" ca="1" si="84"/>
        <v>10707454103.921003</v>
      </c>
      <c r="HJ25" s="53">
        <f t="shared" ca="1" si="85"/>
        <v>7.8874312357765382</v>
      </c>
      <c r="HK25" s="53">
        <v>1160618913</v>
      </c>
      <c r="HL25" s="53">
        <v>13441147294</v>
      </c>
      <c r="HM25" s="53">
        <f ca="1">INDIRECT("ZS(-1)",0) * 'Correction factor'!$C$13</f>
        <v>18641029387.638878</v>
      </c>
      <c r="HN25" s="53">
        <f t="shared" ca="1" si="86"/>
        <v>19801648300.638878</v>
      </c>
      <c r="HO25" s="53">
        <f t="shared" ca="1" si="87"/>
        <v>14.741224052045013</v>
      </c>
      <c r="HP25" s="53">
        <v>2129929544</v>
      </c>
      <c r="HQ25" s="53">
        <v>12831346</v>
      </c>
      <c r="HR25" s="53">
        <f ca="1">INDIRECT("ZS(-1)",0) * 'Correction factor'!$C$13</f>
        <v>17795318.557050146</v>
      </c>
      <c r="HS25" s="53">
        <f t="shared" ca="1" si="88"/>
        <v>2147724862.5570502</v>
      </c>
      <c r="HT25" s="53">
        <f t="shared" ca="1" si="89"/>
        <v>1.3923538309170771</v>
      </c>
      <c r="HU25" s="53">
        <v>1161333894</v>
      </c>
      <c r="HV25" s="53">
        <v>283964022</v>
      </c>
      <c r="HW25" s="53">
        <f ca="1">INDIRECT("ZS(-1)",0) * 'Correction factor'!$C$13</f>
        <v>393819185.47213954</v>
      </c>
      <c r="HX25" s="53">
        <f t="shared" ca="1" si="90"/>
        <v>1555153079.4721396</v>
      </c>
      <c r="HY25" s="53">
        <f t="shared" ca="1" si="91"/>
        <v>1.2203336873685255</v>
      </c>
      <c r="HZ25" s="53">
        <v>475253251</v>
      </c>
      <c r="IA25" s="53">
        <v>3062275452</v>
      </c>
      <c r="IB25" s="53">
        <f ca="1">INDIRECT("ZS(-1)",0) * 'Correction factor'!$C$13</f>
        <v>4246956412.6612067</v>
      </c>
      <c r="IC25" s="53">
        <f t="shared" ca="1" si="92"/>
        <v>4722209663.6612072</v>
      </c>
      <c r="ID25" s="53">
        <f t="shared" ca="1" si="93"/>
        <v>3.6617563675726741</v>
      </c>
      <c r="IE25" s="53">
        <v>558435239</v>
      </c>
      <c r="IF25" s="53">
        <v>11227076</v>
      </c>
      <c r="IG25" s="53">
        <f ca="1">INDIRECT("ZS(-1)",0) * 'Correction factor'!$C$13</f>
        <v>15570415.908370979</v>
      </c>
      <c r="IH25" s="53">
        <f t="shared" ca="1" si="94"/>
        <v>574005654.90837097</v>
      </c>
      <c r="II25" s="61">
        <f t="shared" ca="1" si="95"/>
        <v>0.43923582853079912</v>
      </c>
    </row>
    <row r="26" spans="1:243" s="3" customFormat="1" x14ac:dyDescent="0.25">
      <c r="A26" s="57">
        <v>22</v>
      </c>
      <c r="B26" s="56">
        <v>45513</v>
      </c>
      <c r="C26" s="29" t="s">
        <v>39</v>
      </c>
      <c r="D26" s="52">
        <v>7286815930</v>
      </c>
      <c r="E26" s="53">
        <v>18975887</v>
      </c>
      <c r="F26" s="53">
        <f ca="1">INDIRECT("ZS(-1)",0) * 'Correction factor'!$C$13</f>
        <v>26316954.906179495</v>
      </c>
      <c r="G26" s="53">
        <f t="shared" ca="1" si="0"/>
        <v>7313132884.9061794</v>
      </c>
      <c r="H26" s="53">
        <f t="shared" ca="1" si="1"/>
        <v>5.2892039953211487</v>
      </c>
      <c r="I26" s="53">
        <v>5398107257</v>
      </c>
      <c r="J26" s="53">
        <v>31718134</v>
      </c>
      <c r="K26" s="53">
        <f ca="1">INDIRECT("ZS(-1)",0) * 'Correction factor'!$C$13</f>
        <v>43988705.35992118</v>
      </c>
      <c r="L26" s="53">
        <f t="shared" ca="1" si="2"/>
        <v>5442095962.3599215</v>
      </c>
      <c r="M26" s="53">
        <f t="shared" ca="1" si="3"/>
        <v>3.5673126704775759</v>
      </c>
      <c r="N26" s="53">
        <v>5419547742</v>
      </c>
      <c r="O26" s="53">
        <v>14042655</v>
      </c>
      <c r="P26" s="53">
        <f ca="1">INDIRECT("ZS(-1)",0) * 'Correction factor'!$C$13</f>
        <v>19475238.148184378</v>
      </c>
      <c r="Q26" s="53">
        <f t="shared" ca="1" si="4"/>
        <v>5439022980.1481848</v>
      </c>
      <c r="R26" s="53">
        <f t="shared" ca="1" si="5"/>
        <v>4.2342984978346117</v>
      </c>
      <c r="S26" s="53">
        <v>5001167627</v>
      </c>
      <c r="T26" s="53">
        <v>13671244</v>
      </c>
      <c r="U26" s="53">
        <f ca="1">INDIRECT("ZS(-1)",0) * 'Correction factor'!$C$13</f>
        <v>18960141.987532753</v>
      </c>
      <c r="V26" s="53">
        <f t="shared" ca="1" si="6"/>
        <v>5020127768.9875326</v>
      </c>
      <c r="W26" s="53">
        <f t="shared" ca="1" si="7"/>
        <v>3.4269930058908145</v>
      </c>
      <c r="X26" s="53">
        <v>8313712099</v>
      </c>
      <c r="Y26" s="53">
        <v>24721940</v>
      </c>
      <c r="Z26" s="53">
        <f ca="1">INDIRECT("ZS(-1)",0) * 'Correction factor'!$C$13</f>
        <v>34285943.006156974</v>
      </c>
      <c r="AA26" s="53">
        <f t="shared" ca="1" si="8"/>
        <v>8347998042.0061569</v>
      </c>
      <c r="AB26" s="53">
        <f t="shared" ca="1" si="9"/>
        <v>5.8221387566999567</v>
      </c>
      <c r="AC26" s="53">
        <v>6730423313</v>
      </c>
      <c r="AD26" s="53">
        <v>26460647</v>
      </c>
      <c r="AE26" s="53">
        <f ca="1">INDIRECT("ZS(-1)",0) * 'Correction factor'!$C$13</f>
        <v>36697291.351246648</v>
      </c>
      <c r="AF26" s="53">
        <f t="shared" ca="1" si="10"/>
        <v>6767120604.3512468</v>
      </c>
      <c r="AG26" s="53">
        <f t="shared" ca="1" si="11"/>
        <v>4.3655650527175158</v>
      </c>
      <c r="AH26" s="53">
        <v>84589565</v>
      </c>
      <c r="AI26" s="53">
        <v>11914326</v>
      </c>
      <c r="AJ26" s="53">
        <f ca="1">INDIRECT("ZS(-1)",0) * 'Correction factor'!$C$13</f>
        <v>16523537.480989527</v>
      </c>
      <c r="AK26" s="53">
        <f t="shared" ca="1" si="12"/>
        <v>101113102.48098953</v>
      </c>
      <c r="AL26" s="53">
        <f t="shared" ca="1" si="13"/>
        <v>5.7385329525370767E-2</v>
      </c>
      <c r="AM26" s="53">
        <v>527537070</v>
      </c>
      <c r="AN26" s="53">
        <v>5710815065</v>
      </c>
      <c r="AO26" s="53">
        <f ca="1">INDIRECT("ZS(-1)",0) * 'Correction factor'!$C$13</f>
        <v>7920117912.9668884</v>
      </c>
      <c r="AP26" s="53">
        <f t="shared" ca="1" si="14"/>
        <v>8447654982.9668884</v>
      </c>
      <c r="AQ26" s="53">
        <f t="shared" ca="1" si="15"/>
        <v>5.4860199511569068</v>
      </c>
      <c r="AR26" s="53">
        <v>27600381</v>
      </c>
      <c r="AS26" s="53">
        <v>7878198</v>
      </c>
      <c r="AT26" s="53">
        <f ca="1">INDIRECT("ZS(-1)",0) * 'Correction factor'!$C$13</f>
        <v>10925981.036246341</v>
      </c>
      <c r="AU26" s="53">
        <f t="shared" ca="1" si="16"/>
        <v>38526362.036246344</v>
      </c>
      <c r="AV26" s="53">
        <f t="shared" ca="1" si="17"/>
        <v>2.7570483614858209E-2</v>
      </c>
      <c r="AW26" s="53">
        <v>43452690</v>
      </c>
      <c r="AX26" s="53">
        <v>12358998</v>
      </c>
      <c r="AY26" s="53">
        <f ca="1">INDIRECT("ZS(-1)",0) * 'Correction factor'!$C$13</f>
        <v>17140236.60931173</v>
      </c>
      <c r="AZ26" s="53">
        <f t="shared" ca="1" si="18"/>
        <v>60592926.60931173</v>
      </c>
      <c r="BA26" s="53">
        <f t="shared" ca="1" si="19"/>
        <v>4.1629893965463918E-2</v>
      </c>
      <c r="BB26" s="53">
        <v>130864470</v>
      </c>
      <c r="BC26" s="53">
        <v>14393965</v>
      </c>
      <c r="BD26" s="53">
        <f ca="1">INDIRECT("ZS(-1)",0) * 'Correction factor'!$C$13</f>
        <v>19962456.976378806</v>
      </c>
      <c r="BE26" s="53">
        <f t="shared" ca="1" si="20"/>
        <v>150826926.9763788</v>
      </c>
      <c r="BF26" s="53">
        <f t="shared" ca="1" si="21"/>
        <v>0.10237641495900575</v>
      </c>
      <c r="BG26" s="53">
        <v>205036030</v>
      </c>
      <c r="BH26" s="53">
        <v>14044424</v>
      </c>
      <c r="BI26" s="53">
        <f ca="1">INDIRECT("ZS(-1)",0) * 'Correction factor'!$C$13</f>
        <v>19477691.508769263</v>
      </c>
      <c r="BJ26" s="53">
        <f t="shared" ca="1" si="22"/>
        <v>224513721.50876927</v>
      </c>
      <c r="BK26" s="53">
        <f t="shared" ca="1" si="23"/>
        <v>0.13675074436207729</v>
      </c>
      <c r="BL26" s="53">
        <v>1305333897</v>
      </c>
      <c r="BM26" s="53">
        <v>15185664848</v>
      </c>
      <c r="BN26" s="53">
        <f ca="1">INDIRECT("ZS(-1)",0) * 'Correction factor'!$C$13</f>
        <v>21060436174.876625</v>
      </c>
      <c r="BO26" s="53">
        <f t="shared" ca="1" si="24"/>
        <v>22365770071.876625</v>
      </c>
      <c r="BP26" s="53">
        <f t="shared" ca="1" si="25"/>
        <v>107.26688819028986</v>
      </c>
      <c r="BQ26" s="53">
        <v>1262193111</v>
      </c>
      <c r="BR26" s="53">
        <v>15622387068</v>
      </c>
      <c r="BS26" s="53">
        <f ca="1">INDIRECT("ZS(-1)",0) * 'Correction factor'!$C$13</f>
        <v>21666110047.737831</v>
      </c>
      <c r="BT26" s="53">
        <f t="shared" ca="1" si="26"/>
        <v>22928303158.737831</v>
      </c>
      <c r="BU26" s="53">
        <f t="shared" ca="1" si="27"/>
        <v>134.60884777750712</v>
      </c>
      <c r="BV26" s="53">
        <v>11955840</v>
      </c>
      <c r="BW26" s="53">
        <v>159299958</v>
      </c>
      <c r="BX26" s="53">
        <f ca="1">INDIRECT("ZS(-1)",0) * 'Correction factor'!$C$13</f>
        <v>220927212.05824462</v>
      </c>
      <c r="BY26" s="53">
        <f t="shared" ca="1" si="28"/>
        <v>232883052.05824462</v>
      </c>
      <c r="BZ26" s="53">
        <f t="shared" ca="1" si="29"/>
        <v>1.4821896540893331</v>
      </c>
      <c r="CA26" s="53">
        <v>1232638997</v>
      </c>
      <c r="CB26" s="53">
        <v>14901807933</v>
      </c>
      <c r="CC26" s="53">
        <f ca="1">INDIRECT("ZS(-1)",0) * 'Correction factor'!$C$13</f>
        <v>20666765532.136066</v>
      </c>
      <c r="CD26" s="53">
        <f t="shared" ca="1" si="30"/>
        <v>21899404529.136066</v>
      </c>
      <c r="CE26" s="53">
        <f t="shared" ca="1" si="31"/>
        <v>123.95613463805942</v>
      </c>
      <c r="CF26" s="53">
        <v>42350967</v>
      </c>
      <c r="CG26" s="53">
        <v>14235031</v>
      </c>
      <c r="CH26" s="53">
        <f ca="1">INDIRECT("ZS(-1)",0) * 'Correction factor'!$C$13</f>
        <v>19742037.297917467</v>
      </c>
      <c r="CI26" s="53">
        <f t="shared" ca="1" si="32"/>
        <v>62093004.29791747</v>
      </c>
      <c r="CJ26" s="53">
        <f t="shared" ca="1" si="33"/>
        <v>0.45107169213528059</v>
      </c>
      <c r="CK26" s="53">
        <v>-30574701</v>
      </c>
      <c r="CL26" s="53">
        <v>75037702</v>
      </c>
      <c r="CM26" s="53">
        <f ca="1">INDIRECT("ZS(-1)",0) * 'Correction factor'!$C$13</f>
        <v>104067009.87402248</v>
      </c>
      <c r="CN26" s="53">
        <f t="shared" ca="1" si="34"/>
        <v>73492308.874022484</v>
      </c>
      <c r="CO26" s="53">
        <f t="shared" ca="1" si="35"/>
        <v>0.52495930657006029</v>
      </c>
      <c r="CP26" s="53">
        <v>4292920038</v>
      </c>
      <c r="CQ26" s="53">
        <v>20904759</v>
      </c>
      <c r="CR26" s="53">
        <f ca="1">INDIRECT("ZS(-1)",0) * 'Correction factor'!$C$13</f>
        <v>28992036.046986889</v>
      </c>
      <c r="CS26" s="53">
        <f t="shared" ca="1" si="36"/>
        <v>4321912074.0469866</v>
      </c>
      <c r="CT26" s="53">
        <f t="shared" ca="1" si="37"/>
        <v>2.9442153930349533</v>
      </c>
      <c r="CU26" s="53">
        <v>3341867154</v>
      </c>
      <c r="CV26" s="53">
        <v>20047180</v>
      </c>
      <c r="CW26" s="53">
        <f ca="1">INDIRECT("ZS(-1)",0) * 'Correction factor'!$C$13</f>
        <v>27802691.492422115</v>
      </c>
      <c r="CX26" s="53">
        <f t="shared" ca="1" si="38"/>
        <v>3369669845.4924221</v>
      </c>
      <c r="CY26" s="53">
        <f t="shared" ca="1" si="39"/>
        <v>2.5781915985346435</v>
      </c>
      <c r="CZ26" s="53">
        <v>4223733301</v>
      </c>
      <c r="DA26" s="53">
        <v>280488965</v>
      </c>
      <c r="DB26" s="53">
        <f ca="1">INDIRECT("ZS(-1)",0) * 'Correction factor'!$C$13</f>
        <v>388999757.61796844</v>
      </c>
      <c r="DC26" s="53">
        <f t="shared" ca="1" si="40"/>
        <v>4612733058.6179686</v>
      </c>
      <c r="DD26" s="53">
        <f t="shared" ca="1" si="41"/>
        <v>3.027627644152092</v>
      </c>
      <c r="DE26" s="53">
        <v>3754492786</v>
      </c>
      <c r="DF26" s="53">
        <v>977988206</v>
      </c>
      <c r="DG26" s="53">
        <f ca="1">INDIRECT("ZS(-1)",0) * 'Correction factor'!$C$13</f>
        <v>1356335622.997617</v>
      </c>
      <c r="DH26" s="53">
        <f t="shared" ca="1" si="42"/>
        <v>5110828408.9976168</v>
      </c>
      <c r="DI26" s="53">
        <f t="shared" ca="1" si="43"/>
        <v>3.7213862841063219</v>
      </c>
      <c r="DJ26" s="53">
        <v>2544040183</v>
      </c>
      <c r="DK26" s="53">
        <v>1798560934</v>
      </c>
      <c r="DL26" s="53">
        <f ca="1">INDIRECT("ZS(-1)",0) * 'Correction factor'!$C$13</f>
        <v>2494357549.4570594</v>
      </c>
      <c r="DM26" s="53">
        <f t="shared" ca="1" si="44"/>
        <v>5038397732.4570599</v>
      </c>
      <c r="DN26" s="53">
        <f t="shared" ca="1" si="45"/>
        <v>4.1528503060103379</v>
      </c>
      <c r="DO26" s="53">
        <v>3081482389</v>
      </c>
      <c r="DP26" s="53">
        <v>213843321</v>
      </c>
      <c r="DQ26" s="53">
        <f ca="1">INDIRECT("ZS(-1)",0) * 'Correction factor'!$C$13</f>
        <v>296571382.18332911</v>
      </c>
      <c r="DR26" s="53">
        <f t="shared" ca="1" si="46"/>
        <v>3378053771.1833291</v>
      </c>
      <c r="DS26" s="53">
        <f t="shared" ca="1" si="47"/>
        <v>2.5450230548603034</v>
      </c>
      <c r="DT26" s="53">
        <v>1487638318</v>
      </c>
      <c r="DU26" s="53">
        <v>4622935889</v>
      </c>
      <c r="DV26" s="53">
        <f ca="1">INDIRECT("ZS(-1)",0) * 'Correction factor'!$C$13</f>
        <v>6411378573.5007706</v>
      </c>
      <c r="DW26" s="53">
        <f t="shared" ca="1" si="48"/>
        <v>7899016891.5007706</v>
      </c>
      <c r="DX26" s="53">
        <f t="shared" ca="1" si="49"/>
        <v>5.8166367425745991</v>
      </c>
      <c r="DY26" s="53">
        <v>1781160426</v>
      </c>
      <c r="DZ26" s="53">
        <v>4446577154</v>
      </c>
      <c r="EA26" s="53">
        <f ca="1">INDIRECT("ZS(-1)",0) * 'Correction factor'!$C$13</f>
        <v>6166793175.3949604</v>
      </c>
      <c r="EB26" s="53">
        <f t="shared" ca="1" si="50"/>
        <v>7947953601.3949604</v>
      </c>
      <c r="EC26" s="53">
        <f t="shared" ca="1" si="51"/>
        <v>5.6207938759121161</v>
      </c>
      <c r="ED26" s="53">
        <v>786775661</v>
      </c>
      <c r="EE26" s="53">
        <v>7278355485</v>
      </c>
      <c r="EF26" s="53">
        <f ca="1">INDIRECT("ZS(-1)",0) * 'Correction factor'!$C$13</f>
        <v>10094081667.428204</v>
      </c>
      <c r="EG26" s="53">
        <f t="shared" ca="1" si="52"/>
        <v>10880857328.428204</v>
      </c>
      <c r="EH26" s="53">
        <f t="shared" ca="1" si="53"/>
        <v>8.318593526880532</v>
      </c>
      <c r="EI26" s="53">
        <v>1759712420</v>
      </c>
      <c r="EJ26" s="53">
        <v>3254557291</v>
      </c>
      <c r="EK26" s="53">
        <f ca="1">INDIRECT("ZS(-1)",0) * 'Correction factor'!$C$13</f>
        <v>4513624973.9906597</v>
      </c>
      <c r="EL26" s="53">
        <f t="shared" ca="1" si="54"/>
        <v>6273337393.9906597</v>
      </c>
      <c r="EM26" s="53">
        <f t="shared" ca="1" si="55"/>
        <v>4.7668179024102573</v>
      </c>
      <c r="EN26" s="53">
        <v>4235101694</v>
      </c>
      <c r="EO26" s="53">
        <v>18583990</v>
      </c>
      <c r="EP26" s="53">
        <f ca="1">INDIRECT("ZS(-1)",0) * 'Correction factor'!$C$13</f>
        <v>25773447.470829196</v>
      </c>
      <c r="EQ26" s="53">
        <f t="shared" ca="1" si="56"/>
        <v>4260875141.470829</v>
      </c>
      <c r="ER26" s="53">
        <f t="shared" ca="1" si="57"/>
        <v>2.8970411280979169</v>
      </c>
      <c r="ES26" s="53">
        <v>3810911949</v>
      </c>
      <c r="ET26" s="53">
        <v>22945276</v>
      </c>
      <c r="EU26" s="53">
        <f ca="1">INDIRECT("ZS(-1)",0) * 'Correction factor'!$C$13</f>
        <v>31821953.503509089</v>
      </c>
      <c r="EV26" s="53">
        <f t="shared" ca="1" si="58"/>
        <v>3842733902.503509</v>
      </c>
      <c r="EW26" s="53">
        <f t="shared" ca="1" si="59"/>
        <v>2.6267490801460176</v>
      </c>
      <c r="EX26" s="53">
        <v>3723399958</v>
      </c>
      <c r="EY26" s="53">
        <v>15489726</v>
      </c>
      <c r="EZ26" s="53">
        <f ca="1">INDIRECT("ZS(-1)",0) * 'Correction factor'!$C$13</f>
        <v>21482127.325646281</v>
      </c>
      <c r="FA26" s="53">
        <f t="shared" ca="1" si="60"/>
        <v>3744882085.3256464</v>
      </c>
      <c r="FB26" s="53">
        <f t="shared" ca="1" si="61"/>
        <v>2.6699875950642098</v>
      </c>
      <c r="FC26" s="53">
        <v>2950449936</v>
      </c>
      <c r="FD26" s="53">
        <v>1195830112</v>
      </c>
      <c r="FE26" s="53">
        <f ca="1">INDIRECT("ZS(-1)",0) * 'Correction factor'!$C$13</f>
        <v>1658452494.6293986</v>
      </c>
      <c r="FF26" s="53">
        <f t="shared" ca="1" si="62"/>
        <v>4608902430.6293983</v>
      </c>
      <c r="FG26" s="53">
        <f t="shared" ca="1" si="63"/>
        <v>3.5568956196963759</v>
      </c>
      <c r="FH26" s="53">
        <v>4193439799</v>
      </c>
      <c r="FI26" s="53">
        <v>386242390</v>
      </c>
      <c r="FJ26" s="53">
        <f ca="1">INDIRECT("ZS(-1)",0) * 'Correction factor'!$C$13</f>
        <v>535665266.16041684</v>
      </c>
      <c r="FK26" s="53">
        <f t="shared" ca="1" si="64"/>
        <v>4729105065.1604166</v>
      </c>
      <c r="FL26" s="53">
        <f t="shared" ca="1" si="65"/>
        <v>2.6641367475946582</v>
      </c>
      <c r="FM26" s="53">
        <v>4219676168</v>
      </c>
      <c r="FN26" s="53">
        <v>20407027</v>
      </c>
      <c r="FO26" s="53">
        <f ca="1">INDIRECT("ZS(-1)",0) * 'Correction factor'!$C$13</f>
        <v>28301749.969747785</v>
      </c>
      <c r="FP26" s="53">
        <f t="shared" ca="1" si="66"/>
        <v>4247977917.969748</v>
      </c>
      <c r="FQ26" s="53">
        <f t="shared" ca="1" si="67"/>
        <v>3.0020955860498648</v>
      </c>
      <c r="FR26" s="53">
        <v>4096671498</v>
      </c>
      <c r="FS26" s="53">
        <v>33186614</v>
      </c>
      <c r="FT26" s="53">
        <f ca="1">INDIRECT("ZS(-1)",0) * 'Correction factor'!$C$13</f>
        <v>46025285.886598349</v>
      </c>
      <c r="FU26" s="53">
        <f t="shared" ca="1" si="68"/>
        <v>4142696783.8865986</v>
      </c>
      <c r="FV26" s="53">
        <f t="shared" ca="1" si="69"/>
        <v>2.8899645374586678</v>
      </c>
      <c r="FW26" s="53">
        <v>1226864078</v>
      </c>
      <c r="FX26" s="53">
        <v>6300749586</v>
      </c>
      <c r="FY26" s="53">
        <f ca="1">INDIRECT("ZS(-1)",0) * 'Correction factor'!$C$13</f>
        <v>8738276251.8501034</v>
      </c>
      <c r="FZ26" s="53">
        <f t="shared" ca="1" si="70"/>
        <v>9965140329.8501034</v>
      </c>
      <c r="GA26" s="53">
        <f t="shared" ca="1" si="71"/>
        <v>7.9970168839528153</v>
      </c>
      <c r="GB26" s="53">
        <v>3388516166</v>
      </c>
      <c r="GC26" s="53">
        <v>11683901</v>
      </c>
      <c r="GD26" s="53">
        <f ca="1">INDIRECT("ZS(-1)",0) * 'Correction factor'!$C$13</f>
        <v>16203969.582305454</v>
      </c>
      <c r="GE26" s="53">
        <f t="shared" ca="1" si="72"/>
        <v>3404720135.5823054</v>
      </c>
      <c r="GF26" s="53">
        <f t="shared" ca="1" si="73"/>
        <v>2.3742654713349349</v>
      </c>
      <c r="GG26" s="53">
        <v>2283869278</v>
      </c>
      <c r="GH26" s="53">
        <v>20466979</v>
      </c>
      <c r="GI26" s="53">
        <f ca="1">INDIRECT("ZS(-1)",0) * 'Correction factor'!$C$13</f>
        <v>28384895.178218689</v>
      </c>
      <c r="GJ26" s="53">
        <f t="shared" ca="1" si="74"/>
        <v>2312254173.1782188</v>
      </c>
      <c r="GK26" s="53">
        <f t="shared" ca="1" si="75"/>
        <v>1.6123248855469241</v>
      </c>
      <c r="GL26" s="53">
        <v>549031735</v>
      </c>
      <c r="GM26" s="53">
        <v>999729930</v>
      </c>
      <c r="GN26" s="53">
        <f ca="1">INDIRECT("ZS(-1)",0) * 'Correction factor'!$C$13</f>
        <v>1386488414.8060105</v>
      </c>
      <c r="GO26" s="53">
        <f t="shared" ca="1" si="76"/>
        <v>1935520149.8060105</v>
      </c>
      <c r="GP26" s="53">
        <f t="shared" ca="1" si="77"/>
        <v>1.3352222722684011</v>
      </c>
      <c r="GQ26" s="53">
        <v>2598580002</v>
      </c>
      <c r="GR26" s="53">
        <v>11948817</v>
      </c>
      <c r="GS26" s="53">
        <f ca="1">INDIRECT("ZS(-1)",0) * 'Correction factor'!$C$13</f>
        <v>16571371.771511441</v>
      </c>
      <c r="GT26" s="53">
        <f t="shared" ca="1" si="78"/>
        <v>2615151373.7715116</v>
      </c>
      <c r="GU26" s="53">
        <f t="shared" ca="1" si="79"/>
        <v>2.7116087000440308</v>
      </c>
      <c r="GV26" s="53">
        <v>2573945645</v>
      </c>
      <c r="GW26" s="53">
        <v>219172432</v>
      </c>
      <c r="GX26" s="53">
        <f ca="1">INDIRECT("ZS(-1)",0) * 'Correction factor'!$C$13</f>
        <v>303962128.86500072</v>
      </c>
      <c r="GY26" s="53">
        <f t="shared" ca="1" si="80"/>
        <v>2877907773.8650007</v>
      </c>
      <c r="GZ26" s="53">
        <f t="shared" ca="1" si="81"/>
        <v>2.0430452171902922</v>
      </c>
      <c r="HA26" s="53">
        <v>632513255</v>
      </c>
      <c r="HB26" s="53">
        <v>4271092662</v>
      </c>
      <c r="HC26" s="53">
        <f ca="1">INDIRECT("ZS(-1)",0) * 'Correction factor'!$C$13</f>
        <v>5923420232.528162</v>
      </c>
      <c r="HD26" s="53">
        <f t="shared" ca="1" si="82"/>
        <v>6555933487.528162</v>
      </c>
      <c r="HE26" s="53">
        <f t="shared" ca="1" si="83"/>
        <v>4.8014116580371518</v>
      </c>
      <c r="HF26" s="53">
        <v>741551559</v>
      </c>
      <c r="HG26" s="53">
        <v>8426526553</v>
      </c>
      <c r="HH26" s="53">
        <f ca="1">INDIRECT("ZS(-1)",0) * 'Correction factor'!$C$13</f>
        <v>11686437598.992086</v>
      </c>
      <c r="HI26" s="53">
        <f t="shared" ca="1" si="84"/>
        <v>12427989157.992086</v>
      </c>
      <c r="HJ26" s="53">
        <f t="shared" ca="1" si="85"/>
        <v>9.1548288632629138</v>
      </c>
      <c r="HK26" s="53">
        <v>1358545281</v>
      </c>
      <c r="HL26" s="53">
        <v>15794278056</v>
      </c>
      <c r="HM26" s="53">
        <f ca="1">INDIRECT("ZS(-1)",0) * 'Correction factor'!$C$13</f>
        <v>21904499292.992855</v>
      </c>
      <c r="HN26" s="53">
        <f t="shared" ca="1" si="86"/>
        <v>23263044573.992855</v>
      </c>
      <c r="HO26" s="53">
        <f t="shared" ca="1" si="87"/>
        <v>17.318040750520481</v>
      </c>
      <c r="HP26" s="53">
        <v>2245697874</v>
      </c>
      <c r="HQ26" s="53">
        <v>13191715</v>
      </c>
      <c r="HR26" s="53">
        <f ca="1">INDIRECT("ZS(-1)",0) * 'Correction factor'!$C$13</f>
        <v>18295100.976843487</v>
      </c>
      <c r="HS26" s="53">
        <f t="shared" ca="1" si="88"/>
        <v>2263992974.9768434</v>
      </c>
      <c r="HT26" s="53">
        <f t="shared" ca="1" si="89"/>
        <v>1.4677295713405765</v>
      </c>
      <c r="HU26" s="53">
        <v>1452740993</v>
      </c>
      <c r="HV26" s="53">
        <v>362514055</v>
      </c>
      <c r="HW26" s="53">
        <f ca="1">INDIRECT("ZS(-1)",0) * 'Correction factor'!$C$13</f>
        <v>502757317.13048631</v>
      </c>
      <c r="HX26" s="53">
        <f t="shared" ca="1" si="90"/>
        <v>1955498310.1304862</v>
      </c>
      <c r="HY26" s="53">
        <f t="shared" ca="1" si="91"/>
        <v>1.5344858939895814</v>
      </c>
      <c r="HZ26" s="53">
        <v>443665690</v>
      </c>
      <c r="IA26" s="53">
        <v>3203809677</v>
      </c>
      <c r="IB26" s="53">
        <f ca="1">INDIRECT("ZS(-1)",0) * 'Correction factor'!$C$13</f>
        <v>4443244987.5776815</v>
      </c>
      <c r="IC26" s="53">
        <f t="shared" ca="1" si="92"/>
        <v>4886910677.5776815</v>
      </c>
      <c r="ID26" s="53">
        <f t="shared" ca="1" si="93"/>
        <v>3.7894709396500894</v>
      </c>
      <c r="IE26" s="53">
        <v>741298271</v>
      </c>
      <c r="IF26" s="53">
        <v>11686013</v>
      </c>
      <c r="IG26" s="53">
        <f ca="1">INDIRECT("ZS(-1)",0) * 'Correction factor'!$C$13</f>
        <v>16206898.636887295</v>
      </c>
      <c r="IH26" s="53">
        <f t="shared" ca="1" si="94"/>
        <v>757505169.63688731</v>
      </c>
      <c r="II26" s="61">
        <f t="shared" ca="1" si="95"/>
        <v>0.57965179951917833</v>
      </c>
    </row>
    <row r="27" spans="1:243" x14ac:dyDescent="0.25">
      <c r="A27" s="5">
        <v>23</v>
      </c>
      <c r="B27" s="30">
        <v>45514</v>
      </c>
      <c r="C27" s="29" t="s">
        <v>40</v>
      </c>
      <c r="D27" s="52">
        <v>8034043885</v>
      </c>
      <c r="E27" s="53">
        <v>19754357</v>
      </c>
      <c r="F27" s="53">
        <f ca="1">INDIRECT("ZS(-1)",0) * 'Correction factor'!$C$13</f>
        <v>27396586.118455026</v>
      </c>
      <c r="G27" s="53">
        <f t="shared" ca="1" si="0"/>
        <v>8061440471.1184549</v>
      </c>
      <c r="H27" s="53">
        <f t="shared" ca="1" si="1"/>
        <v>5.8304154756830116</v>
      </c>
      <c r="I27" s="53">
        <v>5975404919</v>
      </c>
      <c r="J27" s="53">
        <v>37392009</v>
      </c>
      <c r="K27" s="53">
        <f ca="1">INDIRECT("ZS(-1)",0) * 'Correction factor'!$C$13</f>
        <v>51857592.464819051</v>
      </c>
      <c r="L27" s="53">
        <f t="shared" ca="1" si="2"/>
        <v>6027262511.464819</v>
      </c>
      <c r="M27" s="53">
        <f t="shared" ca="1" si="3"/>
        <v>3.9508913613715757</v>
      </c>
      <c r="N27" s="53">
        <v>6545169243</v>
      </c>
      <c r="O27" s="53">
        <v>14993832</v>
      </c>
      <c r="P27" s="53">
        <f ca="1">INDIRECT("ZS(-1)",0) * 'Correction factor'!$C$13</f>
        <v>20794390.30253664</v>
      </c>
      <c r="Q27" s="53">
        <f t="shared" ca="1" si="4"/>
        <v>6565963633.302537</v>
      </c>
      <c r="R27" s="53">
        <f t="shared" ca="1" si="5"/>
        <v>5.1116257553617013</v>
      </c>
      <c r="S27" s="53">
        <v>5644874007</v>
      </c>
      <c r="T27" s="53">
        <v>14286470</v>
      </c>
      <c r="U27" s="53">
        <f ca="1">INDIRECT("ZS(-1)",0) * 'Correction factor'!$C$13</f>
        <v>19813376.141968288</v>
      </c>
      <c r="V27" s="53">
        <f t="shared" ca="1" si="6"/>
        <v>5664687383.1419687</v>
      </c>
      <c r="W27" s="53">
        <f t="shared" ca="1" si="7"/>
        <v>3.867001983995455</v>
      </c>
      <c r="X27" s="53">
        <v>8739753813</v>
      </c>
      <c r="Y27" s="53">
        <v>24905874</v>
      </c>
      <c r="Z27" s="53">
        <f ca="1">INDIRECT("ZS(-1)",0) * 'Correction factor'!$C$13</f>
        <v>34541034.258740492</v>
      </c>
      <c r="AA27" s="53">
        <f t="shared" ca="1" si="8"/>
        <v>8774294847.2587414</v>
      </c>
      <c r="AB27" s="53">
        <f t="shared" ca="1" si="9"/>
        <v>6.1194506558199038</v>
      </c>
      <c r="AC27" s="53">
        <v>7292676133</v>
      </c>
      <c r="AD27" s="53">
        <v>26887478</v>
      </c>
      <c r="AE27" s="53">
        <f ca="1">INDIRECT("ZS(-1)",0) * 'Correction factor'!$C$13</f>
        <v>37289247.457412302</v>
      </c>
      <c r="AF27" s="53">
        <f t="shared" ca="1" si="10"/>
        <v>7329965380.4574127</v>
      </c>
      <c r="AG27" s="53">
        <f t="shared" ca="1" si="11"/>
        <v>4.7286641650776176</v>
      </c>
      <c r="AH27" s="53">
        <v>70305670</v>
      </c>
      <c r="AI27" s="53">
        <v>11737058</v>
      </c>
      <c r="AJ27" s="53">
        <f ca="1">INDIRECT("ZS(-1)",0) * 'Correction factor'!$C$13</f>
        <v>16277691.05692995</v>
      </c>
      <c r="AK27" s="53">
        <f t="shared" ca="1" si="12"/>
        <v>86583361.056929946</v>
      </c>
      <c r="AL27" s="53">
        <f t="shared" ca="1" si="13"/>
        <v>4.9139177651088675E-2</v>
      </c>
      <c r="AM27" s="53">
        <v>597434899</v>
      </c>
      <c r="AN27" s="53">
        <v>6317828153</v>
      </c>
      <c r="AO27" s="53">
        <f ca="1">INDIRECT("ZS(-1)",0) * 'Correction factor'!$C$13</f>
        <v>8761961883.9157448</v>
      </c>
      <c r="AP27" s="53">
        <f t="shared" ca="1" si="14"/>
        <v>9359396782.9157448</v>
      </c>
      <c r="AQ27" s="53">
        <f t="shared" ca="1" si="15"/>
        <v>6.0781172509292576</v>
      </c>
      <c r="AR27" s="53">
        <v>29200650</v>
      </c>
      <c r="AS27" s="53">
        <v>59696235</v>
      </c>
      <c r="AT27" s="53">
        <f ca="1">INDIRECT("ZS(-1)",0) * 'Correction factor'!$C$13</f>
        <v>82790497.464687362</v>
      </c>
      <c r="AU27" s="53">
        <f t="shared" ca="1" si="16"/>
        <v>111991147.46468736</v>
      </c>
      <c r="AV27" s="53">
        <f t="shared" ca="1" si="17"/>
        <v>8.0143827057416211E-2</v>
      </c>
      <c r="AW27" s="53">
        <v>41669890</v>
      </c>
      <c r="AX27" s="53">
        <v>35997949</v>
      </c>
      <c r="AY27" s="53">
        <f ca="1">INDIRECT("ZS(-1)",0) * 'Correction factor'!$C$13</f>
        <v>49924222.279988766</v>
      </c>
      <c r="AZ27" s="53">
        <f t="shared" ca="1" si="18"/>
        <v>91594112.279988766</v>
      </c>
      <c r="BA27" s="53">
        <f t="shared" ca="1" si="19"/>
        <v>6.2929014910640582E-2</v>
      </c>
      <c r="BB27" s="53">
        <v>127924918</v>
      </c>
      <c r="BC27" s="53">
        <v>98865540</v>
      </c>
      <c r="BD27" s="53">
        <f ca="1">INDIRECT("ZS(-1)",0) * 'Correction factor'!$C$13</f>
        <v>137112955.92954811</v>
      </c>
      <c r="BE27" s="53">
        <f t="shared" ca="1" si="20"/>
        <v>265037873.92954811</v>
      </c>
      <c r="BF27" s="53">
        <f t="shared" ca="1" si="21"/>
        <v>0.17989909298830639</v>
      </c>
      <c r="BG27" s="53">
        <v>179259476</v>
      </c>
      <c r="BH27" s="53">
        <v>14874877</v>
      </c>
      <c r="BI27" s="53">
        <f ca="1">INDIRECT("ZS(-1)",0) * 'Correction factor'!$C$13</f>
        <v>20629416.018548515</v>
      </c>
      <c r="BJ27" s="53">
        <f t="shared" ca="1" si="22"/>
        <v>199888892.01854852</v>
      </c>
      <c r="BK27" s="53">
        <f t="shared" ca="1" si="23"/>
        <v>0.12175182251468637</v>
      </c>
      <c r="BL27" s="53">
        <v>1548190474</v>
      </c>
      <c r="BM27" s="53">
        <v>17421274425</v>
      </c>
      <c r="BN27" s="53">
        <f ca="1">INDIRECT("ZS(-1)",0) * 'Correction factor'!$C$13</f>
        <v>24160920301.164478</v>
      </c>
      <c r="BO27" s="53">
        <f t="shared" ca="1" si="24"/>
        <v>25709110775.164478</v>
      </c>
      <c r="BP27" s="53">
        <f t="shared" ca="1" si="25"/>
        <v>123.30164810461871</v>
      </c>
      <c r="BQ27" s="53">
        <v>1559515440</v>
      </c>
      <c r="BR27" s="53">
        <v>18641708665</v>
      </c>
      <c r="BS27" s="53">
        <f ca="1">INDIRECT("ZS(-1)",0) * 'Correction factor'!$C$13</f>
        <v>25853495349.700413</v>
      </c>
      <c r="BT27" s="53">
        <f t="shared" ca="1" si="26"/>
        <v>27413010789.700413</v>
      </c>
      <c r="BU27" s="53">
        <f t="shared" ca="1" si="27"/>
        <v>160.93793644331217</v>
      </c>
      <c r="BV27" s="53">
        <v>14514550</v>
      </c>
      <c r="BW27" s="53">
        <v>172550735</v>
      </c>
      <c r="BX27" s="53">
        <f ca="1">INDIRECT("ZS(-1)",0) * 'Correction factor'!$C$13</f>
        <v>239304223.93552026</v>
      </c>
      <c r="BY27" s="53">
        <f t="shared" ca="1" si="28"/>
        <v>253818773.93552026</v>
      </c>
      <c r="BZ27" s="53">
        <f t="shared" ca="1" si="29"/>
        <v>1.6154355476532358</v>
      </c>
      <c r="CA27" s="53">
        <v>1431900894</v>
      </c>
      <c r="CB27" s="53">
        <v>16866033557</v>
      </c>
      <c r="CC27" s="53">
        <f ca="1">INDIRECT("ZS(-1)",0) * 'Correction factor'!$C$13</f>
        <v>23390877304.743599</v>
      </c>
      <c r="CD27" s="53">
        <f t="shared" ca="1" si="30"/>
        <v>24822778198.743599</v>
      </c>
      <c r="CE27" s="53">
        <f t="shared" ca="1" si="31"/>
        <v>140.50316447647873</v>
      </c>
      <c r="CF27" s="53">
        <v>35129893</v>
      </c>
      <c r="CG27" s="53">
        <v>13261917</v>
      </c>
      <c r="CH27" s="53">
        <f ca="1">INDIRECT("ZS(-1)",0) * 'Correction factor'!$C$13</f>
        <v>18392461.53070448</v>
      </c>
      <c r="CI27" s="53">
        <f t="shared" ca="1" si="32"/>
        <v>53522354.530704483</v>
      </c>
      <c r="CJ27" s="53">
        <f t="shared" ca="1" si="33"/>
        <v>0.38881061237423459</v>
      </c>
      <c r="CK27" s="53">
        <v>59706453</v>
      </c>
      <c r="CL27" s="53">
        <v>521711684</v>
      </c>
      <c r="CM27" s="53">
        <f ca="1">INDIRECT("ZS(-1)",0) * 'Correction factor'!$C$13</f>
        <v>723542612.88839698</v>
      </c>
      <c r="CN27" s="53">
        <f t="shared" ca="1" si="34"/>
        <v>783249065.88839698</v>
      </c>
      <c r="CO27" s="53">
        <f t="shared" ca="1" si="35"/>
        <v>5.5947879825797528</v>
      </c>
      <c r="CP27" s="53">
        <v>4134325735</v>
      </c>
      <c r="CQ27" s="53">
        <v>22259809</v>
      </c>
      <c r="CR27" s="53">
        <f ca="1">INDIRECT("ZS(-1)",0) * 'Correction factor'!$C$13</f>
        <v>30871304.707556937</v>
      </c>
      <c r="CS27" s="53">
        <f t="shared" ca="1" si="36"/>
        <v>4165197039.7075567</v>
      </c>
      <c r="CT27" s="53">
        <f t="shared" ca="1" si="37"/>
        <v>2.8374564380823832</v>
      </c>
      <c r="CU27" s="53">
        <v>3065481899</v>
      </c>
      <c r="CV27" s="53">
        <v>21286184</v>
      </c>
      <c r="CW27" s="53">
        <f ca="1">INDIRECT("ZS(-1)",0) * 'Correction factor'!$C$13</f>
        <v>29521020.253368892</v>
      </c>
      <c r="CX27" s="53">
        <f t="shared" ca="1" si="38"/>
        <v>3095002919.2533689</v>
      </c>
      <c r="CY27" s="53">
        <f t="shared" ca="1" si="39"/>
        <v>2.3680392708304505</v>
      </c>
      <c r="CZ27" s="53">
        <v>3575519264</v>
      </c>
      <c r="DA27" s="53">
        <v>176604715</v>
      </c>
      <c r="DB27" s="53">
        <f ca="1">INDIRECT("ZS(-1)",0) * 'Correction factor'!$C$13</f>
        <v>244926538.65791261</v>
      </c>
      <c r="DC27" s="53">
        <f t="shared" ca="1" si="40"/>
        <v>3820445802.6579127</v>
      </c>
      <c r="DD27" s="53">
        <f t="shared" ca="1" si="41"/>
        <v>2.5075995463256886</v>
      </c>
      <c r="DE27" s="53">
        <v>3721655500</v>
      </c>
      <c r="DF27" s="53">
        <v>1222387423</v>
      </c>
      <c r="DG27" s="53">
        <f ca="1">INDIRECT("ZS(-1)",0) * 'Correction factor'!$C$13</f>
        <v>1695283845.7022829</v>
      </c>
      <c r="DH27" s="53">
        <f t="shared" ca="1" si="42"/>
        <v>5416939345.7022829</v>
      </c>
      <c r="DI27" s="53">
        <f t="shared" ca="1" si="43"/>
        <v>3.9442771640392498</v>
      </c>
      <c r="DJ27" s="53">
        <v>2216647333</v>
      </c>
      <c r="DK27" s="53">
        <v>2406905796</v>
      </c>
      <c r="DL27" s="53">
        <f ca="1">INDIRECT("ZS(-1)",0) * 'Correction factor'!$C$13</f>
        <v>3338048508.4441142</v>
      </c>
      <c r="DM27" s="53">
        <f t="shared" ca="1" si="44"/>
        <v>5554695841.4441147</v>
      </c>
      <c r="DN27" s="53">
        <f t="shared" ca="1" si="45"/>
        <v>4.578403998623215</v>
      </c>
      <c r="DO27" s="53">
        <v>3302102947</v>
      </c>
      <c r="DP27" s="53">
        <v>274774981</v>
      </c>
      <c r="DQ27" s="53">
        <f ca="1">INDIRECT("ZS(-1)",0) * 'Correction factor'!$C$13</f>
        <v>381075244.8264119</v>
      </c>
      <c r="DR27" s="53">
        <f t="shared" ca="1" si="46"/>
        <v>3683178191.8264117</v>
      </c>
      <c r="DS27" s="53">
        <f t="shared" ca="1" si="47"/>
        <v>2.7749035534367112</v>
      </c>
      <c r="DT27" s="53">
        <v>1254100333</v>
      </c>
      <c r="DU27" s="53">
        <v>5978180719</v>
      </c>
      <c r="DV27" s="53">
        <f ca="1">INDIRECT("ZS(-1)",0) * 'Correction factor'!$C$13</f>
        <v>8290917436.5822639</v>
      </c>
      <c r="DW27" s="53">
        <f t="shared" ca="1" si="48"/>
        <v>9545017769.5822639</v>
      </c>
      <c r="DX27" s="53">
        <f t="shared" ca="1" si="49"/>
        <v>7.0287102597309632</v>
      </c>
      <c r="DY27" s="53">
        <v>1563811719</v>
      </c>
      <c r="DZ27" s="53">
        <v>5986980897</v>
      </c>
      <c r="EA27" s="53">
        <f ca="1">INDIRECT("ZS(-1)",0) * 'Correction factor'!$C$13</f>
        <v>8303122077.5348768</v>
      </c>
      <c r="EB27" s="53">
        <f t="shared" ca="1" si="50"/>
        <v>9866933796.5348778</v>
      </c>
      <c r="EC27" s="53">
        <f t="shared" ca="1" si="51"/>
        <v>6.9778969328481777</v>
      </c>
      <c r="ED27" s="53">
        <v>627121214</v>
      </c>
      <c r="EE27" s="53">
        <v>6324403503</v>
      </c>
      <c r="EF27" s="53">
        <f ca="1">INDIRECT("ZS(-1)",0) * 'Correction factor'!$C$13</f>
        <v>8771080993.3119144</v>
      </c>
      <c r="EG27" s="53">
        <f t="shared" ca="1" si="52"/>
        <v>9398202207.3119144</v>
      </c>
      <c r="EH27" s="53">
        <f t="shared" ca="1" si="53"/>
        <v>7.1850794184940119</v>
      </c>
      <c r="EI27" s="53">
        <v>1487237166</v>
      </c>
      <c r="EJ27" s="53">
        <v>4189282005</v>
      </c>
      <c r="EK27" s="53">
        <f ca="1">INDIRECT("ZS(-1)",0) * 'Correction factor'!$C$13</f>
        <v>5809960062.2017937</v>
      </c>
      <c r="EL27" s="53">
        <f t="shared" ca="1" si="54"/>
        <v>7297197228.2017937</v>
      </c>
      <c r="EM27" s="53">
        <f t="shared" ca="1" si="55"/>
        <v>5.544801466940295</v>
      </c>
      <c r="EN27" s="53">
        <v>4399166294</v>
      </c>
      <c r="EO27" s="53">
        <v>70611635</v>
      </c>
      <c r="EP27" s="53">
        <f ca="1">INDIRECT("ZS(-1)",0) * 'Correction factor'!$C$13</f>
        <v>97928661.471614242</v>
      </c>
      <c r="EQ27" s="53">
        <f t="shared" ca="1" si="56"/>
        <v>4497094955.4716139</v>
      </c>
      <c r="ER27" s="53">
        <f t="shared" ca="1" si="57"/>
        <v>3.0576509778847107</v>
      </c>
      <c r="ES27" s="53">
        <v>4075212880</v>
      </c>
      <c r="ET27" s="53">
        <v>84321873</v>
      </c>
      <c r="EU27" s="53">
        <f ca="1">INDIRECT("ZS(-1)",0) * 'Correction factor'!$C$13</f>
        <v>116942882.7935998</v>
      </c>
      <c r="EV27" s="53">
        <f t="shared" ca="1" si="58"/>
        <v>4192155762.7935996</v>
      </c>
      <c r="EW27" s="53">
        <f t="shared" ca="1" si="59"/>
        <v>2.8656007866099853</v>
      </c>
      <c r="EX27" s="53">
        <v>4286631705</v>
      </c>
      <c r="EY27" s="53">
        <v>66622216</v>
      </c>
      <c r="EZ27" s="53">
        <f ca="1">INDIRECT("ZS(-1)",0) * 'Correction factor'!$C$13</f>
        <v>92395884.009097964</v>
      </c>
      <c r="FA27" s="53">
        <f t="shared" ca="1" si="60"/>
        <v>4379027589.0090981</v>
      </c>
      <c r="FB27" s="53">
        <f t="shared" ca="1" si="61"/>
        <v>3.1221141479763097</v>
      </c>
      <c r="FC27" s="53">
        <v>2981412549</v>
      </c>
      <c r="FD27" s="53">
        <v>1659482780</v>
      </c>
      <c r="FE27" s="53">
        <f ca="1">INDIRECT("ZS(-1)",0) * 'Correction factor'!$C$13</f>
        <v>2301475208.4496174</v>
      </c>
      <c r="FF27" s="53">
        <f t="shared" ca="1" si="62"/>
        <v>5282887757.4496174</v>
      </c>
      <c r="FG27" s="53">
        <f t="shared" ca="1" si="63"/>
        <v>4.0770401644744894</v>
      </c>
      <c r="FH27" s="53">
        <v>4380982709</v>
      </c>
      <c r="FI27" s="53">
        <v>594368414</v>
      </c>
      <c r="FJ27" s="53">
        <f ca="1">INDIRECT("ZS(-1)",0) * 'Correction factor'!$C$13</f>
        <v>824307540.87518668</v>
      </c>
      <c r="FK27" s="53">
        <f t="shared" ca="1" si="64"/>
        <v>5205290249.8751869</v>
      </c>
      <c r="FL27" s="53">
        <f t="shared" ca="1" si="65"/>
        <v>2.9323952091384253</v>
      </c>
      <c r="FM27" s="53">
        <v>4282411612</v>
      </c>
      <c r="FN27" s="53">
        <v>66987629</v>
      </c>
      <c r="FO27" s="53">
        <f ca="1">INDIRECT("ZS(-1)",0) * 'Correction factor'!$C$13</f>
        <v>92902661.765686199</v>
      </c>
      <c r="FP27" s="53">
        <f t="shared" ca="1" si="66"/>
        <v>4375314273.765686</v>
      </c>
      <c r="FQ27" s="53">
        <f t="shared" ca="1" si="67"/>
        <v>3.0920856752312522</v>
      </c>
      <c r="FR27" s="53">
        <v>4193375169</v>
      </c>
      <c r="FS27" s="53">
        <v>113595513</v>
      </c>
      <c r="FT27" s="53">
        <f ca="1">INDIRECT("ZS(-1)",0) * 'Correction factor'!$C$13</f>
        <v>157541409.95703265</v>
      </c>
      <c r="FU27" s="53">
        <f t="shared" ca="1" si="68"/>
        <v>4350916578.9570322</v>
      </c>
      <c r="FV27" s="53">
        <f t="shared" ca="1" si="69"/>
        <v>3.0352196345951556</v>
      </c>
      <c r="FW27" s="53">
        <v>1179517472</v>
      </c>
      <c r="FX27" s="53">
        <v>7895251015</v>
      </c>
      <c r="FY27" s="53">
        <f ca="1">INDIRECT("ZS(-1)",0) * 'Correction factor'!$C$13</f>
        <v>10949631231.189503</v>
      </c>
      <c r="FZ27" s="53">
        <f t="shared" ca="1" si="70"/>
        <v>12129148703.189503</v>
      </c>
      <c r="GA27" s="53">
        <f t="shared" ca="1" si="71"/>
        <v>9.7336318161853601</v>
      </c>
      <c r="GB27" s="53">
        <v>3633093048</v>
      </c>
      <c r="GC27" s="53">
        <v>40593541</v>
      </c>
      <c r="GD27" s="53">
        <f ca="1">INDIRECT("ZS(-1)",0) * 'Correction factor'!$C$13</f>
        <v>56297678.626519457</v>
      </c>
      <c r="GE27" s="53">
        <f t="shared" ca="1" si="72"/>
        <v>3689390726.6265197</v>
      </c>
      <c r="GF27" s="53">
        <f t="shared" ca="1" si="73"/>
        <v>2.5727791605974417</v>
      </c>
      <c r="GG27" s="53">
        <v>2448875932</v>
      </c>
      <c r="GH27" s="53">
        <v>77138708</v>
      </c>
      <c r="GI27" s="53">
        <f ca="1">INDIRECT("ZS(-1)",0) * 'Correction factor'!$C$13</f>
        <v>106980817.28442772</v>
      </c>
      <c r="GJ27" s="53">
        <f t="shared" ca="1" si="74"/>
        <v>2555856749.2844276</v>
      </c>
      <c r="GK27" s="53">
        <f t="shared" ca="1" si="75"/>
        <v>1.7821879136670191</v>
      </c>
      <c r="GL27" s="53">
        <v>548953051</v>
      </c>
      <c r="GM27" s="53">
        <v>1521675430</v>
      </c>
      <c r="GN27" s="53">
        <f ca="1">INDIRECT("ZS(-1)",0) * 'Correction factor'!$C$13</f>
        <v>2110355298.4454055</v>
      </c>
      <c r="GO27" s="53">
        <f t="shared" ca="1" si="76"/>
        <v>2659308349.4454055</v>
      </c>
      <c r="GP27" s="53">
        <f t="shared" ca="1" si="77"/>
        <v>1.8345289442554784</v>
      </c>
      <c r="GQ27" s="53">
        <v>3035944835</v>
      </c>
      <c r="GR27" s="53">
        <v>82967291</v>
      </c>
      <c r="GS27" s="53">
        <f ca="1">INDIRECT("ZS(-1)",0) * 'Correction factor'!$C$13</f>
        <v>115064263.18489732</v>
      </c>
      <c r="GT27" s="53">
        <f t="shared" ca="1" si="78"/>
        <v>3151009098.1848974</v>
      </c>
      <c r="GU27" s="53">
        <f t="shared" ca="1" si="79"/>
        <v>3.2672310177722768</v>
      </c>
      <c r="GV27" s="53">
        <v>3026269068</v>
      </c>
      <c r="GW27" s="53">
        <v>327748742</v>
      </c>
      <c r="GX27" s="53">
        <f ca="1">INDIRECT("ZS(-1)",0) * 'Correction factor'!$C$13</f>
        <v>454542592.06808394</v>
      </c>
      <c r="GY27" s="53">
        <f t="shared" ca="1" si="80"/>
        <v>3480811660.0680838</v>
      </c>
      <c r="GZ27" s="53">
        <f t="shared" ca="1" si="81"/>
        <v>2.4710505592372365</v>
      </c>
      <c r="HA27" s="53">
        <v>702832636</v>
      </c>
      <c r="HB27" s="53">
        <v>5562087409</v>
      </c>
      <c r="HC27" s="53">
        <f ca="1">INDIRECT("ZS(-1)",0) * 'Correction factor'!$C$13</f>
        <v>7713853035.0060444</v>
      </c>
      <c r="HD27" s="53">
        <f t="shared" ca="1" si="82"/>
        <v>8416685671.0060444</v>
      </c>
      <c r="HE27" s="53">
        <f t="shared" ca="1" si="83"/>
        <v>6.1641828398169922</v>
      </c>
      <c r="HF27" s="53">
        <v>942909670</v>
      </c>
      <c r="HG27" s="53">
        <v>10727770528</v>
      </c>
      <c r="HH27" s="53">
        <f ca="1">INDIRECT("ZS(-1)",0) * 'Correction factor'!$C$13</f>
        <v>14877947641.088787</v>
      </c>
      <c r="HI27" s="53">
        <f t="shared" ca="1" si="84"/>
        <v>15820857311.088787</v>
      </c>
      <c r="HJ27" s="53">
        <f t="shared" ca="1" si="85"/>
        <v>11.654117115155271</v>
      </c>
      <c r="HK27" s="53">
        <v>1709805945</v>
      </c>
      <c r="HL27" s="53">
        <v>19425995887</v>
      </c>
      <c r="HM27" s="53">
        <f ca="1">INDIRECT("ZS(-1)",0) * 'Correction factor'!$C$13</f>
        <v>26941194251.726273</v>
      </c>
      <c r="HN27" s="53">
        <f t="shared" ca="1" si="86"/>
        <v>28651000196.726273</v>
      </c>
      <c r="HO27" s="53">
        <f t="shared" ca="1" si="87"/>
        <v>21.329073560078381</v>
      </c>
      <c r="HP27" s="53">
        <v>2587491770</v>
      </c>
      <c r="HQ27" s="53">
        <v>12444676</v>
      </c>
      <c r="HR27" s="53">
        <f ca="1">INDIRECT("ZS(-1)",0) * 'Correction factor'!$C$13</f>
        <v>17259060.254417315</v>
      </c>
      <c r="HS27" s="53">
        <f t="shared" ca="1" si="88"/>
        <v>2604750830.2544174</v>
      </c>
      <c r="HT27" s="53">
        <f t="shared" ca="1" si="89"/>
        <v>1.6886403190263566</v>
      </c>
      <c r="HU27" s="53">
        <v>1923647608</v>
      </c>
      <c r="HV27" s="53">
        <v>445096268</v>
      </c>
      <c r="HW27" s="53">
        <f ca="1">INDIRECT("ZS(-1)",0) * 'Correction factor'!$C$13</f>
        <v>617287529.89859092</v>
      </c>
      <c r="HX27" s="53">
        <f t="shared" ca="1" si="90"/>
        <v>2540935137.898591</v>
      </c>
      <c r="HY27" s="53">
        <f t="shared" ca="1" si="91"/>
        <v>1.9938800797980161</v>
      </c>
      <c r="HZ27" s="53">
        <v>507633466</v>
      </c>
      <c r="IA27" s="53">
        <v>4199677566</v>
      </c>
      <c r="IB27" s="53">
        <f ca="1">INDIRECT("ZS(-1)",0) * 'Correction factor'!$C$13</f>
        <v>5824377280.7519169</v>
      </c>
      <c r="IC27" s="53">
        <f t="shared" ca="1" si="92"/>
        <v>6332010746.7519169</v>
      </c>
      <c r="ID27" s="53">
        <f t="shared" ca="1" si="93"/>
        <v>4.910048964975589</v>
      </c>
      <c r="IE27" s="53">
        <v>1068346796</v>
      </c>
      <c r="IF27" s="53">
        <v>12600233</v>
      </c>
      <c r="IG27" s="53">
        <f ca="1">INDIRECT("ZS(-1)",0) * 'Correction factor'!$C$13</f>
        <v>17474796.496646233</v>
      </c>
      <c r="IH27" s="53">
        <f t="shared" ca="1" si="94"/>
        <v>1085821592.4966462</v>
      </c>
      <c r="II27" s="61">
        <f t="shared" ca="1" si="95"/>
        <v>0.83088335931643242</v>
      </c>
    </row>
    <row r="28" spans="1:243" s="3" customFormat="1" x14ac:dyDescent="0.25">
      <c r="A28" s="57">
        <v>24</v>
      </c>
      <c r="B28" s="56">
        <v>45515</v>
      </c>
      <c r="C28" s="29" t="s">
        <v>34</v>
      </c>
      <c r="D28" s="52">
        <v>7755428608</v>
      </c>
      <c r="E28" s="53">
        <v>20746461</v>
      </c>
      <c r="F28" s="53">
        <f ca="1">INDIRECT("ZS(-1)",0) * 'Correction factor'!$C$13</f>
        <v>28772498.413371217</v>
      </c>
      <c r="G28" s="53">
        <f t="shared" ca="1" si="0"/>
        <v>7784201106.4133711</v>
      </c>
      <c r="H28" s="53">
        <f t="shared" ca="1" si="1"/>
        <v>5.6299028392334636</v>
      </c>
      <c r="I28" s="53">
        <v>5625095741</v>
      </c>
      <c r="J28" s="53">
        <v>38827161</v>
      </c>
      <c r="K28" s="53">
        <f ca="1">INDIRECT("ZS(-1)",0) * 'Correction factor'!$C$13</f>
        <v>53847951.62260247</v>
      </c>
      <c r="L28" s="53">
        <f t="shared" ca="1" si="2"/>
        <v>5678943692.6226025</v>
      </c>
      <c r="M28" s="53">
        <f t="shared" ca="1" si="3"/>
        <v>3.7225671744377613</v>
      </c>
      <c r="N28" s="53">
        <v>5695921377</v>
      </c>
      <c r="O28" s="53">
        <v>14489972</v>
      </c>
      <c r="P28" s="53">
        <f ca="1">INDIRECT("ZS(-1)",0) * 'Correction factor'!$C$13</f>
        <v>20095605.529048707</v>
      </c>
      <c r="Q28" s="53">
        <f t="shared" ca="1" si="4"/>
        <v>5716016982.5290489</v>
      </c>
      <c r="R28" s="53">
        <f t="shared" ca="1" si="5"/>
        <v>4.4499393017935853</v>
      </c>
      <c r="S28" s="53">
        <v>5231083603</v>
      </c>
      <c r="T28" s="53">
        <v>14244519</v>
      </c>
      <c r="U28" s="53">
        <f ca="1">INDIRECT("ZS(-1)",0) * 'Correction factor'!$C$13</f>
        <v>19755195.853728313</v>
      </c>
      <c r="V28" s="53">
        <f t="shared" ca="1" si="6"/>
        <v>5250838798.8537283</v>
      </c>
      <c r="W28" s="53">
        <f t="shared" ca="1" si="7"/>
        <v>3.5844880183918164</v>
      </c>
      <c r="X28" s="53">
        <v>7713536744</v>
      </c>
      <c r="Y28" s="53">
        <v>25096799</v>
      </c>
      <c r="Z28" s="53">
        <f ca="1">INDIRECT("ZS(-1)",0) * 'Correction factor'!$C$13</f>
        <v>34805821.070311531</v>
      </c>
      <c r="AA28" s="53">
        <f t="shared" ca="1" si="8"/>
        <v>7748342565.0703115</v>
      </c>
      <c r="AB28" s="53">
        <f t="shared" ca="1" si="9"/>
        <v>5.4039214337720072</v>
      </c>
      <c r="AC28" s="53">
        <v>6204952572</v>
      </c>
      <c r="AD28" s="53">
        <v>26166079</v>
      </c>
      <c r="AE28" s="53">
        <f ca="1">INDIRECT("ZS(-1)",0) * 'Correction factor'!$C$13</f>
        <v>36288765.901405834</v>
      </c>
      <c r="AF28" s="53">
        <f t="shared" ca="1" si="10"/>
        <v>6241241337.9014063</v>
      </c>
      <c r="AG28" s="53">
        <f t="shared" ca="1" si="11"/>
        <v>4.0263129125848316</v>
      </c>
      <c r="AH28" s="53">
        <v>58827503</v>
      </c>
      <c r="AI28" s="53">
        <v>11303602</v>
      </c>
      <c r="AJ28" s="53">
        <f ca="1">INDIRECT("ZS(-1)",0) * 'Correction factor'!$C$13</f>
        <v>15676546.983621916</v>
      </c>
      <c r="AK28" s="53">
        <f t="shared" ca="1" si="12"/>
        <v>74504049.98362191</v>
      </c>
      <c r="AL28" s="53">
        <f t="shared" ca="1" si="13"/>
        <v>4.2283733308338269E-2</v>
      </c>
      <c r="AM28" s="53">
        <v>593044913</v>
      </c>
      <c r="AN28" s="53">
        <v>6443793303</v>
      </c>
      <c r="AO28" s="53">
        <f ca="1">INDIRECT("ZS(-1)",0) * 'Correction factor'!$C$13</f>
        <v>8936658285.3171711</v>
      </c>
      <c r="AP28" s="53">
        <f t="shared" ca="1" si="14"/>
        <v>9529703198.3171711</v>
      </c>
      <c r="AQ28" s="53">
        <f t="shared" ca="1" si="15"/>
        <v>6.1887165112667226</v>
      </c>
      <c r="AR28" s="53">
        <v>25681730</v>
      </c>
      <c r="AS28" s="53">
        <v>59956755</v>
      </c>
      <c r="AT28" s="53">
        <f ca="1">INDIRECT("ZS(-1)",0) * 'Correction factor'!$C$13</f>
        <v>83151803.004299715</v>
      </c>
      <c r="AU28" s="53">
        <f t="shared" ca="1" si="16"/>
        <v>108833533.00429972</v>
      </c>
      <c r="AV28" s="53">
        <f t="shared" ca="1" si="17"/>
        <v>7.7884154637262643E-2</v>
      </c>
      <c r="AW28" s="53">
        <v>41884646</v>
      </c>
      <c r="AX28" s="53">
        <v>39126237</v>
      </c>
      <c r="AY28" s="53">
        <f ca="1">INDIRECT("ZS(-1)",0) * 'Correction factor'!$C$13</f>
        <v>54262729.050688997</v>
      </c>
      <c r="AZ28" s="53">
        <f t="shared" ca="1" si="18"/>
        <v>96147375.050688997</v>
      </c>
      <c r="BA28" s="53">
        <f t="shared" ca="1" si="19"/>
        <v>6.6057298308525109E-2</v>
      </c>
      <c r="BB28" s="53">
        <v>113313408</v>
      </c>
      <c r="BC28" s="53">
        <v>98649834</v>
      </c>
      <c r="BD28" s="53">
        <f ca="1">INDIRECT("ZS(-1)",0) * 'Correction factor'!$C$13</f>
        <v>136813801.26684421</v>
      </c>
      <c r="BE28" s="53">
        <f t="shared" ca="1" si="20"/>
        <v>250127209.26684421</v>
      </c>
      <c r="BF28" s="53">
        <f t="shared" ca="1" si="21"/>
        <v>0.16977821853024214</v>
      </c>
      <c r="BG28" s="53">
        <v>160864080</v>
      </c>
      <c r="BH28" s="53">
        <v>15114925</v>
      </c>
      <c r="BI28" s="53">
        <f ca="1">INDIRECT("ZS(-1)",0) * 'Correction factor'!$C$13</f>
        <v>20962329.699543692</v>
      </c>
      <c r="BJ28" s="53">
        <f t="shared" ca="1" si="22"/>
        <v>181826409.69954368</v>
      </c>
      <c r="BK28" s="53">
        <f t="shared" ca="1" si="23"/>
        <v>0.11075000986131457</v>
      </c>
      <c r="BL28" s="53">
        <v>1571915634</v>
      </c>
      <c r="BM28" s="53">
        <v>17899158888</v>
      </c>
      <c r="BN28" s="53">
        <f ca="1">INDIRECT("ZS(-1)",0) * 'Correction factor'!$C$13</f>
        <v>24823680564.394058</v>
      </c>
      <c r="BO28" s="53">
        <f t="shared" ca="1" si="24"/>
        <v>26395596198.394058</v>
      </c>
      <c r="BP28" s="53">
        <f t="shared" ca="1" si="25"/>
        <v>126.59405229643434</v>
      </c>
      <c r="BQ28" s="53">
        <v>1599274382</v>
      </c>
      <c r="BR28" s="53">
        <v>19054556045</v>
      </c>
      <c r="BS28" s="53">
        <f ca="1">INDIRECT("ZS(-1)",0) * 'Correction factor'!$C$13</f>
        <v>26426058091.173019</v>
      </c>
      <c r="BT28" s="53">
        <f t="shared" ca="1" si="26"/>
        <v>28025332473.173019</v>
      </c>
      <c r="BU28" s="53">
        <f t="shared" ca="1" si="27"/>
        <v>164.53279105208071</v>
      </c>
      <c r="BV28" s="53">
        <v>13192601</v>
      </c>
      <c r="BW28" s="53">
        <v>172407378</v>
      </c>
      <c r="BX28" s="53">
        <f ca="1">INDIRECT("ZS(-1)",0) * 'Correction factor'!$C$13</f>
        <v>239105407.42146295</v>
      </c>
      <c r="BY28" s="53">
        <f t="shared" ca="1" si="28"/>
        <v>252298008.42146295</v>
      </c>
      <c r="BZ28" s="53">
        <f t="shared" ca="1" si="29"/>
        <v>1.6057565998237997</v>
      </c>
      <c r="CA28" s="53">
        <v>1357669859</v>
      </c>
      <c r="CB28" s="53">
        <v>15950755843</v>
      </c>
      <c r="CC28" s="53">
        <f ca="1">INDIRECT("ZS(-1)",0) * 'Correction factor'!$C$13</f>
        <v>22121512540.610622</v>
      </c>
      <c r="CD28" s="53">
        <f t="shared" ca="1" si="30"/>
        <v>23479182399.610622</v>
      </c>
      <c r="CE28" s="53">
        <f t="shared" ca="1" si="31"/>
        <v>132.89807450451733</v>
      </c>
      <c r="CF28" s="53">
        <v>36051197</v>
      </c>
      <c r="CG28" s="53">
        <v>12388562</v>
      </c>
      <c r="CH28" s="53">
        <f ca="1">INDIRECT("ZS(-1)",0) * 'Correction factor'!$C$13</f>
        <v>17181237.826005649</v>
      </c>
      <c r="CI28" s="53">
        <f t="shared" ca="1" si="32"/>
        <v>53232434.826005653</v>
      </c>
      <c r="CJ28" s="53">
        <f t="shared" ca="1" si="33"/>
        <v>0.38670450439539666</v>
      </c>
      <c r="CK28" s="53">
        <v>65562076</v>
      </c>
      <c r="CL28" s="53">
        <v>483290653</v>
      </c>
      <c r="CM28" s="53">
        <f ca="1">INDIRECT("ZS(-1)",0) * 'Correction factor'!$C$13</f>
        <v>670257907.92172408</v>
      </c>
      <c r="CN28" s="53">
        <f t="shared" ca="1" si="34"/>
        <v>735819983.92172408</v>
      </c>
      <c r="CO28" s="53">
        <f t="shared" ca="1" si="35"/>
        <v>5.2559996336770274</v>
      </c>
      <c r="CP28" s="53">
        <v>3657701342</v>
      </c>
      <c r="CQ28" s="53">
        <v>24616825</v>
      </c>
      <c r="CR28" s="53">
        <f ca="1">INDIRECT("ZS(-1)",0) * 'Correction factor'!$C$13</f>
        <v>34140162.905602887</v>
      </c>
      <c r="CS28" s="53">
        <f t="shared" ca="1" si="36"/>
        <v>3691841504.9056029</v>
      </c>
      <c r="CT28" s="53">
        <f t="shared" ca="1" si="37"/>
        <v>2.5149925313520463</v>
      </c>
      <c r="CU28" s="53">
        <v>2570016425</v>
      </c>
      <c r="CV28" s="53">
        <v>25872381</v>
      </c>
      <c r="CW28" s="53">
        <f ca="1">INDIRECT("ZS(-1)",0) * 'Correction factor'!$C$13</f>
        <v>35881447.02234447</v>
      </c>
      <c r="CX28" s="53">
        <f t="shared" ca="1" si="38"/>
        <v>2605897872.0223446</v>
      </c>
      <c r="CY28" s="53">
        <f t="shared" ca="1" si="39"/>
        <v>1.9938166966934754</v>
      </c>
      <c r="CZ28" s="53">
        <v>3545223655</v>
      </c>
      <c r="DA28" s="53">
        <v>214583774</v>
      </c>
      <c r="DB28" s="53">
        <f ca="1">INDIRECT("ZS(-1)",0) * 'Correction factor'!$C$13</f>
        <v>297598289.02626854</v>
      </c>
      <c r="DC28" s="53">
        <f t="shared" ca="1" si="40"/>
        <v>3842821944.0262685</v>
      </c>
      <c r="DD28" s="53">
        <f t="shared" ca="1" si="41"/>
        <v>2.522286419230618</v>
      </c>
      <c r="DE28" s="53">
        <v>3304944780</v>
      </c>
      <c r="DF28" s="53">
        <v>1448950108</v>
      </c>
      <c r="DG28" s="53">
        <f ca="1">INDIRECT("ZS(-1)",0) * 'Correction factor'!$C$13</f>
        <v>2009495242.7541282</v>
      </c>
      <c r="DH28" s="53">
        <f t="shared" ca="1" si="42"/>
        <v>5314440022.7541285</v>
      </c>
      <c r="DI28" s="53">
        <f t="shared" ca="1" si="43"/>
        <v>3.8696435539814513</v>
      </c>
      <c r="DJ28" s="53">
        <v>1787413332</v>
      </c>
      <c r="DK28" s="53">
        <v>3553094185</v>
      </c>
      <c r="DL28" s="53">
        <f ca="1">INDIRECT("ZS(-1)",0) * 'Correction factor'!$C$13</f>
        <v>4927654735.9316368</v>
      </c>
      <c r="DM28" s="53">
        <f t="shared" ca="1" si="44"/>
        <v>6715068067.9316368</v>
      </c>
      <c r="DN28" s="53">
        <f t="shared" ca="1" si="45"/>
        <v>5.5348295155711611</v>
      </c>
      <c r="DO28" s="53">
        <v>3059678122</v>
      </c>
      <c r="DP28" s="53">
        <v>327345678</v>
      </c>
      <c r="DQ28" s="53">
        <f ca="1">INDIRECT("ZS(-1)",0) * 'Correction factor'!$C$13</f>
        <v>453983597.53400475</v>
      </c>
      <c r="DR28" s="53">
        <f t="shared" ca="1" si="46"/>
        <v>3513661719.5340047</v>
      </c>
      <c r="DS28" s="53">
        <f t="shared" ca="1" si="47"/>
        <v>2.6471899765117244</v>
      </c>
      <c r="DT28" s="53">
        <v>1075249523</v>
      </c>
      <c r="DU28" s="53">
        <v>7236595046</v>
      </c>
      <c r="DV28" s="53">
        <f ca="1">INDIRECT("ZS(-1)",0) * 'Correction factor'!$C$13</f>
        <v>10036165661.181684</v>
      </c>
      <c r="DW28" s="53">
        <f t="shared" ca="1" si="48"/>
        <v>11111415184.181684</v>
      </c>
      <c r="DX28" s="53">
        <f t="shared" ca="1" si="49"/>
        <v>8.1821657948161377</v>
      </c>
      <c r="DY28" s="53">
        <v>1265119276</v>
      </c>
      <c r="DZ28" s="53">
        <v>7165142017</v>
      </c>
      <c r="EA28" s="53">
        <f ca="1">INDIRECT("ZS(-1)",0) * 'Correction factor'!$C$13</f>
        <v>9937070101.5325909</v>
      </c>
      <c r="EB28" s="53">
        <f t="shared" ca="1" si="50"/>
        <v>11202189377.532591</v>
      </c>
      <c r="EC28" s="53">
        <f t="shared" ca="1" si="51"/>
        <v>7.9221898626826164</v>
      </c>
      <c r="ED28" s="53">
        <v>498401867</v>
      </c>
      <c r="EE28" s="53">
        <v>5102305741</v>
      </c>
      <c r="EF28" s="53">
        <f ca="1">INDIRECT("ZS(-1)",0) * 'Correction factor'!$C$13</f>
        <v>7076198867.7229023</v>
      </c>
      <c r="EG28" s="53">
        <f t="shared" ca="1" si="52"/>
        <v>7574600734.7229023</v>
      </c>
      <c r="EH28" s="53">
        <f t="shared" ca="1" si="53"/>
        <v>5.7909062437520804</v>
      </c>
      <c r="EI28" s="53">
        <v>1186800898</v>
      </c>
      <c r="EJ28" s="53">
        <v>5204500812</v>
      </c>
      <c r="EK28" s="53">
        <f ca="1">INDIRECT("ZS(-1)",0) * 'Correction factor'!$C$13</f>
        <v>7217929426.8867941</v>
      </c>
      <c r="EL28" s="53">
        <f t="shared" ca="1" si="54"/>
        <v>8404730324.8867941</v>
      </c>
      <c r="EM28" s="53">
        <f t="shared" ca="1" si="55"/>
        <v>6.3863644598453417</v>
      </c>
      <c r="EN28" s="53">
        <v>4214573017</v>
      </c>
      <c r="EO28" s="53">
        <v>73312247</v>
      </c>
      <c r="EP28" s="53">
        <f ca="1">INDIRECT("ZS(-1)",0) * 'Correction factor'!$C$13</f>
        <v>101674040.23694348</v>
      </c>
      <c r="EQ28" s="53">
        <f t="shared" ca="1" si="56"/>
        <v>4316247057.2369432</v>
      </c>
      <c r="ER28" s="53">
        <f t="shared" ca="1" si="57"/>
        <v>2.9346894308502556</v>
      </c>
      <c r="ES28" s="53">
        <v>3958224586</v>
      </c>
      <c r="ET28" s="53">
        <v>84548381</v>
      </c>
      <c r="EU28" s="53">
        <f ca="1">INDIRECT("ZS(-1)",0) * 'Correction factor'!$C$13</f>
        <v>117257018.35005042</v>
      </c>
      <c r="EV28" s="53">
        <f t="shared" ca="1" si="58"/>
        <v>4075481604.3500504</v>
      </c>
      <c r="EW28" s="53">
        <f t="shared" ca="1" si="59"/>
        <v>2.7858466984674943</v>
      </c>
      <c r="EX28" s="53">
        <v>4163700910</v>
      </c>
      <c r="EY28" s="53">
        <v>66428546</v>
      </c>
      <c r="EZ28" s="53">
        <f ca="1">INDIRECT("ZS(-1)",0) * 'Correction factor'!$C$13</f>
        <v>92127290.258688316</v>
      </c>
      <c r="FA28" s="53">
        <f t="shared" ca="1" si="60"/>
        <v>4255828200.2586884</v>
      </c>
      <c r="FB28" s="53">
        <f t="shared" ca="1" si="61"/>
        <v>3.0342767121937402</v>
      </c>
      <c r="FC28" s="53">
        <v>2733132974</v>
      </c>
      <c r="FD28" s="53">
        <v>2211432752</v>
      </c>
      <c r="FE28" s="53">
        <f ca="1">INDIRECT("ZS(-1)",0) * 'Correction factor'!$C$13</f>
        <v>3066954183.0867996</v>
      </c>
      <c r="FF28" s="53">
        <f t="shared" ca="1" si="62"/>
        <v>5800087157.0867996</v>
      </c>
      <c r="FG28" s="53">
        <f t="shared" ca="1" si="63"/>
        <v>4.4761860146564088</v>
      </c>
      <c r="FH28" s="53">
        <v>4028263551</v>
      </c>
      <c r="FI28" s="53">
        <v>795482268</v>
      </c>
      <c r="FJ28" s="53">
        <f ca="1">INDIRECT("ZS(-1)",0) * 'Correction factor'!$C$13</f>
        <v>1103224896.7134655</v>
      </c>
      <c r="FK28" s="53">
        <f t="shared" ca="1" si="64"/>
        <v>5131488447.7134657</v>
      </c>
      <c r="FL28" s="53">
        <f t="shared" ca="1" si="65"/>
        <v>2.8908190355350416</v>
      </c>
      <c r="FM28" s="53">
        <v>4047421733</v>
      </c>
      <c r="FN28" s="53">
        <v>66432682</v>
      </c>
      <c r="FO28" s="53">
        <f ca="1">INDIRECT("ZS(-1)",0) * 'Correction factor'!$C$13</f>
        <v>92133026.323911086</v>
      </c>
      <c r="FP28" s="53">
        <f t="shared" ca="1" si="66"/>
        <v>4139554759.3239112</v>
      </c>
      <c r="FQ28" s="53">
        <f t="shared" ca="1" si="67"/>
        <v>2.925471674089462</v>
      </c>
      <c r="FR28" s="53">
        <v>3919495911</v>
      </c>
      <c r="FS28" s="53">
        <v>125429755</v>
      </c>
      <c r="FT28" s="53">
        <f ca="1">INDIRECT("ZS(-1)",0) * 'Correction factor'!$C$13</f>
        <v>173953881.90434217</v>
      </c>
      <c r="FU28" s="53">
        <f t="shared" ca="1" si="68"/>
        <v>4093449792.9043422</v>
      </c>
      <c r="FV28" s="53">
        <f t="shared" ca="1" si="69"/>
        <v>2.8556096075809023</v>
      </c>
      <c r="FW28" s="53">
        <v>1116593166</v>
      </c>
      <c r="FX28" s="53">
        <v>8717281868</v>
      </c>
      <c r="FY28" s="53">
        <f ca="1">INDIRECT("ZS(-1)",0) * 'Correction factor'!$C$13</f>
        <v>12089675377.209621</v>
      </c>
      <c r="FZ28" s="53">
        <f t="shared" ca="1" si="70"/>
        <v>13206268543.209621</v>
      </c>
      <c r="GA28" s="53">
        <f t="shared" ca="1" si="71"/>
        <v>10.598019598149593</v>
      </c>
      <c r="GB28" s="53">
        <v>3364362622</v>
      </c>
      <c r="GC28" s="53">
        <v>42796984</v>
      </c>
      <c r="GD28" s="53">
        <f ca="1">INDIRECT("ZS(-1)",0) * 'Correction factor'!$C$13</f>
        <v>59353552.118458822</v>
      </c>
      <c r="GE28" s="53">
        <f t="shared" ca="1" si="72"/>
        <v>3423716174.1184587</v>
      </c>
      <c r="GF28" s="53">
        <f t="shared" ca="1" si="73"/>
        <v>2.3875122688961166</v>
      </c>
      <c r="GG28" s="53">
        <v>2275575410</v>
      </c>
      <c r="GH28" s="53">
        <v>78653755</v>
      </c>
      <c r="GI28" s="53">
        <f ca="1">INDIRECT("ZS(-1)",0) * 'Correction factor'!$C$13</f>
        <v>109081979.85879079</v>
      </c>
      <c r="GJ28" s="53">
        <f t="shared" ca="1" si="74"/>
        <v>2384657389.8587909</v>
      </c>
      <c r="GK28" s="53">
        <f t="shared" ca="1" si="75"/>
        <v>1.6628113369941175</v>
      </c>
      <c r="GL28" s="53">
        <v>476935170</v>
      </c>
      <c r="GM28" s="53">
        <v>1619605436</v>
      </c>
      <c r="GN28" s="53">
        <f ca="1">INDIRECT("ZS(-1)",0) * 'Correction factor'!$C$13</f>
        <v>2246170796.9179611</v>
      </c>
      <c r="GO28" s="53">
        <f t="shared" ca="1" si="76"/>
        <v>2723105966.9179611</v>
      </c>
      <c r="GP28" s="53">
        <f t="shared" ca="1" si="77"/>
        <v>1.8785398525250478</v>
      </c>
      <c r="GQ28" s="53">
        <v>3048652766</v>
      </c>
      <c r="GR28" s="53">
        <v>82684881</v>
      </c>
      <c r="GS28" s="53">
        <f ca="1">INDIRECT("ZS(-1)",0) * 'Correction factor'!$C$13</f>
        <v>114672599.21498361</v>
      </c>
      <c r="GT28" s="53">
        <f t="shared" ca="1" si="78"/>
        <v>3163325365.2149835</v>
      </c>
      <c r="GU28" s="53">
        <f t="shared" ca="1" si="79"/>
        <v>3.2800015583864064</v>
      </c>
      <c r="GV28" s="53">
        <v>3050933118</v>
      </c>
      <c r="GW28" s="53">
        <v>316618294</v>
      </c>
      <c r="GX28" s="53">
        <f ca="1">INDIRECT("ZS(-1)",0) * 'Correction factor'!$C$13</f>
        <v>439106185.95428407</v>
      </c>
      <c r="GY28" s="53">
        <f t="shared" ca="1" si="80"/>
        <v>3490039303.9542842</v>
      </c>
      <c r="GZ28" s="53">
        <f t="shared" ca="1" si="81"/>
        <v>2.4776013229131406</v>
      </c>
      <c r="HA28" s="53">
        <v>676011329</v>
      </c>
      <c r="HB28" s="53">
        <v>6112804996</v>
      </c>
      <c r="HC28" s="53">
        <f ca="1">INDIRECT("ZS(-1)",0) * 'Correction factor'!$C$13</f>
        <v>8477622860.528244</v>
      </c>
      <c r="HD28" s="53">
        <f t="shared" ca="1" si="82"/>
        <v>9153634189.528244</v>
      </c>
      <c r="HE28" s="53">
        <f t="shared" ca="1" si="83"/>
        <v>6.7039066205626403</v>
      </c>
      <c r="HF28" s="53">
        <v>958902595</v>
      </c>
      <c r="HG28" s="53">
        <v>11304914932</v>
      </c>
      <c r="HH28" s="53">
        <f ca="1">INDIRECT("ZS(-1)",0) * 'Correction factor'!$C$13</f>
        <v>15678367840.388132</v>
      </c>
      <c r="HI28" s="53">
        <f t="shared" ca="1" si="84"/>
        <v>16637270435.388132</v>
      </c>
      <c r="HJ28" s="53">
        <f t="shared" ca="1" si="85"/>
        <v>12.255511462999218</v>
      </c>
      <c r="HK28" s="53">
        <v>1830708452</v>
      </c>
      <c r="HL28" s="53">
        <v>21037034993</v>
      </c>
      <c r="HM28" s="53">
        <f ca="1">INDIRECT("ZS(-1)",0) * 'Correction factor'!$C$13</f>
        <v>29175484722.822235</v>
      </c>
      <c r="HN28" s="53">
        <f t="shared" ca="1" si="86"/>
        <v>31006193174.822235</v>
      </c>
      <c r="HO28" s="53">
        <f t="shared" ca="1" si="87"/>
        <v>23.08238352947096</v>
      </c>
      <c r="HP28" s="53">
        <v>2783325021</v>
      </c>
      <c r="HQ28" s="53">
        <v>13765454</v>
      </c>
      <c r="HR28" s="53">
        <f ca="1">INDIRECT("ZS(-1)",0) * 'Correction factor'!$C$13</f>
        <v>19090798.347454753</v>
      </c>
      <c r="HS28" s="53">
        <f t="shared" ca="1" si="88"/>
        <v>2802415819.3474545</v>
      </c>
      <c r="HT28" s="53">
        <f t="shared" ca="1" si="89"/>
        <v>1.8167850407269752</v>
      </c>
      <c r="HU28" s="53">
        <v>2324591506</v>
      </c>
      <c r="HV28" s="53">
        <v>525143510</v>
      </c>
      <c r="HW28" s="53">
        <f ca="1">INDIRECT("ZS(-1)",0) * 'Correction factor'!$C$13</f>
        <v>728302085.26973307</v>
      </c>
      <c r="HX28" s="53">
        <f t="shared" ca="1" si="90"/>
        <v>3052893591.269733</v>
      </c>
      <c r="HY28" s="53">
        <f t="shared" ca="1" si="91"/>
        <v>2.3956155458615584</v>
      </c>
      <c r="HZ28" s="53">
        <v>446247907</v>
      </c>
      <c r="IA28" s="53">
        <v>4059231394</v>
      </c>
      <c r="IB28" s="53">
        <f ca="1">INDIRECT("ZS(-1)",0) * 'Correction factor'!$C$13</f>
        <v>5629597686.244976</v>
      </c>
      <c r="IC28" s="53">
        <f t="shared" ca="1" si="92"/>
        <v>6075845593.244976</v>
      </c>
      <c r="ID28" s="53">
        <f t="shared" ca="1" si="93"/>
        <v>4.7114100969849178</v>
      </c>
      <c r="IE28" s="53">
        <v>1290825078</v>
      </c>
      <c r="IF28" s="53">
        <v>12721713</v>
      </c>
      <c r="IG28" s="53">
        <f ca="1">INDIRECT("ZS(-1)",0) * 'Correction factor'!$C$13</f>
        <v>17643272.609620698</v>
      </c>
      <c r="IH28" s="53">
        <f t="shared" ca="1" si="94"/>
        <v>1308468350.6096208</v>
      </c>
      <c r="II28" s="61">
        <f t="shared" ca="1" si="95"/>
        <v>1.0012552579784062</v>
      </c>
    </row>
    <row r="29" spans="1:243" x14ac:dyDescent="0.25">
      <c r="A29" s="5">
        <v>25</v>
      </c>
      <c r="B29" s="30">
        <v>45516</v>
      </c>
      <c r="C29" s="29" t="s">
        <v>35</v>
      </c>
      <c r="D29" s="52">
        <v>8236227795</v>
      </c>
      <c r="E29" s="53">
        <v>22035733</v>
      </c>
      <c r="F29" s="53">
        <f ca="1">INDIRECT("ZS(-1)",0) * 'Correction factor'!$C$13</f>
        <v>30560542.001836929</v>
      </c>
      <c r="G29" s="53">
        <f t="shared" ca="1" si="0"/>
        <v>8266788337.0018368</v>
      </c>
      <c r="H29" s="53">
        <f t="shared" ca="1" si="1"/>
        <v>5.9789327759638189</v>
      </c>
      <c r="I29" s="53">
        <v>6013293980</v>
      </c>
      <c r="J29" s="53">
        <v>41901778</v>
      </c>
      <c r="K29" s="53">
        <f ca="1">INDIRECT("ZS(-1)",0) * 'Correction factor'!$C$13</f>
        <v>58112024.07111425</v>
      </c>
      <c r="L29" s="53">
        <f t="shared" ca="1" si="2"/>
        <v>6071406004.0711145</v>
      </c>
      <c r="M29" s="53">
        <f t="shared" ca="1" si="3"/>
        <v>3.9798275730045076</v>
      </c>
      <c r="N29" s="53">
        <v>7492281363</v>
      </c>
      <c r="O29" s="53">
        <v>17158686</v>
      </c>
      <c r="P29" s="53">
        <f ca="1">INDIRECT("ZS(-1)",0) * 'Correction factor'!$C$13</f>
        <v>23796746.139523987</v>
      </c>
      <c r="Q29" s="53">
        <f t="shared" ca="1" si="4"/>
        <v>7516078109.1395245</v>
      </c>
      <c r="R29" s="53">
        <f t="shared" ca="1" si="5"/>
        <v>5.8512932126405577</v>
      </c>
      <c r="S29" s="53">
        <v>5493636189</v>
      </c>
      <c r="T29" s="53">
        <v>14733637</v>
      </c>
      <c r="U29" s="53">
        <f ca="1">INDIRECT("ZS(-1)",0) * 'Correction factor'!$C$13</f>
        <v>20433535.493387882</v>
      </c>
      <c r="V29" s="53">
        <f t="shared" ca="1" si="6"/>
        <v>5514069724.4933882</v>
      </c>
      <c r="W29" s="53">
        <f t="shared" ca="1" si="7"/>
        <v>3.7641827557795891</v>
      </c>
      <c r="X29" s="53">
        <v>8411027645</v>
      </c>
      <c r="Y29" s="53">
        <v>26309919</v>
      </c>
      <c r="Z29" s="53">
        <f ca="1">INDIRECT("ZS(-1)",0) * 'Correction factor'!$C$13</f>
        <v>36488252.270275168</v>
      </c>
      <c r="AA29" s="53">
        <f t="shared" ca="1" si="8"/>
        <v>8447515897.2702751</v>
      </c>
      <c r="AB29" s="53">
        <f t="shared" ca="1" si="9"/>
        <v>5.8915454287189695</v>
      </c>
      <c r="AC29" s="53">
        <v>7535769445</v>
      </c>
      <c r="AD29" s="53">
        <v>27269491</v>
      </c>
      <c r="AE29" s="53">
        <f ca="1">INDIRECT("ZS(-1)",0) * 'Correction factor'!$C$13</f>
        <v>37819047.13921766</v>
      </c>
      <c r="AF29" s="53">
        <f t="shared" ca="1" si="10"/>
        <v>7573588492.1392174</v>
      </c>
      <c r="AG29" s="53">
        <f t="shared" ca="1" si="11"/>
        <v>4.8858288743497589</v>
      </c>
      <c r="AH29" s="53">
        <v>54358187</v>
      </c>
      <c r="AI29" s="53">
        <v>11345893</v>
      </c>
      <c r="AJ29" s="53">
        <f ca="1">INDIRECT("ZS(-1)",0) * 'Correction factor'!$C$13</f>
        <v>15735198.805269949</v>
      </c>
      <c r="AK29" s="53">
        <f t="shared" ca="1" si="12"/>
        <v>70093385.805269957</v>
      </c>
      <c r="AL29" s="53">
        <f t="shared" ca="1" si="13"/>
        <v>3.9780522437639659E-2</v>
      </c>
      <c r="AM29" s="53">
        <v>648309091</v>
      </c>
      <c r="AN29" s="53">
        <v>6795571184</v>
      </c>
      <c r="AO29" s="53">
        <f ca="1">INDIRECT("ZS(-1)",0) * 'Correction factor'!$C$13</f>
        <v>9424526000.3424759</v>
      </c>
      <c r="AP29" s="53">
        <f t="shared" ca="1" si="14"/>
        <v>10072835091.342476</v>
      </c>
      <c r="AQ29" s="53">
        <f t="shared" ca="1" si="15"/>
        <v>6.5414336152742028</v>
      </c>
      <c r="AR29" s="53">
        <v>24127604</v>
      </c>
      <c r="AS29" s="53">
        <v>62245502</v>
      </c>
      <c r="AT29" s="53">
        <f ca="1">INDIRECT("ZS(-1)",0) * 'Correction factor'!$C$13</f>
        <v>86325981.454595804</v>
      </c>
      <c r="AU29" s="53">
        <f t="shared" ca="1" si="16"/>
        <v>110453585.4545958</v>
      </c>
      <c r="AV29" s="53">
        <f t="shared" ca="1" si="17"/>
        <v>7.9043507017694442E-2</v>
      </c>
      <c r="AW29" s="53">
        <v>46934276</v>
      </c>
      <c r="AX29" s="53">
        <v>47165528</v>
      </c>
      <c r="AY29" s="53">
        <f ca="1">INDIRECT("ZS(-1)",0) * 'Correction factor'!$C$13</f>
        <v>65412124.002537869</v>
      </c>
      <c r="AZ29" s="53">
        <f t="shared" ca="1" si="18"/>
        <v>112346400.00253788</v>
      </c>
      <c r="BA29" s="53">
        <f t="shared" ca="1" si="19"/>
        <v>7.7186711077073228E-2</v>
      </c>
      <c r="BB29" s="53">
        <v>160347243</v>
      </c>
      <c r="BC29" s="53">
        <v>113040205</v>
      </c>
      <c r="BD29" s="53">
        <f ca="1">INDIRECT("ZS(-1)",0) * 'Correction factor'!$C$13</f>
        <v>156771273.85772723</v>
      </c>
      <c r="BE29" s="53">
        <f t="shared" ca="1" si="20"/>
        <v>317118516.85772723</v>
      </c>
      <c r="BF29" s="53">
        <f t="shared" ca="1" si="21"/>
        <v>0.21524974037358463</v>
      </c>
      <c r="BG29" s="53">
        <v>143229287</v>
      </c>
      <c r="BH29" s="53">
        <v>15261495</v>
      </c>
      <c r="BI29" s="53">
        <f ca="1">INDIRECT("ZS(-1)",0) * 'Correction factor'!$C$13</f>
        <v>21165602.204307172</v>
      </c>
      <c r="BJ29" s="53">
        <f t="shared" ca="1" si="22"/>
        <v>164394889.20430717</v>
      </c>
      <c r="BK29" s="53">
        <f t="shared" ca="1" si="23"/>
        <v>0.1001325144714246</v>
      </c>
      <c r="BL29" s="53">
        <v>1726816274</v>
      </c>
      <c r="BM29" s="53">
        <v>19513004734</v>
      </c>
      <c r="BN29" s="53">
        <f ca="1">INDIRECT("ZS(-1)",0) * 'Correction factor'!$C$13</f>
        <v>27061863599.248089</v>
      </c>
      <c r="BO29" s="53">
        <f t="shared" ca="1" si="24"/>
        <v>28788679873.248089</v>
      </c>
      <c r="BP29" s="53">
        <f t="shared" ca="1" si="25"/>
        <v>138.07135167649707</v>
      </c>
      <c r="BQ29" s="53">
        <v>1784390875</v>
      </c>
      <c r="BR29" s="53">
        <v>20909622260</v>
      </c>
      <c r="BS29" s="53">
        <f ca="1">INDIRECT("ZS(-1)",0) * 'Correction factor'!$C$13</f>
        <v>28998780722.169506</v>
      </c>
      <c r="BT29" s="53">
        <f t="shared" ca="1" si="26"/>
        <v>30783171597.169506</v>
      </c>
      <c r="BU29" s="53">
        <f t="shared" ca="1" si="27"/>
        <v>180.72367723614721</v>
      </c>
      <c r="BV29" s="53">
        <v>13431131</v>
      </c>
      <c r="BW29" s="53">
        <v>189835122</v>
      </c>
      <c r="BX29" s="53">
        <f ca="1">INDIRECT("ZS(-1)",0) * 'Correction factor'!$C$13</f>
        <v>263275300.13659349</v>
      </c>
      <c r="BY29" s="53">
        <f t="shared" ca="1" si="28"/>
        <v>276706431.13659346</v>
      </c>
      <c r="BZ29" s="53">
        <f t="shared" ca="1" si="29"/>
        <v>1.7611045794267008</v>
      </c>
      <c r="CA29" s="53">
        <v>1495681802</v>
      </c>
      <c r="CB29" s="53">
        <v>17424704529</v>
      </c>
      <c r="CC29" s="53">
        <f ca="1">INDIRECT("ZS(-1)",0) * 'Correction factor'!$C$13</f>
        <v>24165677385.367786</v>
      </c>
      <c r="CD29" s="53">
        <f t="shared" ca="1" si="30"/>
        <v>25661359187.367786</v>
      </c>
      <c r="CE29" s="53">
        <f t="shared" ca="1" si="31"/>
        <v>145.24974367193218</v>
      </c>
      <c r="CF29" s="53">
        <v>38053922</v>
      </c>
      <c r="CG29" s="53">
        <v>12725409</v>
      </c>
      <c r="CH29" s="53">
        <f ca="1">INDIRECT("ZS(-1)",0) * 'Correction factor'!$C$13</f>
        <v>17648398.455138918</v>
      </c>
      <c r="CI29" s="53">
        <f t="shared" ca="1" si="32"/>
        <v>55702320.455138922</v>
      </c>
      <c r="CJ29" s="53">
        <f t="shared" ca="1" si="33"/>
        <v>0.4046468716992625</v>
      </c>
      <c r="CK29" s="53">
        <v>78311379</v>
      </c>
      <c r="CL29" s="53">
        <v>526215497</v>
      </c>
      <c r="CM29" s="53">
        <f ca="1">INDIRECT("ZS(-1)",0) * 'Correction factor'!$C$13</f>
        <v>729788784.33887339</v>
      </c>
      <c r="CN29" s="53">
        <f t="shared" ca="1" si="34"/>
        <v>808100163.33887339</v>
      </c>
      <c r="CO29" s="53">
        <f t="shared" ca="1" si="35"/>
        <v>5.7723006377811243</v>
      </c>
      <c r="CP29" s="53">
        <v>3448268598</v>
      </c>
      <c r="CQ29" s="53">
        <v>24499071</v>
      </c>
      <c r="CR29" s="53">
        <f ca="1">INDIRECT("ZS(-1)",0) * 'Correction factor'!$C$13</f>
        <v>33976854.244035587</v>
      </c>
      <c r="CS29" s="53">
        <f t="shared" ca="1" si="36"/>
        <v>3482245452.2440357</v>
      </c>
      <c r="CT29" s="53">
        <f t="shared" ca="1" si="37"/>
        <v>2.3722094496990893</v>
      </c>
      <c r="CU29" s="53">
        <v>2232516674</v>
      </c>
      <c r="CV29" s="53">
        <v>28440516</v>
      </c>
      <c r="CW29" s="53">
        <f ca="1">INDIRECT("ZS(-1)",0) * 'Correction factor'!$C$13</f>
        <v>39443098.342674382</v>
      </c>
      <c r="CX29" s="53">
        <f t="shared" ca="1" si="38"/>
        <v>2271959772.3426743</v>
      </c>
      <c r="CY29" s="53">
        <f t="shared" ca="1" si="39"/>
        <v>1.7383149880686841</v>
      </c>
      <c r="CZ29" s="53">
        <v>3682242549</v>
      </c>
      <c r="DA29" s="53">
        <v>236479058</v>
      </c>
      <c r="DB29" s="53">
        <f ca="1">INDIRECT("ZS(-1)",0) * 'Correction factor'!$C$13</f>
        <v>327964047.51155007</v>
      </c>
      <c r="DC29" s="53">
        <f t="shared" ca="1" si="40"/>
        <v>4010206596.5115499</v>
      </c>
      <c r="DD29" s="53">
        <f t="shared" ca="1" si="41"/>
        <v>2.6321515240678504</v>
      </c>
      <c r="DE29" s="53">
        <v>3157702265</v>
      </c>
      <c r="DF29" s="53">
        <v>1738838483</v>
      </c>
      <c r="DG29" s="53">
        <f ca="1">INDIRECT("ZS(-1)",0) * 'Correction factor'!$C$13</f>
        <v>2411530693.9928846</v>
      </c>
      <c r="DH29" s="53">
        <f t="shared" ca="1" si="42"/>
        <v>5569232958.9928846</v>
      </c>
      <c r="DI29" s="53">
        <f t="shared" ca="1" si="43"/>
        <v>4.0551678686966168</v>
      </c>
      <c r="DJ29" s="53">
        <v>1535991049</v>
      </c>
      <c r="DK29" s="53">
        <v>4640738357</v>
      </c>
      <c r="DL29" s="53">
        <f ca="1">INDIRECT("ZS(-1)",0) * 'Correction factor'!$C$13</f>
        <v>6436068157.0535555</v>
      </c>
      <c r="DM29" s="53">
        <f t="shared" ca="1" si="44"/>
        <v>7972059206.0535555</v>
      </c>
      <c r="DN29" s="53">
        <f t="shared" ca="1" si="45"/>
        <v>6.5708922303057165</v>
      </c>
      <c r="DO29" s="53">
        <v>3207666385</v>
      </c>
      <c r="DP29" s="53">
        <v>396040441</v>
      </c>
      <c r="DQ29" s="53">
        <f ca="1">INDIRECT("ZS(-1)",0) * 'Correction factor'!$C$13</f>
        <v>549253820.2203902</v>
      </c>
      <c r="DR29" s="53">
        <f t="shared" ca="1" si="46"/>
        <v>3756920205.2203903</v>
      </c>
      <c r="DS29" s="53">
        <f t="shared" ca="1" si="47"/>
        <v>2.8304607283403391</v>
      </c>
      <c r="DT29" s="53">
        <v>1084447115</v>
      </c>
      <c r="DU29" s="53">
        <v>8507618048</v>
      </c>
      <c r="DV29" s="53">
        <f ca="1">INDIRECT("ZS(-1)",0) * 'Correction factor'!$C$13</f>
        <v>11798900390.1749</v>
      </c>
      <c r="DW29" s="53">
        <f t="shared" ca="1" si="48"/>
        <v>12883347505.1749</v>
      </c>
      <c r="DX29" s="53">
        <f t="shared" ca="1" si="49"/>
        <v>9.4869720492165381</v>
      </c>
      <c r="DY29" s="53">
        <v>1221767833</v>
      </c>
      <c r="DZ29" s="53">
        <v>8776704194</v>
      </c>
      <c r="EA29" s="53">
        <f ca="1">INDIRECT("ZS(-1)",0) * 'Correction factor'!$C$13</f>
        <v>12172086000.426458</v>
      </c>
      <c r="EB29" s="53">
        <f t="shared" ca="1" si="50"/>
        <v>13393853833.426458</v>
      </c>
      <c r="EC29" s="53">
        <f t="shared" ca="1" si="51"/>
        <v>9.4721352661862799</v>
      </c>
      <c r="ED29" s="53">
        <v>446203426</v>
      </c>
      <c r="EE29" s="53">
        <v>4547544447</v>
      </c>
      <c r="EF29" s="53">
        <f ca="1">INDIRECT("ZS(-1)",0) * 'Correction factor'!$C$13</f>
        <v>6306820974.721549</v>
      </c>
      <c r="EG29" s="53">
        <f t="shared" ca="1" si="52"/>
        <v>6753024400.721549</v>
      </c>
      <c r="EH29" s="53">
        <f t="shared" ca="1" si="53"/>
        <v>5.1627976887390572</v>
      </c>
      <c r="EI29" s="53">
        <v>1051221982</v>
      </c>
      <c r="EJ29" s="53">
        <v>6168151160</v>
      </c>
      <c r="EK29" s="53">
        <f ca="1">INDIRECT("ZS(-1)",0) * 'Correction factor'!$C$13</f>
        <v>8554380405.6284027</v>
      </c>
      <c r="EL29" s="53">
        <f t="shared" ca="1" si="54"/>
        <v>9605602387.6284027</v>
      </c>
      <c r="EM29" s="53">
        <f t="shared" ca="1" si="55"/>
        <v>7.2988514006345424</v>
      </c>
      <c r="EN29" s="53">
        <v>4320722887</v>
      </c>
      <c r="EO29" s="53">
        <v>77410742</v>
      </c>
      <c r="EP29" s="53">
        <f ca="1">INDIRECT("ZS(-1)",0) * 'Correction factor'!$C$13</f>
        <v>107358091.16421779</v>
      </c>
      <c r="EQ29" s="53">
        <f t="shared" ca="1" si="56"/>
        <v>4428080978.1642179</v>
      </c>
      <c r="ER29" s="53">
        <f t="shared" ca="1" si="57"/>
        <v>3.010727206585436</v>
      </c>
      <c r="ES29" s="53">
        <v>4060795610</v>
      </c>
      <c r="ET29" s="53">
        <v>85760763</v>
      </c>
      <c r="EU29" s="53">
        <f ca="1">INDIRECT("ZS(-1)",0) * 'Correction factor'!$C$13</f>
        <v>118938426.04514597</v>
      </c>
      <c r="EV29" s="53">
        <f t="shared" ca="1" si="58"/>
        <v>4179734036.045146</v>
      </c>
      <c r="EW29" s="53">
        <f t="shared" ca="1" si="59"/>
        <v>2.8571097590920331</v>
      </c>
      <c r="EX29" s="53">
        <v>4408154164</v>
      </c>
      <c r="EY29" s="53">
        <v>68190939</v>
      </c>
      <c r="EZ29" s="53">
        <f ca="1">INDIRECT("ZS(-1)",0) * 'Correction factor'!$C$13</f>
        <v>94571487.8399643</v>
      </c>
      <c r="FA29" s="53">
        <f t="shared" ca="1" si="60"/>
        <v>4502725651.8399639</v>
      </c>
      <c r="FB29" s="53">
        <f t="shared" ca="1" si="61"/>
        <v>3.210307123286817</v>
      </c>
      <c r="FC29" s="53">
        <v>2651395552</v>
      </c>
      <c r="FD29" s="53">
        <v>2684009842</v>
      </c>
      <c r="FE29" s="53">
        <f ca="1">INDIRECT("ZS(-1)",0) * 'Correction factor'!$C$13</f>
        <v>3722353847.2618408</v>
      </c>
      <c r="FF29" s="53">
        <f t="shared" ca="1" si="62"/>
        <v>6373749399.2618408</v>
      </c>
      <c r="FG29" s="53">
        <f t="shared" ca="1" si="63"/>
        <v>4.9189067593650266</v>
      </c>
      <c r="FH29" s="53">
        <v>4149213606</v>
      </c>
      <c r="FI29" s="53">
        <v>1043484775</v>
      </c>
      <c r="FJ29" s="53">
        <f ca="1">INDIRECT("ZS(-1)",0) * 'Correction factor'!$C$13</f>
        <v>1447170388.8708789</v>
      </c>
      <c r="FK29" s="53">
        <f t="shared" ca="1" si="64"/>
        <v>5596383994.8708792</v>
      </c>
      <c r="FL29" s="53">
        <f t="shared" ca="1" si="65"/>
        <v>3.1527174907204896</v>
      </c>
      <c r="FM29" s="53">
        <v>3985390514</v>
      </c>
      <c r="FN29" s="53">
        <v>82276158</v>
      </c>
      <c r="FO29" s="53">
        <f ca="1">INDIRECT("ZS(-1)",0) * 'Correction factor'!$C$13</f>
        <v>114105756.42338613</v>
      </c>
      <c r="FP29" s="53">
        <f t="shared" ca="1" si="66"/>
        <v>4099496270.4233861</v>
      </c>
      <c r="FQ29" s="53">
        <f t="shared" ca="1" si="67"/>
        <v>2.8971618723356971</v>
      </c>
      <c r="FR29" s="53">
        <v>3786605769</v>
      </c>
      <c r="FS29" s="53">
        <v>138240397</v>
      </c>
      <c r="FT29" s="53">
        <f ca="1">INDIRECT("ZS(-1)",0) * 'Correction factor'!$C$13</f>
        <v>191720486.85056731</v>
      </c>
      <c r="FU29" s="53">
        <f t="shared" ca="1" si="68"/>
        <v>3978326255.8505673</v>
      </c>
      <c r="FV29" s="53">
        <f t="shared" ca="1" si="69"/>
        <v>2.7752988928777897</v>
      </c>
      <c r="FW29" s="53">
        <v>1183606742</v>
      </c>
      <c r="FX29" s="53">
        <v>9906992798</v>
      </c>
      <c r="FY29" s="53">
        <f ca="1">INDIRECT("ZS(-1)",0) * 'Correction factor'!$C$13</f>
        <v>13739641404.947817</v>
      </c>
      <c r="FZ29" s="53">
        <f t="shared" ca="1" si="70"/>
        <v>14923248146.947817</v>
      </c>
      <c r="GA29" s="53">
        <f t="shared" ca="1" si="71"/>
        <v>11.975894312002568</v>
      </c>
      <c r="GB29" s="53">
        <v>3367438075</v>
      </c>
      <c r="GC29" s="53">
        <v>47849359</v>
      </c>
      <c r="GD29" s="53">
        <f ca="1">INDIRECT("ZS(-1)",0) * 'Correction factor'!$C$13</f>
        <v>66360503.890679464</v>
      </c>
      <c r="GE29" s="53">
        <f t="shared" ca="1" si="72"/>
        <v>3433798578.8906794</v>
      </c>
      <c r="GF29" s="53">
        <f t="shared" ca="1" si="73"/>
        <v>2.3945431861420099</v>
      </c>
      <c r="GG29" s="53">
        <v>2363669733</v>
      </c>
      <c r="GH29" s="53">
        <v>72471176</v>
      </c>
      <c r="GI29" s="53">
        <f ca="1">INDIRECT("ZS(-1)",0) * 'Correction factor'!$C$13</f>
        <v>100507590.01620306</v>
      </c>
      <c r="GJ29" s="53">
        <f t="shared" ca="1" si="74"/>
        <v>2464177323.0162029</v>
      </c>
      <c r="GK29" s="53">
        <f t="shared" ca="1" si="75"/>
        <v>1.7182602442180559</v>
      </c>
      <c r="GL29" s="53">
        <v>465420674</v>
      </c>
      <c r="GM29" s="53">
        <v>2058917413</v>
      </c>
      <c r="GN29" s="53">
        <f ca="1">INDIRECT("ZS(-1)",0) * 'Correction factor'!$C$13</f>
        <v>2855436307.850523</v>
      </c>
      <c r="GO29" s="53">
        <f t="shared" ca="1" si="76"/>
        <v>3320856981.850523</v>
      </c>
      <c r="GP29" s="53">
        <f t="shared" ca="1" si="77"/>
        <v>2.2908995319058034</v>
      </c>
      <c r="GQ29" s="53">
        <v>3264362415</v>
      </c>
      <c r="GR29" s="53">
        <v>88746104</v>
      </c>
      <c r="GS29" s="53">
        <f ca="1">INDIRECT("ZS(-1)",0) * 'Correction factor'!$C$13</f>
        <v>123078684.9156045</v>
      </c>
      <c r="GT29" s="53">
        <f t="shared" ca="1" si="78"/>
        <v>3387441099.9156046</v>
      </c>
      <c r="GU29" s="53">
        <f t="shared" ca="1" si="79"/>
        <v>3.512383584958938</v>
      </c>
      <c r="GV29" s="53">
        <v>3298650235</v>
      </c>
      <c r="GW29" s="53">
        <v>356917449</v>
      </c>
      <c r="GX29" s="53">
        <f ca="1">INDIRECT("ZS(-1)",0) * 'Correction factor'!$C$13</f>
        <v>494995591.54002231</v>
      </c>
      <c r="GY29" s="53">
        <f t="shared" ca="1" si="80"/>
        <v>3793645826.5400224</v>
      </c>
      <c r="GZ29" s="53">
        <f t="shared" ca="1" si="81"/>
        <v>2.6931335437540942</v>
      </c>
      <c r="HA29" s="53">
        <v>762298006</v>
      </c>
      <c r="HB29" s="53">
        <v>7492919088</v>
      </c>
      <c r="HC29" s="53">
        <f ca="1">INDIRECT("ZS(-1)",0) * 'Correction factor'!$C$13</f>
        <v>10391651982.041607</v>
      </c>
      <c r="HD29" s="53">
        <f t="shared" ca="1" si="82"/>
        <v>11153949988.041607</v>
      </c>
      <c r="HE29" s="53">
        <f t="shared" ca="1" si="83"/>
        <v>8.1688909150203255</v>
      </c>
      <c r="HF29" s="53">
        <v>1130157584</v>
      </c>
      <c r="HG29" s="53">
        <v>13210510718</v>
      </c>
      <c r="HH29" s="53">
        <f ca="1">INDIRECT("ZS(-1)",0) * 'Correction factor'!$C$13</f>
        <v>18321168062.036144</v>
      </c>
      <c r="HI29" s="53">
        <f t="shared" ca="1" si="84"/>
        <v>19451325646.036144</v>
      </c>
      <c r="HJ29" s="53">
        <f t="shared" ca="1" si="85"/>
        <v>14.328428773897329</v>
      </c>
      <c r="HK29" s="53">
        <v>2101344555</v>
      </c>
      <c r="HL29" s="53">
        <v>23560136385</v>
      </c>
      <c r="HM29" s="53">
        <f ca="1">INDIRECT("ZS(-1)",0) * 'Correction factor'!$C$13</f>
        <v>32674680600.041714</v>
      </c>
      <c r="HN29" s="53">
        <f t="shared" ca="1" si="86"/>
        <v>34776025155.041718</v>
      </c>
      <c r="HO29" s="53">
        <f t="shared" ca="1" si="87"/>
        <v>25.888813429409488</v>
      </c>
      <c r="HP29" s="53">
        <v>3095578858</v>
      </c>
      <c r="HQ29" s="53">
        <v>13508454</v>
      </c>
      <c r="HR29" s="53">
        <f ca="1">INDIRECT("ZS(-1)",0) * 'Correction factor'!$C$13</f>
        <v>18734374.565478809</v>
      </c>
      <c r="HS29" s="53">
        <f t="shared" ca="1" si="88"/>
        <v>3114313232.5654788</v>
      </c>
      <c r="HT29" s="53">
        <f t="shared" ca="1" si="89"/>
        <v>2.0189857814821037</v>
      </c>
      <c r="HU29" s="53">
        <v>2664275402</v>
      </c>
      <c r="HV29" s="53">
        <v>587426247</v>
      </c>
      <c r="HW29" s="53">
        <f ca="1">INDIRECT("ZS(-1)",0) * 'Correction factor'!$C$13</f>
        <v>814679706.56682646</v>
      </c>
      <c r="HX29" s="53">
        <f t="shared" ca="1" si="90"/>
        <v>3478955108.5668263</v>
      </c>
      <c r="HY29" s="53">
        <f t="shared" ca="1" si="91"/>
        <v>2.7299474063787694</v>
      </c>
      <c r="HZ29" s="53">
        <v>471933309</v>
      </c>
      <c r="IA29" s="53">
        <v>4685002427</v>
      </c>
      <c r="IB29" s="53">
        <f ca="1">INDIRECT("ZS(-1)",0) * 'Correction factor'!$C$13</f>
        <v>6497456356.4117184</v>
      </c>
      <c r="IC29" s="53">
        <f t="shared" ca="1" si="92"/>
        <v>6969389665.4117184</v>
      </c>
      <c r="ID29" s="53">
        <f t="shared" ca="1" si="93"/>
        <v>5.4042934988257834</v>
      </c>
      <c r="IE29" s="53">
        <v>1552766957</v>
      </c>
      <c r="IF29" s="53">
        <v>12616208</v>
      </c>
      <c r="IG29" s="53">
        <f ca="1">INDIRECT("ZS(-1)",0) * 'Correction factor'!$C$13</f>
        <v>17496951.632510301</v>
      </c>
      <c r="IH29" s="53">
        <f t="shared" ca="1" si="94"/>
        <v>1570263908.6325102</v>
      </c>
      <c r="II29" s="61">
        <f t="shared" ca="1" si="95"/>
        <v>1.2015842753854258</v>
      </c>
    </row>
    <row r="30" spans="1:243" s="3" customFormat="1" x14ac:dyDescent="0.25">
      <c r="A30" s="57">
        <v>26</v>
      </c>
      <c r="B30" s="56">
        <v>45517</v>
      </c>
      <c r="C30" s="29" t="s">
        <v>36</v>
      </c>
      <c r="D30" s="52">
        <v>8416329017</v>
      </c>
      <c r="E30" s="53">
        <v>22772588</v>
      </c>
      <c r="F30" s="53">
        <f ca="1">INDIRECT("ZS(-1)",0) * 'Correction factor'!$C$13</f>
        <v>31582458.911828693</v>
      </c>
      <c r="G30" s="53">
        <f t="shared" ca="1" si="0"/>
        <v>8447911475.911829</v>
      </c>
      <c r="H30" s="53">
        <f t="shared" ca="1" si="1"/>
        <v>6.1099296066032673</v>
      </c>
      <c r="I30" s="53">
        <v>6189601356</v>
      </c>
      <c r="J30" s="53">
        <v>45024562</v>
      </c>
      <c r="K30" s="53">
        <f ca="1">INDIRECT("ZS(-1)",0) * 'Correction factor'!$C$13</f>
        <v>62442897.548055738</v>
      </c>
      <c r="L30" s="53">
        <f t="shared" ca="1" si="2"/>
        <v>6252044253.5480556</v>
      </c>
      <c r="M30" s="53">
        <f t="shared" ca="1" si="3"/>
        <v>4.0982365684703916</v>
      </c>
      <c r="N30" s="53">
        <v>6599091754</v>
      </c>
      <c r="O30" s="53">
        <v>17520942</v>
      </c>
      <c r="P30" s="53">
        <f ca="1">INDIRECT("ZS(-1)",0) * 'Correction factor'!$C$13</f>
        <v>24299145.56973207</v>
      </c>
      <c r="Q30" s="53">
        <f t="shared" ca="1" si="4"/>
        <v>6623390899.5697317</v>
      </c>
      <c r="R30" s="53">
        <f t="shared" ca="1" si="5"/>
        <v>5.1563330838979944</v>
      </c>
      <c r="S30" s="53">
        <v>5539854907</v>
      </c>
      <c r="T30" s="53">
        <v>13987976</v>
      </c>
      <c r="U30" s="53">
        <f ca="1">INDIRECT("ZS(-1)",0) * 'Correction factor'!$C$13</f>
        <v>19399405.868127324</v>
      </c>
      <c r="V30" s="53">
        <f t="shared" ca="1" si="6"/>
        <v>5559254312.8681269</v>
      </c>
      <c r="W30" s="53">
        <f t="shared" ca="1" si="7"/>
        <v>3.7950280400950347</v>
      </c>
      <c r="X30" s="53">
        <v>7931138197</v>
      </c>
      <c r="Y30" s="53">
        <v>26009005</v>
      </c>
      <c r="Z30" s="53">
        <f ca="1">INDIRECT("ZS(-1)",0) * 'Correction factor'!$C$13</f>
        <v>36070925.788059182</v>
      </c>
      <c r="AA30" s="53">
        <f t="shared" ca="1" si="8"/>
        <v>7967209122.7880592</v>
      </c>
      <c r="AB30" s="53">
        <f t="shared" ca="1" si="9"/>
        <v>5.5565653924579124</v>
      </c>
      <c r="AC30" s="53">
        <v>6847858911</v>
      </c>
      <c r="AD30" s="53">
        <v>26874497</v>
      </c>
      <c r="AE30" s="53">
        <f ca="1">INDIRECT("ZS(-1)",0) * 'Correction factor'!$C$13</f>
        <v>37271244.589265108</v>
      </c>
      <c r="AF30" s="53">
        <f t="shared" ca="1" si="10"/>
        <v>6885130155.5892649</v>
      </c>
      <c r="AG30" s="53">
        <f t="shared" ca="1" si="11"/>
        <v>4.4416946805004622</v>
      </c>
      <c r="AH30" s="53">
        <v>47508341</v>
      </c>
      <c r="AI30" s="53">
        <v>11261504</v>
      </c>
      <c r="AJ30" s="53">
        <f ca="1">INDIRECT("ZS(-1)",0) * 'Correction factor'!$C$13</f>
        <v>15618162.826526105</v>
      </c>
      <c r="AK30" s="53">
        <f t="shared" ca="1" si="12"/>
        <v>63126503.826526105</v>
      </c>
      <c r="AL30" s="53">
        <f t="shared" ca="1" si="13"/>
        <v>3.5826565845419087E-2</v>
      </c>
      <c r="AM30" s="53">
        <v>690910524</v>
      </c>
      <c r="AN30" s="53">
        <v>7298680178</v>
      </c>
      <c r="AO30" s="53">
        <f ca="1">INDIRECT("ZS(-1)",0) * 'Correction factor'!$C$13</f>
        <v>10122269231.4226</v>
      </c>
      <c r="AP30" s="53">
        <f t="shared" ca="1" si="14"/>
        <v>10813179755.4226</v>
      </c>
      <c r="AQ30" s="53">
        <f t="shared" ca="1" si="15"/>
        <v>7.0222233262727531</v>
      </c>
      <c r="AR30" s="53">
        <v>24495524</v>
      </c>
      <c r="AS30" s="53">
        <v>63488929</v>
      </c>
      <c r="AT30" s="53">
        <f ca="1">INDIRECT("ZS(-1)",0) * 'Correction factor'!$C$13</f>
        <v>88050444.310436264</v>
      </c>
      <c r="AU30" s="53">
        <f t="shared" ca="1" si="16"/>
        <v>112545968.31043626</v>
      </c>
      <c r="AV30" s="53">
        <f t="shared" ca="1" si="17"/>
        <v>8.0540871528485408E-2</v>
      </c>
      <c r="AW30" s="53">
        <v>49746844</v>
      </c>
      <c r="AX30" s="53">
        <v>43970672</v>
      </c>
      <c r="AY30" s="53">
        <f ca="1">INDIRECT("ZS(-1)",0) * 'Correction factor'!$C$13</f>
        <v>60981296.537991047</v>
      </c>
      <c r="AZ30" s="53">
        <f t="shared" ca="1" si="18"/>
        <v>110728140.53799105</v>
      </c>
      <c r="BA30" s="53">
        <f t="shared" ca="1" si="19"/>
        <v>7.6074898631504045E-2</v>
      </c>
      <c r="BB30" s="53">
        <v>191837450</v>
      </c>
      <c r="BC30" s="53">
        <v>109683417</v>
      </c>
      <c r="BD30" s="53">
        <f ca="1">INDIRECT("ZS(-1)",0) * 'Correction factor'!$C$13</f>
        <v>152115868.89955032</v>
      </c>
      <c r="BE30" s="53">
        <f t="shared" ca="1" si="20"/>
        <v>343953318.89955032</v>
      </c>
      <c r="BF30" s="53">
        <f t="shared" ca="1" si="21"/>
        <v>0.23346433165546299</v>
      </c>
      <c r="BG30" s="53">
        <v>144808203</v>
      </c>
      <c r="BH30" s="53">
        <v>16095959</v>
      </c>
      <c r="BI30" s="53">
        <f ca="1">INDIRECT("ZS(-1)",0) * 'Correction factor'!$C$13</f>
        <v>22322889.421438586</v>
      </c>
      <c r="BJ30" s="53">
        <f t="shared" ca="1" si="22"/>
        <v>167131092.42143857</v>
      </c>
      <c r="BK30" s="53">
        <f t="shared" ca="1" si="23"/>
        <v>0.10179912898457814</v>
      </c>
      <c r="BL30" s="53">
        <v>1858947556</v>
      </c>
      <c r="BM30" s="53">
        <v>21203073933</v>
      </c>
      <c r="BN30" s="53">
        <f ca="1">INDIRECT("ZS(-1)",0) * 'Correction factor'!$C$13</f>
        <v>29405757979.437317</v>
      </c>
      <c r="BO30" s="53">
        <f t="shared" ca="1" si="24"/>
        <v>31264705535.437317</v>
      </c>
      <c r="BP30" s="53">
        <f t="shared" ca="1" si="25"/>
        <v>149.94644325656782</v>
      </c>
      <c r="BQ30" s="53">
        <v>1825834665</v>
      </c>
      <c r="BR30" s="53">
        <v>21585322529</v>
      </c>
      <c r="BS30" s="53">
        <f ca="1">INDIRECT("ZS(-1)",0) * 'Correction factor'!$C$13</f>
        <v>29935884400.609749</v>
      </c>
      <c r="BT30" s="53">
        <f t="shared" ca="1" si="26"/>
        <v>31761719065.609749</v>
      </c>
      <c r="BU30" s="53">
        <f t="shared" ca="1" si="27"/>
        <v>186.46859199544721</v>
      </c>
      <c r="BV30" s="53">
        <v>12624181</v>
      </c>
      <c r="BW30" s="53">
        <v>188676258</v>
      </c>
      <c r="BX30" s="53">
        <f ca="1">INDIRECT("ZS(-1)",0) * 'Correction factor'!$C$13</f>
        <v>261668114.57365277</v>
      </c>
      <c r="BY30" s="53">
        <f t="shared" ca="1" si="28"/>
        <v>274292295.57365274</v>
      </c>
      <c r="BZ30" s="53">
        <f t="shared" ca="1" si="29"/>
        <v>1.745739756940327</v>
      </c>
      <c r="CA30" s="53">
        <v>1521242595</v>
      </c>
      <c r="CB30" s="53">
        <v>17908880795</v>
      </c>
      <c r="CC30" s="53">
        <f ca="1">INDIRECT("ZS(-1)",0) * 'Correction factor'!$C$13</f>
        <v>24837163517.160435</v>
      </c>
      <c r="CD30" s="53">
        <f t="shared" ca="1" si="30"/>
        <v>26358406112.160435</v>
      </c>
      <c r="CE30" s="53">
        <f t="shared" ca="1" si="31"/>
        <v>149.19520448771317</v>
      </c>
      <c r="CF30" s="53">
        <v>38696352</v>
      </c>
      <c r="CG30" s="53">
        <v>13330841</v>
      </c>
      <c r="CH30" s="53">
        <f ca="1">INDIRECT("ZS(-1)",0) * 'Correction factor'!$C$13</f>
        <v>18488049.673696347</v>
      </c>
      <c r="CI30" s="53">
        <f t="shared" ca="1" si="32"/>
        <v>57184401.673696347</v>
      </c>
      <c r="CJ30" s="53">
        <f t="shared" ca="1" si="33"/>
        <v>0.41541338059500033</v>
      </c>
      <c r="CK30" s="53">
        <v>60696822</v>
      </c>
      <c r="CL30" s="53">
        <v>396580171</v>
      </c>
      <c r="CM30" s="53">
        <f ca="1">INDIRECT("ZS(-1)",0) * 'Correction factor'!$C$13</f>
        <v>550002351.76842868</v>
      </c>
      <c r="CN30" s="53">
        <f t="shared" ca="1" si="34"/>
        <v>610699173.76842868</v>
      </c>
      <c r="CO30" s="53">
        <f t="shared" ca="1" si="35"/>
        <v>4.3622553121025103</v>
      </c>
      <c r="CP30" s="53">
        <v>3080576294</v>
      </c>
      <c r="CQ30" s="53">
        <v>27157053</v>
      </c>
      <c r="CR30" s="53">
        <f ca="1">INDIRECT("ZS(-1)",0) * 'Correction factor'!$C$13</f>
        <v>37663111.0411717</v>
      </c>
      <c r="CS30" s="53">
        <f t="shared" ca="1" si="36"/>
        <v>3118239405.0411716</v>
      </c>
      <c r="CT30" s="53">
        <f t="shared" ca="1" si="37"/>
        <v>2.124237674945018</v>
      </c>
      <c r="CU30" s="53">
        <v>1860811846</v>
      </c>
      <c r="CV30" s="53">
        <v>35546517</v>
      </c>
      <c r="CW30" s="53">
        <f ca="1">INDIRECT("ZS(-1)",0) * 'Correction factor'!$C$13</f>
        <v>49298147.958023928</v>
      </c>
      <c r="CX30" s="53">
        <f t="shared" ca="1" si="38"/>
        <v>1910109993.958024</v>
      </c>
      <c r="CY30" s="53">
        <f t="shared" ca="1" si="39"/>
        <v>1.4614575802692571</v>
      </c>
      <c r="CZ30" s="53">
        <v>3680219375</v>
      </c>
      <c r="DA30" s="53">
        <v>271346773</v>
      </c>
      <c r="DB30" s="53">
        <f ca="1">INDIRECT("ZS(-1)",0) * 'Correction factor'!$C$13</f>
        <v>376320790.11528277</v>
      </c>
      <c r="DC30" s="53">
        <f t="shared" ca="1" si="40"/>
        <v>4056540165.115283</v>
      </c>
      <c r="DD30" s="53">
        <f t="shared" ca="1" si="41"/>
        <v>2.6625631675282913</v>
      </c>
      <c r="DE30" s="53">
        <v>2844802329</v>
      </c>
      <c r="DF30" s="53">
        <v>2169027734</v>
      </c>
      <c r="DG30" s="53">
        <f ca="1">INDIRECT("ZS(-1)",0) * 'Correction factor'!$C$13</f>
        <v>3008144234.0972357</v>
      </c>
      <c r="DH30" s="53">
        <f t="shared" ca="1" si="42"/>
        <v>5852946563.0972357</v>
      </c>
      <c r="DI30" s="53">
        <f t="shared" ca="1" si="43"/>
        <v>4.2617504088322926</v>
      </c>
      <c r="DJ30" s="53">
        <v>1283585127</v>
      </c>
      <c r="DK30" s="53">
        <v>6193615214</v>
      </c>
      <c r="DL30" s="53">
        <f ca="1">INDIRECT("ZS(-1)",0) * 'Correction factor'!$C$13</f>
        <v>8589695559.0568838</v>
      </c>
      <c r="DM30" s="53">
        <f t="shared" ca="1" si="44"/>
        <v>9873280686.0568848</v>
      </c>
      <c r="DN30" s="53">
        <f t="shared" ca="1" si="45"/>
        <v>8.137955535801229</v>
      </c>
      <c r="DO30" s="53">
        <v>3302692885</v>
      </c>
      <c r="DP30" s="53">
        <v>497848266</v>
      </c>
      <c r="DQ30" s="53">
        <f ca="1">INDIRECT("ZS(-1)",0) * 'Correction factor'!$C$13</f>
        <v>690447322.24858069</v>
      </c>
      <c r="DR30" s="53">
        <f t="shared" ca="1" si="46"/>
        <v>3993140207.2485809</v>
      </c>
      <c r="DS30" s="53">
        <f t="shared" ca="1" si="47"/>
        <v>3.0084286921156163</v>
      </c>
      <c r="DT30" s="53">
        <v>1144474094</v>
      </c>
      <c r="DU30" s="53">
        <v>10039817671</v>
      </c>
      <c r="DV30" s="53">
        <f ca="1">INDIRECT("ZS(-1)",0) * 'Correction factor'!$C$13</f>
        <v>13923851302.127327</v>
      </c>
      <c r="DW30" s="53">
        <f t="shared" ca="1" si="48"/>
        <v>15068325396.127327</v>
      </c>
      <c r="DX30" s="53">
        <f t="shared" ca="1" si="49"/>
        <v>11.095934639979193</v>
      </c>
      <c r="DY30" s="53">
        <v>1169796626</v>
      </c>
      <c r="DZ30" s="53">
        <v>10023041532</v>
      </c>
      <c r="EA30" s="53">
        <f ca="1">INDIRECT("ZS(-1)",0) * 'Correction factor'!$C$13</f>
        <v>13900585096.254433</v>
      </c>
      <c r="EB30" s="53">
        <f t="shared" ca="1" si="50"/>
        <v>15070381722.254433</v>
      </c>
      <c r="EC30" s="53">
        <f t="shared" ca="1" si="51"/>
        <v>10.657776018878423</v>
      </c>
      <c r="ED30" s="53">
        <v>443608067</v>
      </c>
      <c r="EE30" s="53">
        <v>4428103186</v>
      </c>
      <c r="EF30" s="53">
        <f ca="1">INDIRECT("ZS(-1)",0) * 'Correction factor'!$C$13</f>
        <v>6141172313.3612537</v>
      </c>
      <c r="EG30" s="53">
        <f t="shared" ca="1" si="52"/>
        <v>6584780380.3612537</v>
      </c>
      <c r="EH30" s="53">
        <f t="shared" ca="1" si="53"/>
        <v>5.0341723813334616</v>
      </c>
      <c r="EI30" s="53">
        <v>950124397</v>
      </c>
      <c r="EJ30" s="53">
        <v>7311857785</v>
      </c>
      <c r="EK30" s="53">
        <f ca="1">INDIRECT("ZS(-1)",0) * 'Correction factor'!$C$13</f>
        <v>10140544766.536736</v>
      </c>
      <c r="EL30" s="53">
        <f t="shared" ca="1" si="54"/>
        <v>11090669163.536736</v>
      </c>
      <c r="EM30" s="53">
        <f t="shared" ca="1" si="55"/>
        <v>8.4272847127748491</v>
      </c>
      <c r="EN30" s="53">
        <v>4457091398</v>
      </c>
      <c r="EO30" s="53">
        <v>79666958</v>
      </c>
      <c r="EP30" s="53">
        <f ca="1">INDIRECT("ZS(-1)",0) * 'Correction factor'!$C$13</f>
        <v>110487153.57540312</v>
      </c>
      <c r="EQ30" s="53">
        <f t="shared" ca="1" si="56"/>
        <v>4567578551.5754032</v>
      </c>
      <c r="ER30" s="53">
        <f t="shared" ca="1" si="57"/>
        <v>3.105573967878366</v>
      </c>
      <c r="ES30" s="53">
        <v>4043972978</v>
      </c>
      <c r="ET30" s="53">
        <v>89093608</v>
      </c>
      <c r="EU30" s="53">
        <f ca="1">INDIRECT("ZS(-1)",0) * 'Correction factor'!$C$13</f>
        <v>123560625.34335457</v>
      </c>
      <c r="EV30" s="53">
        <f t="shared" ca="1" si="58"/>
        <v>4167533603.3433547</v>
      </c>
      <c r="EW30" s="53">
        <f t="shared" ca="1" si="59"/>
        <v>2.848769999902375</v>
      </c>
      <c r="EX30" s="53">
        <v>4316931457</v>
      </c>
      <c r="EY30" s="53">
        <v>69676601</v>
      </c>
      <c r="EZ30" s="53">
        <f ca="1">INDIRECT("ZS(-1)",0) * 'Correction factor'!$C$13</f>
        <v>96631897.446104154</v>
      </c>
      <c r="FA30" s="53">
        <f t="shared" ca="1" si="60"/>
        <v>4413563354.446104</v>
      </c>
      <c r="FB30" s="53">
        <f t="shared" ca="1" si="61"/>
        <v>3.1467371035732774</v>
      </c>
      <c r="FC30" s="53">
        <v>2401190070</v>
      </c>
      <c r="FD30" s="53">
        <v>3307708146</v>
      </c>
      <c r="FE30" s="53">
        <f ca="1">INDIRECT("ZS(-1)",0) * 'Correction factor'!$C$13</f>
        <v>4587337926.3422356</v>
      </c>
      <c r="FF30" s="53">
        <f t="shared" ca="1" si="62"/>
        <v>6988527996.3422356</v>
      </c>
      <c r="FG30" s="53">
        <f t="shared" ca="1" si="63"/>
        <v>5.3933588294514223</v>
      </c>
      <c r="FH30" s="53">
        <v>4120726554</v>
      </c>
      <c r="FI30" s="53">
        <v>1458075472</v>
      </c>
      <c r="FJ30" s="53">
        <f ca="1">INDIRECT("ZS(-1)",0) * 'Correction factor'!$C$13</f>
        <v>2022150872.1268408</v>
      </c>
      <c r="FK30" s="53">
        <f t="shared" ca="1" si="64"/>
        <v>6142877426.1268406</v>
      </c>
      <c r="FL30" s="53">
        <f t="shared" ca="1" si="65"/>
        <v>3.4605840347002466</v>
      </c>
      <c r="FM30" s="53">
        <v>3801272091</v>
      </c>
      <c r="FN30" s="53">
        <v>84120175</v>
      </c>
      <c r="FO30" s="53">
        <f ca="1">INDIRECT("ZS(-1)",0) * 'Correction factor'!$C$13</f>
        <v>116663155.30730803</v>
      </c>
      <c r="FP30" s="53">
        <f t="shared" ca="1" si="66"/>
        <v>3917935246.3073082</v>
      </c>
      <c r="FQ30" s="53">
        <f t="shared" ca="1" si="67"/>
        <v>2.7688505770269694</v>
      </c>
      <c r="FR30" s="53">
        <v>3451948264</v>
      </c>
      <c r="FS30" s="53">
        <v>154912365</v>
      </c>
      <c r="FT30" s="53">
        <f ca="1">INDIRECT("ZS(-1)",0) * 'Correction factor'!$C$13</f>
        <v>214842221.82154745</v>
      </c>
      <c r="FU30" s="53">
        <f t="shared" ca="1" si="68"/>
        <v>3666790485.8215475</v>
      </c>
      <c r="FV30" s="53">
        <f t="shared" ca="1" si="69"/>
        <v>2.5579700912537722</v>
      </c>
      <c r="FW30" s="53">
        <v>1238790267</v>
      </c>
      <c r="FX30" s="53">
        <v>11050031045</v>
      </c>
      <c r="FY30" s="53">
        <f ca="1">INDIRECT("ZS(-1)",0) * 'Correction factor'!$C$13</f>
        <v>15324878817.161404</v>
      </c>
      <c r="FZ30" s="53">
        <f t="shared" ca="1" si="70"/>
        <v>16563669084.161404</v>
      </c>
      <c r="GA30" s="53">
        <f t="shared" ca="1" si="71"/>
        <v>13.292330759203516</v>
      </c>
      <c r="GB30" s="53">
        <v>3380596381</v>
      </c>
      <c r="GC30" s="53">
        <v>48957703</v>
      </c>
      <c r="GD30" s="53">
        <f ca="1">INDIRECT("ZS(-1)",0) * 'Correction factor'!$C$13</f>
        <v>67897625.136634111</v>
      </c>
      <c r="GE30" s="53">
        <f t="shared" ca="1" si="72"/>
        <v>3448494006.1366339</v>
      </c>
      <c r="GF30" s="53">
        <f t="shared" ca="1" si="73"/>
        <v>2.404790972775614</v>
      </c>
      <c r="GG30" s="53">
        <v>2338205486</v>
      </c>
      <c r="GH30" s="53">
        <v>74080721</v>
      </c>
      <c r="GI30" s="53">
        <f ca="1">INDIRECT("ZS(-1)",0) * 'Correction factor'!$C$13</f>
        <v>102739808.36702201</v>
      </c>
      <c r="GJ30" s="53">
        <f t="shared" ca="1" si="74"/>
        <v>2440945294.367022</v>
      </c>
      <c r="GK30" s="53">
        <f t="shared" ca="1" si="75"/>
        <v>1.7020606506061964</v>
      </c>
      <c r="GL30" s="53">
        <v>441460532</v>
      </c>
      <c r="GM30" s="53">
        <v>2283926489</v>
      </c>
      <c r="GN30" s="53">
        <f ca="1">INDIRECT("ZS(-1)",0) * 'Correction factor'!$C$13</f>
        <v>3167493062.1183534</v>
      </c>
      <c r="GO30" s="53">
        <f t="shared" ca="1" si="76"/>
        <v>3608953594.1183534</v>
      </c>
      <c r="GP30" s="53">
        <f t="shared" ca="1" si="77"/>
        <v>2.4896435301553876</v>
      </c>
      <c r="GQ30" s="53">
        <v>3291382632</v>
      </c>
      <c r="GR30" s="53">
        <v>91124303</v>
      </c>
      <c r="GS30" s="53">
        <f ca="1">INDIRECT("ZS(-1)",0) * 'Correction factor'!$C$13</f>
        <v>126376921.03183566</v>
      </c>
      <c r="GT30" s="53">
        <f t="shared" ca="1" si="78"/>
        <v>3417759553.0318356</v>
      </c>
      <c r="GU30" s="53">
        <f t="shared" ca="1" si="79"/>
        <v>3.5438203048621859</v>
      </c>
      <c r="GV30" s="53">
        <v>3453936791</v>
      </c>
      <c r="GW30" s="53">
        <v>375836615</v>
      </c>
      <c r="GX30" s="53">
        <f ca="1">INDIRECT("ZS(-1)",0) * 'Correction factor'!$C$13</f>
        <v>521233882.19197047</v>
      </c>
      <c r="GY30" s="53">
        <f t="shared" ca="1" si="80"/>
        <v>3975170673.1919703</v>
      </c>
      <c r="GZ30" s="53">
        <f t="shared" ca="1" si="81"/>
        <v>2.8219991985611617</v>
      </c>
      <c r="HA30" s="53">
        <v>755464499</v>
      </c>
      <c r="HB30" s="53">
        <v>8000758770</v>
      </c>
      <c r="HC30" s="53">
        <f ca="1">INDIRECT("ZS(-1)",0) * 'Correction factor'!$C$13</f>
        <v>11095956029.107367</v>
      </c>
      <c r="HD30" s="53">
        <f t="shared" ca="1" si="82"/>
        <v>11851420528.107367</v>
      </c>
      <c r="HE30" s="53">
        <f t="shared" ca="1" si="83"/>
        <v>8.6797019518589327</v>
      </c>
      <c r="HF30" s="53">
        <v>1173320338</v>
      </c>
      <c r="HG30" s="53">
        <v>13897934082</v>
      </c>
      <c r="HH30" s="53">
        <f ca="1">INDIRECT("ZS(-1)",0) * 'Correction factor'!$C$13</f>
        <v>19274530066.765739</v>
      </c>
      <c r="HI30" s="53">
        <f t="shared" ca="1" si="84"/>
        <v>20447850404.765739</v>
      </c>
      <c r="HJ30" s="53">
        <f t="shared" ca="1" si="85"/>
        <v>15.062498743559884</v>
      </c>
      <c r="HK30" s="53">
        <v>2272602052</v>
      </c>
      <c r="HL30" s="53">
        <v>25494058923</v>
      </c>
      <c r="HM30" s="53">
        <f ca="1">INDIRECT("ZS(-1)",0) * 'Correction factor'!$C$13</f>
        <v>35356766144.954063</v>
      </c>
      <c r="HN30" s="53">
        <f t="shared" ca="1" si="86"/>
        <v>37629368196.954063</v>
      </c>
      <c r="HO30" s="53">
        <f t="shared" ca="1" si="87"/>
        <v>28.012968370431064</v>
      </c>
      <c r="HP30" s="53">
        <v>3359629805</v>
      </c>
      <c r="HQ30" s="53">
        <v>13850213</v>
      </c>
      <c r="HR30" s="53">
        <f ca="1">INDIRECT("ZS(-1)",0) * 'Correction factor'!$C$13</f>
        <v>19208347.465495605</v>
      </c>
      <c r="HS30" s="53">
        <f t="shared" ca="1" si="88"/>
        <v>3378838152.4654956</v>
      </c>
      <c r="HT30" s="53">
        <f t="shared" ca="1" si="89"/>
        <v>2.1904752920879056</v>
      </c>
      <c r="HU30" s="53">
        <v>2905900560</v>
      </c>
      <c r="HV30" s="53">
        <v>678157722</v>
      </c>
      <c r="HW30" s="53">
        <f ca="1">INDIRECT("ZS(-1)",0) * 'Correction factor'!$C$13</f>
        <v>940511828.99389148</v>
      </c>
      <c r="HX30" s="53">
        <f t="shared" ca="1" si="90"/>
        <v>3846412388.9938917</v>
      </c>
      <c r="HY30" s="53">
        <f t="shared" ca="1" si="91"/>
        <v>3.0182923313209344</v>
      </c>
      <c r="HZ30" s="53">
        <v>434189109</v>
      </c>
      <c r="IA30" s="53">
        <v>4606995529</v>
      </c>
      <c r="IB30" s="53">
        <f ca="1">INDIRECT("ZS(-1)",0) * 'Correction factor'!$C$13</f>
        <v>6389271478.5698051</v>
      </c>
      <c r="IC30" s="53">
        <f t="shared" ca="1" si="92"/>
        <v>6823460587.5698051</v>
      </c>
      <c r="ID30" s="53">
        <f t="shared" ca="1" si="93"/>
        <v>5.2911353021210354</v>
      </c>
      <c r="IE30" s="53">
        <v>1727579718</v>
      </c>
      <c r="IF30" s="53">
        <v>13196700</v>
      </c>
      <c r="IG30" s="53">
        <f ca="1">INDIRECT("ZS(-1)",0) * 'Correction factor'!$C$13</f>
        <v>18302014.488723449</v>
      </c>
      <c r="IH30" s="53">
        <f t="shared" ca="1" si="94"/>
        <v>1745881732.4887235</v>
      </c>
      <c r="II30" s="61">
        <f t="shared" ca="1" si="95"/>
        <v>1.3359690845012406</v>
      </c>
    </row>
    <row r="31" spans="1:243" x14ac:dyDescent="0.25">
      <c r="A31" s="5">
        <v>27</v>
      </c>
      <c r="B31" s="30">
        <v>45518</v>
      </c>
      <c r="C31" s="29" t="s">
        <v>37</v>
      </c>
      <c r="D31" s="52">
        <v>9165723247</v>
      </c>
      <c r="E31" s="53">
        <v>24397463</v>
      </c>
      <c r="F31" s="53">
        <f ca="1">INDIRECT("ZS(-1)",0) * 'Correction factor'!$C$13</f>
        <v>33835937.871899359</v>
      </c>
      <c r="G31" s="53">
        <f t="shared" ca="1" si="0"/>
        <v>9199559184.8718987</v>
      </c>
      <c r="H31" s="53">
        <f t="shared" ca="1" si="1"/>
        <v>6.6535568218985075</v>
      </c>
      <c r="I31" s="53">
        <v>6803674345</v>
      </c>
      <c r="J31" s="53">
        <v>53057787</v>
      </c>
      <c r="K31" s="53">
        <f ca="1">INDIRECT("ZS(-1)",0) * 'Correction factor'!$C$13</f>
        <v>73583879.789159611</v>
      </c>
      <c r="L31" s="53">
        <f t="shared" ca="1" si="2"/>
        <v>6877258224.7891598</v>
      </c>
      <c r="M31" s="53">
        <f t="shared" ca="1" si="3"/>
        <v>4.508066482678819</v>
      </c>
      <c r="N31" s="53">
        <v>6554414009</v>
      </c>
      <c r="O31" s="53">
        <v>16013307</v>
      </c>
      <c r="P31" s="53">
        <f ca="1">INDIRECT("ZS(-1)",0) * 'Correction factor'!$C$13</f>
        <v>22208262.423664749</v>
      </c>
      <c r="Q31" s="53">
        <f t="shared" ca="1" si="4"/>
        <v>6576622271.423665</v>
      </c>
      <c r="R31" s="53">
        <f t="shared" ca="1" si="5"/>
        <v>5.1199235425837788</v>
      </c>
      <c r="S31" s="53">
        <v>0</v>
      </c>
      <c r="T31" s="53">
        <v>0</v>
      </c>
      <c r="U31" s="53">
        <f ca="1">INDIRECT("ZS(-1)",0) * 'Correction factor'!$C$13</f>
        <v>0</v>
      </c>
      <c r="V31" s="53">
        <f t="shared" ca="1" si="6"/>
        <v>0</v>
      </c>
      <c r="W31" s="53">
        <f t="shared" ca="1" si="7"/>
        <v>0</v>
      </c>
      <c r="X31" s="53">
        <v>8721961173</v>
      </c>
      <c r="Y31" s="53">
        <v>27356170</v>
      </c>
      <c r="Z31" s="53">
        <f ca="1">INDIRECT("ZS(-1)",0) * 'Correction factor'!$C$13</f>
        <v>37939259.034151092</v>
      </c>
      <c r="AA31" s="53">
        <f t="shared" ca="1" si="8"/>
        <v>8759900432.0341511</v>
      </c>
      <c r="AB31" s="53">
        <f t="shared" ca="1" si="9"/>
        <v>6.1094115683240258</v>
      </c>
      <c r="AC31" s="53">
        <v>7970820024</v>
      </c>
      <c r="AD31" s="53">
        <v>33176898</v>
      </c>
      <c r="AE31" s="53">
        <f ca="1">INDIRECT("ZS(-1)",0) * 'Correction factor'!$C$13</f>
        <v>46011811.126031511</v>
      </c>
      <c r="AF31" s="53">
        <f t="shared" ca="1" si="10"/>
        <v>8016831835.1260319</v>
      </c>
      <c r="AG31" s="53">
        <f t="shared" ca="1" si="11"/>
        <v>5.1717714134481039</v>
      </c>
      <c r="AH31" s="53">
        <v>0</v>
      </c>
      <c r="AI31" s="53">
        <v>0</v>
      </c>
      <c r="AJ31" s="53">
        <f ca="1">INDIRECT("ZS(-1)",0) * 'Correction factor'!$C$13</f>
        <v>0</v>
      </c>
      <c r="AK31" s="53">
        <f t="shared" ca="1" si="12"/>
        <v>0</v>
      </c>
      <c r="AL31" s="53">
        <f t="shared" ca="1" si="13"/>
        <v>0</v>
      </c>
      <c r="AM31" s="53">
        <v>688004699</v>
      </c>
      <c r="AN31" s="53">
        <v>7152615636</v>
      </c>
      <c r="AO31" s="53">
        <f ca="1">INDIRECT("ZS(-1)",0) * 'Correction factor'!$C$13</f>
        <v>9919697727.6396275</v>
      </c>
      <c r="AP31" s="53">
        <f t="shared" ca="1" si="14"/>
        <v>10607702426.639627</v>
      </c>
      <c r="AQ31" s="53">
        <f t="shared" ca="1" si="15"/>
        <v>6.8887836051327795</v>
      </c>
      <c r="AR31" s="53">
        <v>0</v>
      </c>
      <c r="AS31" s="53">
        <v>0</v>
      </c>
      <c r="AT31" s="53">
        <f ca="1">INDIRECT("ZS(-1)",0) * 'Correction factor'!$C$13</f>
        <v>0</v>
      </c>
      <c r="AU31" s="53">
        <f t="shared" ca="1" si="16"/>
        <v>0</v>
      </c>
      <c r="AV31" s="53">
        <f t="shared" ca="1" si="17"/>
        <v>0</v>
      </c>
      <c r="AW31" s="53">
        <v>0</v>
      </c>
      <c r="AX31" s="53">
        <v>0</v>
      </c>
      <c r="AY31" s="53">
        <f ca="1">INDIRECT("ZS(-1)",0) * 'Correction factor'!$C$13</f>
        <v>0</v>
      </c>
      <c r="AZ31" s="53">
        <f t="shared" ca="1" si="18"/>
        <v>0</v>
      </c>
      <c r="BA31" s="53">
        <f t="shared" ca="1" si="19"/>
        <v>0</v>
      </c>
      <c r="BB31" s="53">
        <v>117456754</v>
      </c>
      <c r="BC31" s="53">
        <v>106668897</v>
      </c>
      <c r="BD31" s="53">
        <f ca="1">INDIRECT("ZS(-1)",0) * 'Correction factor'!$C$13</f>
        <v>147935142.75463936</v>
      </c>
      <c r="BE31" s="53">
        <f t="shared" ca="1" si="20"/>
        <v>265391896.75463936</v>
      </c>
      <c r="BF31" s="53">
        <f t="shared" ca="1" si="21"/>
        <v>0.18013939217342589</v>
      </c>
      <c r="BG31" s="53">
        <v>137642135</v>
      </c>
      <c r="BH31" s="53">
        <v>16402328</v>
      </c>
      <c r="BI31" s="53">
        <f ca="1">INDIRECT("ZS(-1)",0) * 'Correction factor'!$C$13</f>
        <v>22747781.241128031</v>
      </c>
      <c r="BJ31" s="53">
        <f t="shared" ca="1" si="22"/>
        <v>160389916.24112803</v>
      </c>
      <c r="BK31" s="53">
        <f t="shared" ca="1" si="23"/>
        <v>9.7693095489884307E-2</v>
      </c>
      <c r="BL31" s="53">
        <v>2103799023</v>
      </c>
      <c r="BM31" s="53">
        <v>23688848006</v>
      </c>
      <c r="BN31" s="53">
        <f ca="1">INDIRECT("ZS(-1)",0) * 'Correction factor'!$C$13</f>
        <v>32853185980.357178</v>
      </c>
      <c r="BO31" s="53">
        <f t="shared" ca="1" si="24"/>
        <v>34956985003.357178</v>
      </c>
      <c r="BP31" s="53">
        <f t="shared" ca="1" si="25"/>
        <v>167.65472370386971</v>
      </c>
      <c r="BQ31" s="53">
        <v>2094843225</v>
      </c>
      <c r="BR31" s="53">
        <v>24056394349</v>
      </c>
      <c r="BS31" s="53">
        <f ca="1">INDIRECT("ZS(-1)",0) * 'Correction factor'!$C$13</f>
        <v>33362922391.34351</v>
      </c>
      <c r="BT31" s="53">
        <f t="shared" ca="1" si="26"/>
        <v>35457765616.343506</v>
      </c>
      <c r="BU31" s="53">
        <f t="shared" ca="1" si="27"/>
        <v>208.16756221936012</v>
      </c>
      <c r="BV31" s="53">
        <v>0</v>
      </c>
      <c r="BW31" s="53">
        <v>0</v>
      </c>
      <c r="BX31" s="53">
        <f ca="1">INDIRECT("ZS(-1)",0) * 'Correction factor'!$C$13</f>
        <v>0</v>
      </c>
      <c r="BY31" s="53">
        <f t="shared" ca="1" si="28"/>
        <v>0</v>
      </c>
      <c r="BZ31" s="53">
        <f t="shared" ca="1" si="29"/>
        <v>0</v>
      </c>
      <c r="CA31" s="53">
        <v>1668900633</v>
      </c>
      <c r="CB31" s="53">
        <v>19526750900</v>
      </c>
      <c r="CC31" s="53">
        <f ca="1">INDIRECT("ZS(-1)",0) * 'Correction factor'!$C$13</f>
        <v>27080927647.782677</v>
      </c>
      <c r="CD31" s="53">
        <f t="shared" ca="1" si="30"/>
        <v>28749828280.782677</v>
      </c>
      <c r="CE31" s="53">
        <f t="shared" ca="1" si="31"/>
        <v>162.73125511026737</v>
      </c>
      <c r="CF31" s="53">
        <v>0</v>
      </c>
      <c r="CG31" s="53">
        <v>0</v>
      </c>
      <c r="CH31" s="53">
        <f ca="1">INDIRECT("ZS(-1)",0) * 'Correction factor'!$C$13</f>
        <v>0</v>
      </c>
      <c r="CI31" s="53">
        <f t="shared" ca="1" si="32"/>
        <v>0</v>
      </c>
      <c r="CJ31" s="53">
        <f t="shared" ca="1" si="33"/>
        <v>0</v>
      </c>
      <c r="CK31" s="53">
        <v>0</v>
      </c>
      <c r="CL31" s="53">
        <v>0</v>
      </c>
      <c r="CM31" s="53">
        <f ca="1">INDIRECT("ZS(-1)",0) * 'Correction factor'!$C$13</f>
        <v>0</v>
      </c>
      <c r="CN31" s="53">
        <f t="shared" ca="1" si="34"/>
        <v>0</v>
      </c>
      <c r="CO31" s="53">
        <f t="shared" ca="1" si="35"/>
        <v>0</v>
      </c>
      <c r="CP31" s="53">
        <v>2602898728</v>
      </c>
      <c r="CQ31" s="53">
        <v>27312115</v>
      </c>
      <c r="CR31" s="53">
        <f ca="1">INDIRECT("ZS(-1)",0) * 'Correction factor'!$C$13</f>
        <v>37878160.786233</v>
      </c>
      <c r="CS31" s="53">
        <f t="shared" ca="1" si="36"/>
        <v>2640776888.7862329</v>
      </c>
      <c r="CT31" s="53">
        <f t="shared" ca="1" si="37"/>
        <v>1.7989759699703811</v>
      </c>
      <c r="CU31" s="53">
        <v>1388741554</v>
      </c>
      <c r="CV31" s="53">
        <v>43837376</v>
      </c>
      <c r="CW31" s="53">
        <f ca="1">INDIRECT("ZS(-1)",0) * 'Correction factor'!$C$13</f>
        <v>60796433.252223477</v>
      </c>
      <c r="CX31" s="53">
        <f t="shared" ca="1" si="38"/>
        <v>1449537987.2522235</v>
      </c>
      <c r="CY31" s="53">
        <f t="shared" ca="1" si="39"/>
        <v>1.1090661197831302</v>
      </c>
      <c r="CZ31" s="53">
        <v>0</v>
      </c>
      <c r="DA31" s="53">
        <v>0</v>
      </c>
      <c r="DB31" s="53">
        <f ca="1">INDIRECT("ZS(-1)",0) * 'Correction factor'!$C$13</f>
        <v>0</v>
      </c>
      <c r="DC31" s="53">
        <f t="shared" ca="1" si="40"/>
        <v>0</v>
      </c>
      <c r="DD31" s="53">
        <f t="shared" ca="1" si="41"/>
        <v>0</v>
      </c>
      <c r="DE31" s="53">
        <v>2513582679</v>
      </c>
      <c r="DF31" s="53">
        <v>2682446869</v>
      </c>
      <c r="DG31" s="53">
        <f ca="1">INDIRECT("ZS(-1)",0) * 'Correction factor'!$C$13</f>
        <v>3720186217.8930225</v>
      </c>
      <c r="DH31" s="53">
        <f t="shared" ca="1" si="42"/>
        <v>6233768896.8930225</v>
      </c>
      <c r="DI31" s="53">
        <f t="shared" ca="1" si="43"/>
        <v>4.5390414654394844</v>
      </c>
      <c r="DJ31" s="53">
        <v>1145017963</v>
      </c>
      <c r="DK31" s="53">
        <v>7409823475</v>
      </c>
      <c r="DL31" s="53">
        <f ca="1">INDIRECT("ZS(-1)",0) * 'Correction factor'!$C$13</f>
        <v>10276409753.82733</v>
      </c>
      <c r="DM31" s="53">
        <f t="shared" ca="1" si="44"/>
        <v>11421427716.82733</v>
      </c>
      <c r="DN31" s="53">
        <f t="shared" ca="1" si="45"/>
        <v>9.4140006620260532</v>
      </c>
      <c r="DO31" s="53">
        <v>3317208110</v>
      </c>
      <c r="DP31" s="53">
        <v>612335917</v>
      </c>
      <c r="DQ31" s="53">
        <f ca="1">INDIRECT("ZS(-1)",0) * 'Correction factor'!$C$13</f>
        <v>849226005.3573817</v>
      </c>
      <c r="DR31" s="53">
        <f t="shared" ca="1" si="46"/>
        <v>4166434115.3573818</v>
      </c>
      <c r="DS31" s="53">
        <f t="shared" ca="1" si="47"/>
        <v>3.1389881862142688</v>
      </c>
      <c r="DT31" s="53">
        <v>1226629172</v>
      </c>
      <c r="DU31" s="53">
        <v>11424259078</v>
      </c>
      <c r="DV31" s="53">
        <f ca="1">INDIRECT("ZS(-1)",0) * 'Correction factor'!$C$13</f>
        <v>15843881816.551592</v>
      </c>
      <c r="DW31" s="53">
        <f t="shared" ca="1" si="48"/>
        <v>17070510988.551592</v>
      </c>
      <c r="DX31" s="53">
        <f t="shared" ca="1" si="49"/>
        <v>12.570293594050982</v>
      </c>
      <c r="DY31" s="53">
        <v>1257480798</v>
      </c>
      <c r="DZ31" s="53">
        <v>11914635915</v>
      </c>
      <c r="EA31" s="53">
        <f ca="1">INDIRECT("ZS(-1)",0) * 'Correction factor'!$C$13</f>
        <v>16523967290.62529</v>
      </c>
      <c r="EB31" s="53">
        <f t="shared" ca="1" si="50"/>
        <v>17781448088.62529</v>
      </c>
      <c r="EC31" s="53">
        <f t="shared" ca="1" si="51"/>
        <v>12.575042524638359</v>
      </c>
      <c r="ED31" s="53">
        <v>0</v>
      </c>
      <c r="EE31" s="53">
        <v>0</v>
      </c>
      <c r="EF31" s="53">
        <f ca="1">INDIRECT("ZS(-1)",0) * 'Correction factor'!$C$13</f>
        <v>0</v>
      </c>
      <c r="EG31" s="53">
        <f t="shared" ca="1" si="52"/>
        <v>0</v>
      </c>
      <c r="EH31" s="53">
        <f t="shared" ca="1" si="53"/>
        <v>0</v>
      </c>
      <c r="EI31" s="53">
        <v>903759663</v>
      </c>
      <c r="EJ31" s="53">
        <v>8229660330</v>
      </c>
      <c r="EK31" s="53">
        <f ca="1">INDIRECT("ZS(-1)",0) * 'Correction factor'!$C$13</f>
        <v>11413411125.276213</v>
      </c>
      <c r="EL31" s="53">
        <f t="shared" ca="1" si="54"/>
        <v>12317170788.276213</v>
      </c>
      <c r="EM31" s="53">
        <f t="shared" ca="1" si="55"/>
        <v>9.359246368104257</v>
      </c>
      <c r="EN31" s="53">
        <v>4495314802</v>
      </c>
      <c r="EO31" s="53">
        <v>83043352</v>
      </c>
      <c r="EP31" s="53">
        <f ca="1">INDIRECT("ZS(-1)",0) * 'Correction factor'!$C$13</f>
        <v>115169749.36886959</v>
      </c>
      <c r="EQ31" s="53">
        <f t="shared" ca="1" si="56"/>
        <v>4610484551.3688698</v>
      </c>
      <c r="ER31" s="53">
        <f t="shared" ca="1" si="57"/>
        <v>3.1347464833632777</v>
      </c>
      <c r="ES31" s="53">
        <v>4111614445</v>
      </c>
      <c r="ET31" s="53">
        <v>93342773</v>
      </c>
      <c r="EU31" s="53">
        <f ca="1">INDIRECT("ZS(-1)",0) * 'Correction factor'!$C$13</f>
        <v>129453634.91354838</v>
      </c>
      <c r="EV31" s="53">
        <f t="shared" ca="1" si="58"/>
        <v>4241068079.9135485</v>
      </c>
      <c r="EW31" s="53">
        <f t="shared" ca="1" si="59"/>
        <v>2.8990354160333061</v>
      </c>
      <c r="EX31" s="53">
        <v>4323854726</v>
      </c>
      <c r="EY31" s="53">
        <v>70829413</v>
      </c>
      <c r="EZ31" s="53">
        <f ca="1">INDIRECT("ZS(-1)",0) * 'Correction factor'!$C$13</f>
        <v>98230689.714381397</v>
      </c>
      <c r="FA31" s="53">
        <f t="shared" ca="1" si="60"/>
        <v>4422085415.7143812</v>
      </c>
      <c r="FB31" s="53">
        <f t="shared" ca="1" si="61"/>
        <v>3.1528130753534942</v>
      </c>
      <c r="FC31" s="53">
        <v>2202376122</v>
      </c>
      <c r="FD31" s="53">
        <v>4112165800</v>
      </c>
      <c r="FE31" s="53">
        <f ca="1">INDIRECT("ZS(-1)",0) * 'Correction factor'!$C$13</f>
        <v>5703010453.4946651</v>
      </c>
      <c r="FF31" s="53">
        <f t="shared" ca="1" si="62"/>
        <v>7905386575.4946651</v>
      </c>
      <c r="FG31" s="53">
        <f t="shared" ca="1" si="63"/>
        <v>6.1009394982014378</v>
      </c>
      <c r="FH31" s="53">
        <v>4124678741</v>
      </c>
      <c r="FI31" s="53">
        <v>1950834599</v>
      </c>
      <c r="FJ31" s="53">
        <f ca="1">INDIRECT("ZS(-1)",0) * 'Correction factor'!$C$13</f>
        <v>2705540255.9731598</v>
      </c>
      <c r="FK31" s="53">
        <f t="shared" ca="1" si="64"/>
        <v>6830218996.9731598</v>
      </c>
      <c r="FL31" s="53">
        <f t="shared" ca="1" si="65"/>
        <v>3.8477972413873771</v>
      </c>
      <c r="FM31" s="53">
        <v>3426963290</v>
      </c>
      <c r="FN31" s="53">
        <v>107154037</v>
      </c>
      <c r="FO31" s="53">
        <f ca="1">INDIRECT("ZS(-1)",0) * 'Correction factor'!$C$13</f>
        <v>148607965.4534246</v>
      </c>
      <c r="FP31" s="53">
        <f t="shared" ca="1" si="66"/>
        <v>3575571255.4534245</v>
      </c>
      <c r="FQ31" s="53">
        <f t="shared" ca="1" si="67"/>
        <v>2.5268979478908733</v>
      </c>
      <c r="FR31" s="53">
        <v>3087847243</v>
      </c>
      <c r="FS31" s="53">
        <v>175490484</v>
      </c>
      <c r="FT31" s="53">
        <f ca="1">INDIRECT("ZS(-1)",0) * 'Correction factor'!$C$13</f>
        <v>243381252.94968367</v>
      </c>
      <c r="FU31" s="53">
        <f t="shared" ca="1" si="68"/>
        <v>3331228495.9496837</v>
      </c>
      <c r="FV31" s="53">
        <f t="shared" ca="1" si="69"/>
        <v>2.3238804869600833</v>
      </c>
      <c r="FW31" s="53">
        <v>1321675405</v>
      </c>
      <c r="FX31" s="53">
        <v>12155980859</v>
      </c>
      <c r="FY31" s="53">
        <f ca="1">INDIRECT("ZS(-1)",0) * 'Correction factor'!$C$13</f>
        <v>16858679655.221601</v>
      </c>
      <c r="FZ31" s="53">
        <f t="shared" ca="1" si="70"/>
        <v>18180355060.221603</v>
      </c>
      <c r="GA31" s="53">
        <f t="shared" ca="1" si="71"/>
        <v>14.589719919682867</v>
      </c>
      <c r="GB31" s="53">
        <v>3365219458</v>
      </c>
      <c r="GC31" s="53">
        <v>50753680</v>
      </c>
      <c r="GD31" s="53">
        <f ca="1">INDIRECT("ZS(-1)",0) * 'Correction factor'!$C$13</f>
        <v>70388399.123722866</v>
      </c>
      <c r="GE31" s="53">
        <f t="shared" ca="1" si="72"/>
        <v>3435607857.123723</v>
      </c>
      <c r="GF31" s="53">
        <f t="shared" ca="1" si="73"/>
        <v>2.3958048777541512</v>
      </c>
      <c r="GG31" s="53">
        <v>2369341427</v>
      </c>
      <c r="GH31" s="53">
        <v>77029255</v>
      </c>
      <c r="GI31" s="53">
        <f ca="1">INDIRECT("ZS(-1)",0) * 'Correction factor'!$C$13</f>
        <v>106829020.97233196</v>
      </c>
      <c r="GJ31" s="53">
        <f t="shared" ca="1" si="74"/>
        <v>2476170447.972332</v>
      </c>
      <c r="GK31" s="53">
        <f t="shared" ca="1" si="75"/>
        <v>1.7266229986446864</v>
      </c>
      <c r="GL31" s="53">
        <v>462330174</v>
      </c>
      <c r="GM31" s="53">
        <v>3019733831</v>
      </c>
      <c r="GN31" s="53">
        <f ca="1">INDIRECT("ZS(-1)",0) * 'Correction factor'!$C$13</f>
        <v>4187957014.0300503</v>
      </c>
      <c r="GO31" s="53">
        <f t="shared" ca="1" si="76"/>
        <v>4650287188.0300503</v>
      </c>
      <c r="GP31" s="53">
        <f t="shared" ca="1" si="77"/>
        <v>3.2080094989062435</v>
      </c>
      <c r="GQ31" s="53">
        <v>3458216699</v>
      </c>
      <c r="GR31" s="53">
        <v>94723161</v>
      </c>
      <c r="GS31" s="53">
        <f ca="1">INDIRECT("ZS(-1)",0) * 'Correction factor'!$C$13</f>
        <v>131368043.90792273</v>
      </c>
      <c r="GT31" s="53">
        <f t="shared" ca="1" si="78"/>
        <v>3589584742.9079227</v>
      </c>
      <c r="GU31" s="53">
        <f t="shared" ca="1" si="79"/>
        <v>3.7219831004952253</v>
      </c>
      <c r="GV31" s="53">
        <v>3758007787</v>
      </c>
      <c r="GW31" s="53">
        <v>442954036</v>
      </c>
      <c r="GX31" s="53">
        <f ca="1">INDIRECT("ZS(-1)",0) * 'Correction factor'!$C$13</f>
        <v>614316547.67559528</v>
      </c>
      <c r="GY31" s="53">
        <f t="shared" ca="1" si="80"/>
        <v>4372324334.6755953</v>
      </c>
      <c r="GZ31" s="53">
        <f t="shared" ca="1" si="81"/>
        <v>3.1039411342799799</v>
      </c>
      <c r="HA31" s="53">
        <v>884505484</v>
      </c>
      <c r="HB31" s="53">
        <v>9739169715</v>
      </c>
      <c r="HC31" s="53">
        <f ca="1">INDIRECT("ZS(-1)",0) * 'Correction factor'!$C$13</f>
        <v>13506893786.48197</v>
      </c>
      <c r="HD31" s="53">
        <f t="shared" ca="1" si="82"/>
        <v>14391399270.48197</v>
      </c>
      <c r="HE31" s="53">
        <f t="shared" ca="1" si="83"/>
        <v>10.539922707301972</v>
      </c>
      <c r="HF31" s="53">
        <v>1329727667</v>
      </c>
      <c r="HG31" s="53">
        <v>15470717269</v>
      </c>
      <c r="HH31" s="53">
        <f ca="1">INDIRECT("ZS(-1)",0) * 'Correction factor'!$C$13</f>
        <v>21455764820.612885</v>
      </c>
      <c r="HI31" s="53">
        <f t="shared" ca="1" si="84"/>
        <v>22785492487.612885</v>
      </c>
      <c r="HJ31" s="53">
        <f t="shared" ca="1" si="85"/>
        <v>16.784475882417048</v>
      </c>
      <c r="HK31" s="53">
        <v>2567788794</v>
      </c>
      <c r="HL31" s="53">
        <v>27980004971</v>
      </c>
      <c r="HM31" s="53">
        <f ca="1">INDIRECT("ZS(-1)",0) * 'Correction factor'!$C$13</f>
        <v>38804432651.632309</v>
      </c>
      <c r="HN31" s="53">
        <f t="shared" ca="1" si="86"/>
        <v>41372221445.632309</v>
      </c>
      <c r="HO31" s="53">
        <f t="shared" ca="1" si="87"/>
        <v>30.799314107664991</v>
      </c>
      <c r="HP31" s="53">
        <v>3689093254</v>
      </c>
      <c r="HQ31" s="53">
        <v>14179449</v>
      </c>
      <c r="HR31" s="53">
        <f ca="1">INDIRECT("ZS(-1)",0) * 'Correction factor'!$C$13</f>
        <v>19664952.68060312</v>
      </c>
      <c r="HS31" s="53">
        <f t="shared" ca="1" si="88"/>
        <v>3708758206.680603</v>
      </c>
      <c r="HT31" s="53">
        <f t="shared" ca="1" si="89"/>
        <v>2.4043599750802422</v>
      </c>
      <c r="HU31" s="53">
        <v>3035715276</v>
      </c>
      <c r="HV31" s="53">
        <v>776435865</v>
      </c>
      <c r="HW31" s="53">
        <f ca="1">INDIRECT("ZS(-1)",0) * 'Correction factor'!$C$13</f>
        <v>1076810145.7784538</v>
      </c>
      <c r="HX31" s="53">
        <f t="shared" ca="1" si="90"/>
        <v>4112525421.7784538</v>
      </c>
      <c r="HY31" s="53">
        <f t="shared" ca="1" si="91"/>
        <v>3.2271120950094287</v>
      </c>
      <c r="HZ31" s="53">
        <v>467928618</v>
      </c>
      <c r="IA31" s="53">
        <v>5311224338</v>
      </c>
      <c r="IB31" s="53">
        <f ca="1">INDIRECT("ZS(-1)",0) * 'Correction factor'!$C$13</f>
        <v>7365940332.5783415</v>
      </c>
      <c r="IC31" s="53">
        <f t="shared" ca="1" si="92"/>
        <v>7833868950.5783415</v>
      </c>
      <c r="ID31" s="53">
        <f t="shared" ca="1" si="93"/>
        <v>6.0746391108499811</v>
      </c>
      <c r="IE31" s="53">
        <v>1937608043</v>
      </c>
      <c r="IF31" s="53">
        <v>13061812</v>
      </c>
      <c r="IG31" s="53">
        <f ca="1">INDIRECT("ZS(-1)",0) * 'Correction factor'!$C$13</f>
        <v>18114943.31711578</v>
      </c>
      <c r="IH31" s="53">
        <f t="shared" ca="1" si="94"/>
        <v>1955722986.3171158</v>
      </c>
      <c r="II31" s="61">
        <f t="shared" ca="1" si="95"/>
        <v>1.4965420617830911</v>
      </c>
    </row>
    <row r="32" spans="1:243" x14ac:dyDescent="0.25">
      <c r="A32" s="57">
        <v>28</v>
      </c>
      <c r="B32" s="56">
        <v>45519</v>
      </c>
      <c r="C32" s="29" t="s">
        <v>38</v>
      </c>
      <c r="D32" s="52">
        <v>8421712315</v>
      </c>
      <c r="E32" s="53">
        <v>24719653</v>
      </c>
      <c r="F32" s="53">
        <f ca="1">INDIRECT("ZS(-1)",0) * 'Correction factor'!$C$13</f>
        <v>34282771.250556283</v>
      </c>
      <c r="G32" s="53">
        <f t="shared" ca="1" si="0"/>
        <v>8455995086.250556</v>
      </c>
      <c r="H32" s="53">
        <f t="shared" ca="1" si="1"/>
        <v>6.1157760563769967</v>
      </c>
      <c r="I32" s="53">
        <v>6462717469</v>
      </c>
      <c r="J32" s="53">
        <v>54089505</v>
      </c>
      <c r="K32" s="53">
        <f ca="1">INDIRECT("ZS(-1)",0) * 'Correction factor'!$C$13</f>
        <v>75014731.273566827</v>
      </c>
      <c r="L32" s="53">
        <f t="shared" ca="1" si="2"/>
        <v>6537732200.2735672</v>
      </c>
      <c r="M32" s="53">
        <f t="shared" ca="1" si="3"/>
        <v>4.2855060027481917</v>
      </c>
      <c r="N32" s="53">
        <v>5659341452</v>
      </c>
      <c r="O32" s="53">
        <v>15568311</v>
      </c>
      <c r="P32" s="53">
        <f ca="1">INDIRECT("ZS(-1)",0) * 'Correction factor'!$C$13</f>
        <v>21591113.951741923</v>
      </c>
      <c r="Q32" s="53">
        <f t="shared" ca="1" si="4"/>
        <v>5680932565.9517422</v>
      </c>
      <c r="R32" s="53">
        <f t="shared" ca="1" si="5"/>
        <v>4.4226259602333613</v>
      </c>
      <c r="S32" s="53">
        <v>0</v>
      </c>
      <c r="T32" s="53">
        <v>0</v>
      </c>
      <c r="U32" s="53">
        <f ca="1">INDIRECT("ZS(-1)",0) * 'Correction factor'!$C$13</f>
        <v>0</v>
      </c>
      <c r="V32" s="53">
        <f t="shared" ca="1" si="6"/>
        <v>0</v>
      </c>
      <c r="W32" s="53">
        <f t="shared" ca="1" si="7"/>
        <v>0</v>
      </c>
      <c r="X32" s="53">
        <v>8243684196</v>
      </c>
      <c r="Y32" s="53">
        <v>28099188</v>
      </c>
      <c r="Z32" s="53">
        <f ca="1">INDIRECT("ZS(-1)",0) * 'Correction factor'!$C$13</f>
        <v>38969723.180595458</v>
      </c>
      <c r="AA32" s="53">
        <f t="shared" ca="1" si="8"/>
        <v>8282653919.1805954</v>
      </c>
      <c r="AB32" s="53">
        <f t="shared" ca="1" si="9"/>
        <v>5.7765658483079187</v>
      </c>
      <c r="AC32" s="53">
        <v>7004483586</v>
      </c>
      <c r="AD32" s="53">
        <v>33703027</v>
      </c>
      <c r="AE32" s="53">
        <f ca="1">INDIRECT("ZS(-1)",0) * 'Correction factor'!$C$13</f>
        <v>46741479.950884506</v>
      </c>
      <c r="AF32" s="53">
        <f t="shared" ca="1" si="10"/>
        <v>7051225065.9508848</v>
      </c>
      <c r="AG32" s="53">
        <f t="shared" ca="1" si="11"/>
        <v>4.5488448524129739</v>
      </c>
      <c r="AH32" s="53">
        <v>0</v>
      </c>
      <c r="AI32" s="53">
        <v>0</v>
      </c>
      <c r="AJ32" s="53">
        <f ca="1">INDIRECT("ZS(-1)",0) * 'Correction factor'!$C$13</f>
        <v>0</v>
      </c>
      <c r="AK32" s="53">
        <f t="shared" ca="1" si="12"/>
        <v>0</v>
      </c>
      <c r="AL32" s="53">
        <f t="shared" ca="1" si="13"/>
        <v>0</v>
      </c>
      <c r="AM32" s="53">
        <v>703983392</v>
      </c>
      <c r="AN32" s="53">
        <v>7342617552</v>
      </c>
      <c r="AO32" s="53">
        <f ca="1">INDIRECT("ZS(-1)",0) * 'Correction factor'!$C$13</f>
        <v>10183204348.197586</v>
      </c>
      <c r="AP32" s="53">
        <f t="shared" ca="1" si="14"/>
        <v>10887187740.197586</v>
      </c>
      <c r="AQ32" s="53">
        <f t="shared" ca="1" si="15"/>
        <v>7.070285099846501</v>
      </c>
      <c r="AR32" s="53">
        <v>0</v>
      </c>
      <c r="AS32" s="53">
        <v>0</v>
      </c>
      <c r="AT32" s="53">
        <f ca="1">INDIRECT("ZS(-1)",0) * 'Correction factor'!$C$13</f>
        <v>0</v>
      </c>
      <c r="AU32" s="53">
        <f t="shared" ca="1" si="16"/>
        <v>0</v>
      </c>
      <c r="AV32" s="53">
        <f t="shared" ca="1" si="17"/>
        <v>0</v>
      </c>
      <c r="AW32" s="53">
        <v>0</v>
      </c>
      <c r="AX32" s="53">
        <v>0</v>
      </c>
      <c r="AY32" s="53">
        <f ca="1">INDIRECT("ZS(-1)",0) * 'Correction factor'!$C$13</f>
        <v>0</v>
      </c>
      <c r="AZ32" s="53">
        <f t="shared" ca="1" si="18"/>
        <v>0</v>
      </c>
      <c r="BA32" s="53">
        <f t="shared" ca="1" si="19"/>
        <v>0</v>
      </c>
      <c r="BB32" s="53">
        <v>114639085</v>
      </c>
      <c r="BC32" s="53">
        <v>102636131</v>
      </c>
      <c r="BD32" s="53">
        <f ca="1">INDIRECT("ZS(-1)",0) * 'Correction factor'!$C$13</f>
        <v>142342248.94318411</v>
      </c>
      <c r="BE32" s="53">
        <f t="shared" ca="1" si="20"/>
        <v>256981333.94318411</v>
      </c>
      <c r="BF32" s="53">
        <f t="shared" ca="1" si="21"/>
        <v>0.17443057554707392</v>
      </c>
      <c r="BG32" s="53">
        <v>135333031</v>
      </c>
      <c r="BH32" s="53">
        <v>16906685</v>
      </c>
      <c r="BI32" s="53">
        <f ca="1">INDIRECT("ZS(-1)",0) * 'Correction factor'!$C$13</f>
        <v>23447255.285509512</v>
      </c>
      <c r="BJ32" s="53">
        <f t="shared" ca="1" si="22"/>
        <v>158780286.28550953</v>
      </c>
      <c r="BK32" s="53">
        <f t="shared" ca="1" si="23"/>
        <v>9.6712673923224163E-2</v>
      </c>
      <c r="BL32" s="53">
        <v>2042373973</v>
      </c>
      <c r="BM32" s="53">
        <v>23458576605</v>
      </c>
      <c r="BN32" s="53">
        <f ca="1">INDIRECT("ZS(-1)",0) * 'Correction factor'!$C$13</f>
        <v>32533831102.437649</v>
      </c>
      <c r="BO32" s="53">
        <f t="shared" ca="1" si="24"/>
        <v>34576205075.437653</v>
      </c>
      <c r="BP32" s="53">
        <f t="shared" ca="1" si="25"/>
        <v>165.828492019381</v>
      </c>
      <c r="BQ32" s="53">
        <v>1988142974</v>
      </c>
      <c r="BR32" s="53">
        <v>23266278909</v>
      </c>
      <c r="BS32" s="53">
        <f ca="1">INDIRECT("ZS(-1)",0) * 'Correction factor'!$C$13</f>
        <v>32267140549.622162</v>
      </c>
      <c r="BT32" s="53">
        <f t="shared" ca="1" si="26"/>
        <v>34255283523.622162</v>
      </c>
      <c r="BU32" s="53">
        <f t="shared" ca="1" si="27"/>
        <v>201.10795873044603</v>
      </c>
      <c r="BV32" s="53">
        <v>0</v>
      </c>
      <c r="BW32" s="53">
        <v>0</v>
      </c>
      <c r="BX32" s="53">
        <f ca="1">INDIRECT("ZS(-1)",0) * 'Correction factor'!$C$13</f>
        <v>0</v>
      </c>
      <c r="BY32" s="53">
        <f t="shared" ca="1" si="28"/>
        <v>0</v>
      </c>
      <c r="BZ32" s="53">
        <f t="shared" ca="1" si="29"/>
        <v>0</v>
      </c>
      <c r="CA32" s="53">
        <v>1601666126</v>
      </c>
      <c r="CB32" s="53">
        <v>18801374695</v>
      </c>
      <c r="CC32" s="53">
        <f ca="1">INDIRECT("ZS(-1)",0) * 'Correction factor'!$C$13</f>
        <v>26074930253.457939</v>
      </c>
      <c r="CD32" s="53">
        <f t="shared" ca="1" si="30"/>
        <v>27676596379.457939</v>
      </c>
      <c r="CE32" s="53">
        <f t="shared" ca="1" si="31"/>
        <v>156.65649276312342</v>
      </c>
      <c r="CF32" s="53">
        <v>0</v>
      </c>
      <c r="CG32" s="53">
        <v>0</v>
      </c>
      <c r="CH32" s="53">
        <f ca="1">INDIRECT("ZS(-1)",0) * 'Correction factor'!$C$13</f>
        <v>0</v>
      </c>
      <c r="CI32" s="53">
        <f t="shared" ca="1" si="32"/>
        <v>0</v>
      </c>
      <c r="CJ32" s="53">
        <f t="shared" ca="1" si="33"/>
        <v>0</v>
      </c>
      <c r="CK32" s="53">
        <v>0</v>
      </c>
      <c r="CL32" s="53">
        <v>0</v>
      </c>
      <c r="CM32" s="53">
        <f ca="1">INDIRECT("ZS(-1)",0) * 'Correction factor'!$C$13</f>
        <v>0</v>
      </c>
      <c r="CN32" s="53">
        <f t="shared" ca="1" si="34"/>
        <v>0</v>
      </c>
      <c r="CO32" s="53">
        <f t="shared" ca="1" si="35"/>
        <v>0</v>
      </c>
      <c r="CP32" s="53">
        <v>2115478154</v>
      </c>
      <c r="CQ32" s="53">
        <v>28221924</v>
      </c>
      <c r="CR32" s="53">
        <f ca="1">INDIRECT("ZS(-1)",0) * 'Correction factor'!$C$13</f>
        <v>39139941.193453819</v>
      </c>
      <c r="CS32" s="53">
        <f t="shared" ca="1" si="36"/>
        <v>2154618095.1934538</v>
      </c>
      <c r="CT32" s="53">
        <f t="shared" ca="1" si="37"/>
        <v>1.4677901015325585</v>
      </c>
      <c r="CU32" s="53">
        <v>1081627733</v>
      </c>
      <c r="CV32" s="53">
        <v>56833527</v>
      </c>
      <c r="CW32" s="53">
        <f ca="1">INDIRECT("ZS(-1)",0) * 'Correction factor'!$C$13</f>
        <v>78820313.760201812</v>
      </c>
      <c r="CX32" s="53">
        <f t="shared" ca="1" si="38"/>
        <v>1160448046.7602019</v>
      </c>
      <c r="CY32" s="53">
        <f t="shared" ca="1" si="39"/>
        <v>0.88787849904502414</v>
      </c>
      <c r="CZ32" s="53">
        <v>0</v>
      </c>
      <c r="DA32" s="53">
        <v>0</v>
      </c>
      <c r="DB32" s="53">
        <f ca="1">INDIRECT("ZS(-1)",0) * 'Correction factor'!$C$13</f>
        <v>0</v>
      </c>
      <c r="DC32" s="53">
        <f t="shared" ca="1" si="40"/>
        <v>0</v>
      </c>
      <c r="DD32" s="53">
        <f t="shared" ca="1" si="41"/>
        <v>0</v>
      </c>
      <c r="DE32" s="53">
        <v>2182082562</v>
      </c>
      <c r="DF32" s="53">
        <v>3162967635</v>
      </c>
      <c r="DG32" s="53">
        <f ca="1">INDIRECT("ZS(-1)",0) * 'Correction factor'!$C$13</f>
        <v>4386602672.1175251</v>
      </c>
      <c r="DH32" s="53">
        <f t="shared" ca="1" si="42"/>
        <v>6568685234.1175251</v>
      </c>
      <c r="DI32" s="53">
        <f t="shared" ca="1" si="43"/>
        <v>4.7829066403054981</v>
      </c>
      <c r="DJ32" s="53">
        <v>1085180466</v>
      </c>
      <c r="DK32" s="53">
        <v>8788497475</v>
      </c>
      <c r="DL32" s="53">
        <f ca="1">INDIRECT("ZS(-1)",0) * 'Correction factor'!$C$13</f>
        <v>12188441665.079865</v>
      </c>
      <c r="DM32" s="53">
        <f t="shared" ca="1" si="44"/>
        <v>13273622131.079865</v>
      </c>
      <c r="DN32" s="53">
        <f t="shared" ca="1" si="45"/>
        <v>10.940653885623032</v>
      </c>
      <c r="DO32" s="53">
        <v>3016168560</v>
      </c>
      <c r="DP32" s="53">
        <v>727668527</v>
      </c>
      <c r="DQ32" s="53">
        <f ca="1">INDIRECT("ZS(-1)",0) * 'Correction factor'!$C$13</f>
        <v>1009176530.8101305</v>
      </c>
      <c r="DR32" s="53">
        <f t="shared" ca="1" si="46"/>
        <v>4025345090.8101306</v>
      </c>
      <c r="DS32" s="53">
        <f t="shared" ca="1" si="47"/>
        <v>3.0326918260664191</v>
      </c>
      <c r="DT32" s="53">
        <v>1285494391</v>
      </c>
      <c r="DU32" s="53">
        <v>12481123135</v>
      </c>
      <c r="DV32" s="53">
        <f ca="1">INDIRECT("ZS(-1)",0) * 'Correction factor'!$C$13</f>
        <v>17309607436.12505</v>
      </c>
      <c r="DW32" s="53">
        <f t="shared" ca="1" si="48"/>
        <v>18595101827.12505</v>
      </c>
      <c r="DX32" s="53">
        <f t="shared" ca="1" si="49"/>
        <v>13.692963821352411</v>
      </c>
      <c r="DY32" s="53">
        <v>1254464842</v>
      </c>
      <c r="DZ32" s="53">
        <v>12486319534</v>
      </c>
      <c r="EA32" s="53">
        <f ca="1">INDIRECT("ZS(-1)",0) * 'Correction factor'!$C$13</f>
        <v>17316814129.448925</v>
      </c>
      <c r="EB32" s="53">
        <f t="shared" ca="1" si="50"/>
        <v>18571278971.448925</v>
      </c>
      <c r="EC32" s="53">
        <f t="shared" ca="1" si="51"/>
        <v>13.133611033191576</v>
      </c>
      <c r="ED32" s="53">
        <v>0</v>
      </c>
      <c r="EE32" s="53">
        <v>0</v>
      </c>
      <c r="EF32" s="53">
        <f ca="1">INDIRECT("ZS(-1)",0) * 'Correction factor'!$C$13</f>
        <v>0</v>
      </c>
      <c r="EG32" s="53">
        <f t="shared" ca="1" si="52"/>
        <v>0</v>
      </c>
      <c r="EH32" s="53">
        <f t="shared" ca="1" si="53"/>
        <v>0</v>
      </c>
      <c r="EI32" s="53">
        <v>929049801</v>
      </c>
      <c r="EJ32" s="53">
        <v>9033331017</v>
      </c>
      <c r="EK32" s="53">
        <f ca="1">INDIRECT("ZS(-1)",0) * 'Correction factor'!$C$13</f>
        <v>12527992237.041754</v>
      </c>
      <c r="EL32" s="53">
        <f t="shared" ca="1" si="54"/>
        <v>13457042038.041754</v>
      </c>
      <c r="EM32" s="53">
        <f t="shared" ca="1" si="55"/>
        <v>10.225381622527212</v>
      </c>
      <c r="EN32" s="53">
        <v>4206388632</v>
      </c>
      <c r="EO32" s="53">
        <v>83701164</v>
      </c>
      <c r="EP32" s="53">
        <f ca="1">INDIRECT("ZS(-1)",0) * 'Correction factor'!$C$13</f>
        <v>116082044.4695278</v>
      </c>
      <c r="EQ32" s="53">
        <f t="shared" ca="1" si="56"/>
        <v>4322470676.4695282</v>
      </c>
      <c r="ER32" s="53">
        <f t="shared" ca="1" si="57"/>
        <v>2.9389209749072345</v>
      </c>
      <c r="ES32" s="53">
        <v>4006267815</v>
      </c>
      <c r="ET32" s="53">
        <v>94860693</v>
      </c>
      <c r="EU32" s="53">
        <f ca="1">INDIRECT("ZS(-1)",0) * 'Correction factor'!$C$13</f>
        <v>131558781.94520956</v>
      </c>
      <c r="EV32" s="53">
        <f t="shared" ca="1" si="58"/>
        <v>4137826596.9452095</v>
      </c>
      <c r="EW32" s="53">
        <f t="shared" ca="1" si="59"/>
        <v>2.8284634021232828</v>
      </c>
      <c r="EX32" s="53">
        <v>3948721429</v>
      </c>
      <c r="EY32" s="53">
        <v>71285245</v>
      </c>
      <c r="EZ32" s="53">
        <f ca="1">INDIRECT("ZS(-1)",0) * 'Correction factor'!$C$13</f>
        <v>98862866.233391732</v>
      </c>
      <c r="FA32" s="53">
        <f t="shared" ca="1" si="60"/>
        <v>4047584295.2333918</v>
      </c>
      <c r="FB32" s="53">
        <f t="shared" ca="1" si="61"/>
        <v>2.8858051100186022</v>
      </c>
      <c r="FC32" s="53">
        <v>1955978088</v>
      </c>
      <c r="FD32" s="53">
        <v>4749403542</v>
      </c>
      <c r="FE32" s="53">
        <f ca="1">INDIRECT("ZS(-1)",0) * 'Correction factor'!$C$13</f>
        <v>6586771877.7026424</v>
      </c>
      <c r="FF32" s="53">
        <f t="shared" ca="1" si="62"/>
        <v>8542749965.7026424</v>
      </c>
      <c r="FG32" s="53">
        <f t="shared" ca="1" si="63"/>
        <v>6.59282126070514</v>
      </c>
      <c r="FH32" s="53">
        <v>3884568438</v>
      </c>
      <c r="FI32" s="53">
        <v>2462183670</v>
      </c>
      <c r="FJ32" s="53">
        <f ca="1">INDIRECT("ZS(-1)",0) * 'Correction factor'!$C$13</f>
        <v>3414711344.672401</v>
      </c>
      <c r="FK32" s="53">
        <f t="shared" ca="1" si="64"/>
        <v>7299279782.6724014</v>
      </c>
      <c r="FL32" s="53">
        <f t="shared" ca="1" si="65"/>
        <v>4.1120421796618842</v>
      </c>
      <c r="FM32" s="53">
        <v>2930731013</v>
      </c>
      <c r="FN32" s="53">
        <v>108610591</v>
      </c>
      <c r="FO32" s="53">
        <f ca="1">INDIRECT("ZS(-1)",0) * 'Correction factor'!$C$13</f>
        <v>150628006.25238252</v>
      </c>
      <c r="FP32" s="53">
        <f t="shared" ca="1" si="66"/>
        <v>3081359019.2523823</v>
      </c>
      <c r="FQ32" s="53">
        <f t="shared" ca="1" si="67"/>
        <v>2.1776323910727062</v>
      </c>
      <c r="FR32" s="53">
        <v>2627934374</v>
      </c>
      <c r="FS32" s="53">
        <v>200551607</v>
      </c>
      <c r="FT32" s="53">
        <f ca="1">INDIRECT("ZS(-1)",0) * 'Correction factor'!$C$13</f>
        <v>278137596.29685986</v>
      </c>
      <c r="FU32" s="53">
        <f t="shared" ca="1" si="68"/>
        <v>2906071970.2968597</v>
      </c>
      <c r="FV32" s="53">
        <f t="shared" ca="1" si="69"/>
        <v>2.0272893179455203</v>
      </c>
      <c r="FW32" s="53">
        <v>1337530677</v>
      </c>
      <c r="FX32" s="53">
        <v>12662933835</v>
      </c>
      <c r="FY32" s="53">
        <f ca="1">INDIRECT("ZS(-1)",0) * 'Correction factor'!$C$13</f>
        <v>17561753962.575218</v>
      </c>
      <c r="FZ32" s="53">
        <f t="shared" ca="1" si="70"/>
        <v>18899284639.575218</v>
      </c>
      <c r="GA32" s="53">
        <f t="shared" ca="1" si="71"/>
        <v>15.166660313311066</v>
      </c>
      <c r="GB32" s="53">
        <v>3237964911</v>
      </c>
      <c r="GC32" s="53">
        <v>50836068</v>
      </c>
      <c r="GD32" s="53">
        <f ca="1">INDIRECT("ZS(-1)",0) * 'Correction factor'!$C$13</f>
        <v>70502659.989673972</v>
      </c>
      <c r="GE32" s="53">
        <f t="shared" ca="1" si="72"/>
        <v>3308467570.9896741</v>
      </c>
      <c r="GF32" s="53">
        <f t="shared" ca="1" si="73"/>
        <v>2.3071442009986773</v>
      </c>
      <c r="GG32" s="53">
        <v>2261797523</v>
      </c>
      <c r="GH32" s="53">
        <v>77909712</v>
      </c>
      <c r="GI32" s="53">
        <f ca="1">INDIRECT("ZS(-1)",0) * 'Correction factor'!$C$13</f>
        <v>108050094.17780742</v>
      </c>
      <c r="GJ32" s="53">
        <f t="shared" ca="1" si="74"/>
        <v>2369847617.1778073</v>
      </c>
      <c r="GK32" s="53">
        <f t="shared" ca="1" si="75"/>
        <v>1.6524845462287139</v>
      </c>
      <c r="GL32" s="53">
        <v>420400896</v>
      </c>
      <c r="GM32" s="53">
        <v>3060192016</v>
      </c>
      <c r="GN32" s="53">
        <f ca="1">INDIRECT("ZS(-1)",0) * 'Correction factor'!$C$13</f>
        <v>4244066972.4330945</v>
      </c>
      <c r="GO32" s="53">
        <f t="shared" ca="1" si="76"/>
        <v>4664467868.433094</v>
      </c>
      <c r="GP32" s="53">
        <f t="shared" ca="1" si="77"/>
        <v>3.2177920683679782</v>
      </c>
      <c r="GQ32" s="53">
        <v>3344023190</v>
      </c>
      <c r="GR32" s="53">
        <v>94501396</v>
      </c>
      <c r="GS32" s="53">
        <f ca="1">INDIRECT("ZS(-1)",0) * 'Correction factor'!$C$13</f>
        <v>131060486.24251458</v>
      </c>
      <c r="GT32" s="53">
        <f t="shared" ca="1" si="78"/>
        <v>3475083676.2425146</v>
      </c>
      <c r="GU32" s="53">
        <f t="shared" ca="1" si="79"/>
        <v>3.603258772852779</v>
      </c>
      <c r="GV32" s="53">
        <v>3770809969</v>
      </c>
      <c r="GW32" s="53">
        <v>435192600</v>
      </c>
      <c r="GX32" s="53">
        <f ca="1">INDIRECT("ZS(-1)",0) * 'Correction factor'!$C$13</f>
        <v>603552499.53285503</v>
      </c>
      <c r="GY32" s="53">
        <f t="shared" ca="1" si="80"/>
        <v>4374362468.532855</v>
      </c>
      <c r="GZ32" s="53">
        <f t="shared" ca="1" si="81"/>
        <v>3.1053880185988181</v>
      </c>
      <c r="HA32" s="53">
        <v>850462298</v>
      </c>
      <c r="HB32" s="53">
        <v>9618094057</v>
      </c>
      <c r="HC32" s="53">
        <f ca="1">INDIRECT("ZS(-1)",0) * 'Correction factor'!$C$13</f>
        <v>13338978440.452454</v>
      </c>
      <c r="HD32" s="53">
        <f t="shared" ca="1" si="82"/>
        <v>14189440738.452454</v>
      </c>
      <c r="HE32" s="53">
        <f t="shared" ca="1" si="83"/>
        <v>10.392013023353638</v>
      </c>
      <c r="HF32" s="53">
        <v>1309945153</v>
      </c>
      <c r="HG32" s="53">
        <v>15411298994</v>
      </c>
      <c r="HH32" s="53">
        <f ca="1">INDIRECT("ZS(-1)",0) * 'Correction factor'!$C$13</f>
        <v>21373359815.577919</v>
      </c>
      <c r="HI32" s="53">
        <f t="shared" ca="1" si="84"/>
        <v>22683304968.577919</v>
      </c>
      <c r="HJ32" s="53">
        <f t="shared" ca="1" si="85"/>
        <v>16.709201496767545</v>
      </c>
      <c r="HK32" s="53">
        <v>2521885855</v>
      </c>
      <c r="HL32" s="53">
        <v>27872669049</v>
      </c>
      <c r="HM32" s="53">
        <f ca="1">INDIRECT("ZS(-1)",0) * 'Correction factor'!$C$13</f>
        <v>38655572436.608513</v>
      </c>
      <c r="HN32" s="53">
        <f t="shared" ca="1" si="86"/>
        <v>41177458291.608513</v>
      </c>
      <c r="HO32" s="53">
        <f t="shared" ca="1" si="87"/>
        <v>30.654323789336029</v>
      </c>
      <c r="HP32" s="53">
        <v>3752260762</v>
      </c>
      <c r="HQ32" s="53">
        <v>14856274</v>
      </c>
      <c r="HR32" s="53">
        <f ca="1">INDIRECT("ZS(-1)",0) * 'Correction factor'!$C$13</f>
        <v>20603616.206812721</v>
      </c>
      <c r="HS32" s="53">
        <f t="shared" ca="1" si="88"/>
        <v>3772864378.2068129</v>
      </c>
      <c r="HT32" s="53">
        <f t="shared" ca="1" si="89"/>
        <v>2.4459195226117059</v>
      </c>
      <c r="HU32" s="53">
        <v>2878400366</v>
      </c>
      <c r="HV32" s="53">
        <v>853832667</v>
      </c>
      <c r="HW32" s="53">
        <f ca="1">INDIRECT("ZS(-1)",0) * 'Correction factor'!$C$13</f>
        <v>1184148904.0729413</v>
      </c>
      <c r="HX32" s="53">
        <f t="shared" ca="1" si="90"/>
        <v>4062549270.0729413</v>
      </c>
      <c r="HY32" s="53">
        <f t="shared" ca="1" si="91"/>
        <v>3.1878956459689407</v>
      </c>
      <c r="HZ32" s="53">
        <v>429209461</v>
      </c>
      <c r="IA32" s="53">
        <v>4992274803</v>
      </c>
      <c r="IB32" s="53">
        <f ca="1">INDIRECT("ZS(-1)",0) * 'Correction factor'!$C$13</f>
        <v>6923601034.8189316</v>
      </c>
      <c r="IC32" s="53">
        <f t="shared" ca="1" si="92"/>
        <v>7352810495.8189316</v>
      </c>
      <c r="ID32" s="53">
        <f t="shared" ca="1" si="93"/>
        <v>5.7016105955247625</v>
      </c>
      <c r="IE32" s="53">
        <v>1853380087</v>
      </c>
      <c r="IF32" s="53">
        <v>13289566</v>
      </c>
      <c r="IG32" s="53">
        <f ca="1">INDIRECT("ZS(-1)",0) * 'Correction factor'!$C$13</f>
        <v>18430806.90482064</v>
      </c>
      <c r="IH32" s="53">
        <f t="shared" ca="1" si="94"/>
        <v>1871810893.9048207</v>
      </c>
      <c r="II32" s="61">
        <f t="shared" ca="1" si="95"/>
        <v>1.4323315490132285</v>
      </c>
    </row>
    <row r="33" spans="1:243" x14ac:dyDescent="0.25">
      <c r="A33" s="5">
        <v>29</v>
      </c>
      <c r="B33" s="30">
        <v>45520</v>
      </c>
      <c r="C33" s="29" t="s">
        <v>39</v>
      </c>
      <c r="D33" s="52">
        <v>9457347489</v>
      </c>
      <c r="E33" s="53">
        <v>26290097</v>
      </c>
      <c r="F33" s="53">
        <f ca="1">INDIRECT("ZS(-1)",0) * 'Correction factor'!$C$13</f>
        <v>36460761.872585177</v>
      </c>
      <c r="G33" s="53">
        <f t="shared" ca="1" si="0"/>
        <v>9493808250.8725853</v>
      </c>
      <c r="H33" s="53">
        <f t="shared" ca="1" si="1"/>
        <v>6.8663716797718735</v>
      </c>
      <c r="I33" s="53">
        <v>7321722343</v>
      </c>
      <c r="J33" s="53">
        <v>68124025</v>
      </c>
      <c r="K33" s="53">
        <f ca="1">INDIRECT("ZS(-1)",0) * 'Correction factor'!$C$13</f>
        <v>94478687.291531846</v>
      </c>
      <c r="L33" s="53">
        <f t="shared" ca="1" si="2"/>
        <v>7416201030.2915316</v>
      </c>
      <c r="M33" s="53">
        <f t="shared" ca="1" si="3"/>
        <v>4.8613453502380803</v>
      </c>
      <c r="N33" s="53">
        <v>5812463078</v>
      </c>
      <c r="O33" s="53">
        <v>17039400</v>
      </c>
      <c r="P33" s="53">
        <f ca="1">INDIRECT("ZS(-1)",0) * 'Correction factor'!$C$13</f>
        <v>23631312.803894483</v>
      </c>
      <c r="Q33" s="53">
        <f t="shared" ca="1" si="4"/>
        <v>5836094390.803894</v>
      </c>
      <c r="R33" s="53">
        <f t="shared" ca="1" si="5"/>
        <v>4.5434199859785593</v>
      </c>
      <c r="S33" s="53">
        <v>0</v>
      </c>
      <c r="T33" s="53">
        <v>0</v>
      </c>
      <c r="U33" s="53">
        <f ca="1">INDIRECT("ZS(-1)",0) * 'Correction factor'!$C$13</f>
        <v>0</v>
      </c>
      <c r="V33" s="53">
        <f t="shared" ca="1" si="6"/>
        <v>0</v>
      </c>
      <c r="W33" s="53">
        <f t="shared" ca="1" si="7"/>
        <v>0</v>
      </c>
      <c r="X33" s="53">
        <v>8866919535</v>
      </c>
      <c r="Y33" s="53">
        <v>28733192</v>
      </c>
      <c r="Z33" s="53">
        <f ca="1">INDIRECT("ZS(-1)",0) * 'Correction factor'!$C$13</f>
        <v>39848999.847785637</v>
      </c>
      <c r="AA33" s="53">
        <f t="shared" ca="1" si="8"/>
        <v>8906768534.8477859</v>
      </c>
      <c r="AB33" s="53">
        <f t="shared" ca="1" si="9"/>
        <v>6.2118416921946302</v>
      </c>
      <c r="AC33" s="53">
        <v>7428149525</v>
      </c>
      <c r="AD33" s="53">
        <v>26989475</v>
      </c>
      <c r="AE33" s="53">
        <f ca="1">INDIRECT("ZS(-1)",0) * 'Correction factor'!$C$13</f>
        <v>37430703.319241874</v>
      </c>
      <c r="AF33" s="53">
        <f t="shared" ca="1" si="10"/>
        <v>7465580228.3192415</v>
      </c>
      <c r="AG33" s="53">
        <f t="shared" ca="1" si="11"/>
        <v>4.8161512182970512</v>
      </c>
      <c r="AH33" s="53">
        <v>0</v>
      </c>
      <c r="AI33" s="53">
        <v>0</v>
      </c>
      <c r="AJ33" s="53">
        <f ca="1">INDIRECT("ZS(-1)",0) * 'Correction factor'!$C$13</f>
        <v>0</v>
      </c>
      <c r="AK33" s="53">
        <f t="shared" ca="1" si="12"/>
        <v>0</v>
      </c>
      <c r="AL33" s="53">
        <f t="shared" ca="1" si="13"/>
        <v>0</v>
      </c>
      <c r="AM33" s="53">
        <v>740622871</v>
      </c>
      <c r="AN33" s="53">
        <v>7489557648</v>
      </c>
      <c r="AO33" s="53">
        <f ca="1">INDIRECT("ZS(-1)",0) * 'Correction factor'!$C$13</f>
        <v>10386990125.396917</v>
      </c>
      <c r="AP33" s="53">
        <f t="shared" ca="1" si="14"/>
        <v>11127612996.396917</v>
      </c>
      <c r="AQ33" s="53">
        <f t="shared" ca="1" si="15"/>
        <v>7.2264204717255618</v>
      </c>
      <c r="AR33" s="53">
        <v>0</v>
      </c>
      <c r="AS33" s="53">
        <v>0</v>
      </c>
      <c r="AT33" s="53">
        <f ca="1">INDIRECT("ZS(-1)",0) * 'Correction factor'!$C$13</f>
        <v>0</v>
      </c>
      <c r="AU33" s="53">
        <f t="shared" ca="1" si="16"/>
        <v>0</v>
      </c>
      <c r="AV33" s="53">
        <f t="shared" ca="1" si="17"/>
        <v>0</v>
      </c>
      <c r="AW33" s="53">
        <v>0</v>
      </c>
      <c r="AX33" s="53">
        <v>0</v>
      </c>
      <c r="AY33" s="53">
        <f ca="1">INDIRECT("ZS(-1)",0) * 'Correction factor'!$C$13</f>
        <v>0</v>
      </c>
      <c r="AZ33" s="53">
        <f t="shared" ca="1" si="18"/>
        <v>0</v>
      </c>
      <c r="BA33" s="53">
        <f t="shared" ca="1" si="19"/>
        <v>0</v>
      </c>
      <c r="BB33" s="53">
        <v>105486674</v>
      </c>
      <c r="BC33" s="53">
        <v>115108296</v>
      </c>
      <c r="BD33" s="53">
        <f ca="1">INDIRECT("ZS(-1)",0) * 'Correction factor'!$C$13</f>
        <v>159639432.6736432</v>
      </c>
      <c r="BE33" s="53">
        <f t="shared" ca="1" si="20"/>
        <v>265126106.6736432</v>
      </c>
      <c r="BF33" s="53">
        <f t="shared" ca="1" si="21"/>
        <v>0.17995898250673348</v>
      </c>
      <c r="BG33" s="53">
        <v>61125623</v>
      </c>
      <c r="BH33" s="53">
        <v>12401328</v>
      </c>
      <c r="BI33" s="53">
        <f ca="1">INDIRECT("ZS(-1)",0) * 'Correction factor'!$C$13</f>
        <v>17198942.518615395</v>
      </c>
      <c r="BJ33" s="53">
        <f t="shared" ca="1" si="22"/>
        <v>78324565.518615395</v>
      </c>
      <c r="BK33" s="53">
        <f t="shared" ca="1" si="23"/>
        <v>4.7707296304776589E-2</v>
      </c>
      <c r="BL33" s="53">
        <v>2411752889</v>
      </c>
      <c r="BM33" s="53">
        <v>26535418419</v>
      </c>
      <c r="BN33" s="53">
        <f ca="1">INDIRECT("ZS(-1)",0) * 'Correction factor'!$C$13</f>
        <v>36800989063.08979</v>
      </c>
      <c r="BO33" s="53">
        <f t="shared" ca="1" si="24"/>
        <v>39212741952.08979</v>
      </c>
      <c r="BP33" s="53">
        <f t="shared" ca="1" si="25"/>
        <v>188.06545864917655</v>
      </c>
      <c r="BQ33" s="53">
        <v>2293050957</v>
      </c>
      <c r="BR33" s="53">
        <v>26067858147</v>
      </c>
      <c r="BS33" s="53">
        <f ca="1">INDIRECT("ZS(-1)",0) * 'Correction factor'!$C$13</f>
        <v>36152547038.000526</v>
      </c>
      <c r="BT33" s="53">
        <f t="shared" ca="1" si="26"/>
        <v>38445597995.000526</v>
      </c>
      <c r="BU33" s="53">
        <f t="shared" ca="1" si="27"/>
        <v>225.70870650111993</v>
      </c>
      <c r="BV33" s="53">
        <v>0</v>
      </c>
      <c r="BW33" s="53">
        <v>0</v>
      </c>
      <c r="BX33" s="53">
        <f ca="1">INDIRECT("ZS(-1)",0) * 'Correction factor'!$C$13</f>
        <v>0</v>
      </c>
      <c r="BY33" s="53">
        <f t="shared" ca="1" si="28"/>
        <v>0</v>
      </c>
      <c r="BZ33" s="53">
        <f t="shared" ca="1" si="29"/>
        <v>0</v>
      </c>
      <c r="CA33" s="53">
        <v>1743004437</v>
      </c>
      <c r="CB33" s="53">
        <v>20405954383</v>
      </c>
      <c r="CC33" s="53">
        <f ca="1">INDIRECT("ZS(-1)",0) * 'Correction factor'!$C$13</f>
        <v>28300262396.954979</v>
      </c>
      <c r="CD33" s="53">
        <f t="shared" ca="1" si="30"/>
        <v>30043266833.954979</v>
      </c>
      <c r="CE33" s="53">
        <f t="shared" ca="1" si="31"/>
        <v>170.05244246172126</v>
      </c>
      <c r="CF33" s="53">
        <v>0</v>
      </c>
      <c r="CG33" s="53">
        <v>0</v>
      </c>
      <c r="CH33" s="53">
        <f ca="1">INDIRECT("ZS(-1)",0) * 'Correction factor'!$C$13</f>
        <v>0</v>
      </c>
      <c r="CI33" s="53">
        <f t="shared" ca="1" si="32"/>
        <v>0</v>
      </c>
      <c r="CJ33" s="53">
        <f t="shared" ca="1" si="33"/>
        <v>0</v>
      </c>
      <c r="CK33" s="53">
        <v>0</v>
      </c>
      <c r="CL33" s="53">
        <v>0</v>
      </c>
      <c r="CM33" s="53">
        <f ca="1">INDIRECT("ZS(-1)",0) * 'Correction factor'!$C$13</f>
        <v>0</v>
      </c>
      <c r="CN33" s="53">
        <f t="shared" ca="1" si="34"/>
        <v>0</v>
      </c>
      <c r="CO33" s="53">
        <f t="shared" ca="1" si="35"/>
        <v>0</v>
      </c>
      <c r="CP33" s="53">
        <v>1819455974</v>
      </c>
      <c r="CQ33" s="53">
        <v>28355169</v>
      </c>
      <c r="CR33" s="53">
        <f ca="1">INDIRECT("ZS(-1)",0) * 'Correction factor'!$C$13</f>
        <v>39324733.749210179</v>
      </c>
      <c r="CS33" s="53">
        <f t="shared" ca="1" si="36"/>
        <v>1858780707.7492101</v>
      </c>
      <c r="CT33" s="53">
        <f t="shared" ca="1" si="37"/>
        <v>1.2662568507339171</v>
      </c>
      <c r="CU33" s="53">
        <v>856902670</v>
      </c>
      <c r="CV33" s="53">
        <v>76255135</v>
      </c>
      <c r="CW33" s="53">
        <f ca="1">INDIRECT("ZS(-1)",0) * 'Correction factor'!$C$13</f>
        <v>105755422.61395368</v>
      </c>
      <c r="CX33" s="53">
        <f t="shared" ca="1" si="38"/>
        <v>962658092.61395371</v>
      </c>
      <c r="CY33" s="53">
        <f t="shared" ca="1" si="39"/>
        <v>0.7365460476665745</v>
      </c>
      <c r="CZ33" s="53">
        <v>0</v>
      </c>
      <c r="DA33" s="53">
        <v>0</v>
      </c>
      <c r="DB33" s="53">
        <f ca="1">INDIRECT("ZS(-1)",0) * 'Correction factor'!$C$13</f>
        <v>0</v>
      </c>
      <c r="DC33" s="53">
        <f t="shared" ca="1" si="40"/>
        <v>0</v>
      </c>
      <c r="DD33" s="53">
        <f t="shared" ca="1" si="41"/>
        <v>0</v>
      </c>
      <c r="DE33" s="53">
        <v>2006642356</v>
      </c>
      <c r="DF33" s="53">
        <v>3784543412</v>
      </c>
      <c r="DG33" s="53">
        <f ca="1">INDIRECT("ZS(-1)",0) * 'Correction factor'!$C$13</f>
        <v>5248643097.1096468</v>
      </c>
      <c r="DH33" s="53">
        <f t="shared" ca="1" si="42"/>
        <v>7255285453.1096468</v>
      </c>
      <c r="DI33" s="53">
        <f t="shared" ca="1" si="43"/>
        <v>5.2828460695227681</v>
      </c>
      <c r="DJ33" s="53">
        <v>1148211610</v>
      </c>
      <c r="DK33" s="53">
        <v>10530971022</v>
      </c>
      <c r="DL33" s="53">
        <f ca="1">INDIRECT("ZS(-1)",0) * 'Correction factor'!$C$13</f>
        <v>14605013694.709343</v>
      </c>
      <c r="DM33" s="53">
        <f t="shared" ca="1" si="44"/>
        <v>15753225304.709343</v>
      </c>
      <c r="DN33" s="53">
        <f t="shared" ca="1" si="45"/>
        <v>12.984442674280189</v>
      </c>
      <c r="DO33" s="53">
        <v>2945228596</v>
      </c>
      <c r="DP33" s="53">
        <v>910831521</v>
      </c>
      <c r="DQ33" s="53">
        <f ca="1">INDIRECT("ZS(-1)",0) * 'Correction factor'!$C$13</f>
        <v>1263198503.7265389</v>
      </c>
      <c r="DR33" s="53">
        <f t="shared" ca="1" si="46"/>
        <v>4208427099.7265387</v>
      </c>
      <c r="DS33" s="53">
        <f t="shared" ca="1" si="47"/>
        <v>3.1706256676166018</v>
      </c>
      <c r="DT33" s="53">
        <v>1477072546</v>
      </c>
      <c r="DU33" s="53">
        <v>14460670854</v>
      </c>
      <c r="DV33" s="53">
        <f ca="1">INDIRECT("ZS(-1)",0) * 'Correction factor'!$C$13</f>
        <v>20054968854.832561</v>
      </c>
      <c r="DW33" s="53">
        <f t="shared" ca="1" si="48"/>
        <v>21532041400.832561</v>
      </c>
      <c r="DX33" s="53">
        <f t="shared" ca="1" si="49"/>
        <v>15.855652022909451</v>
      </c>
      <c r="DY33" s="53">
        <v>1452866561</v>
      </c>
      <c r="DZ33" s="53">
        <v>14818371862</v>
      </c>
      <c r="EA33" s="53">
        <f ca="1">INDIRECT("ZS(-1)",0) * 'Correction factor'!$C$13</f>
        <v>20551051135.33049</v>
      </c>
      <c r="EB33" s="53">
        <f t="shared" ca="1" si="50"/>
        <v>22003917696.33049</v>
      </c>
      <c r="EC33" s="53">
        <f t="shared" ca="1" si="51"/>
        <v>15.561173609758043</v>
      </c>
      <c r="ED33" s="53">
        <v>0</v>
      </c>
      <c r="EE33" s="53">
        <v>0</v>
      </c>
      <c r="EF33" s="53">
        <f ca="1">INDIRECT("ZS(-1)",0) * 'Correction factor'!$C$13</f>
        <v>0</v>
      </c>
      <c r="EG33" s="53">
        <f t="shared" ca="1" si="52"/>
        <v>0</v>
      </c>
      <c r="EH33" s="53">
        <f t="shared" ca="1" si="53"/>
        <v>0</v>
      </c>
      <c r="EI33" s="53">
        <v>1020137655</v>
      </c>
      <c r="EJ33" s="53">
        <v>10297040896</v>
      </c>
      <c r="EK33" s="53">
        <f ca="1">INDIRECT("ZS(-1)",0) * 'Correction factor'!$C$13</f>
        <v>14280584666.588608</v>
      </c>
      <c r="EL33" s="53">
        <f t="shared" ca="1" si="54"/>
        <v>15300722321.588608</v>
      </c>
      <c r="EM33" s="53">
        <f t="shared" ca="1" si="55"/>
        <v>11.62630869371433</v>
      </c>
      <c r="EN33" s="53">
        <v>4117763934</v>
      </c>
      <c r="EO33" s="53">
        <v>83936940</v>
      </c>
      <c r="EP33" s="53">
        <f ca="1">INDIRECT("ZS(-1)",0) * 'Correction factor'!$C$13</f>
        <v>116409033.47193699</v>
      </c>
      <c r="EQ33" s="53">
        <f t="shared" ca="1" si="56"/>
        <v>4234172967.4719372</v>
      </c>
      <c r="ER33" s="53">
        <f t="shared" ca="1" si="57"/>
        <v>2.8788858680360807</v>
      </c>
      <c r="ES33" s="53">
        <v>4153308213</v>
      </c>
      <c r="ET33" s="53">
        <v>95426276</v>
      </c>
      <c r="EU33" s="53">
        <f ca="1">INDIRECT("ZS(-1)",0) * 'Correction factor'!$C$13</f>
        <v>132343168.06147921</v>
      </c>
      <c r="EV33" s="53">
        <f t="shared" ca="1" si="58"/>
        <v>4285651381.0614791</v>
      </c>
      <c r="EW33" s="53">
        <f t="shared" ca="1" si="59"/>
        <v>2.9295108921530302</v>
      </c>
      <c r="EX33" s="53">
        <v>3907902463</v>
      </c>
      <c r="EY33" s="53">
        <v>70826315</v>
      </c>
      <c r="EZ33" s="53">
        <f ca="1">INDIRECT("ZS(-1)",0) * 'Correction factor'!$C$13</f>
        <v>98226393.21291618</v>
      </c>
      <c r="FA33" s="53">
        <f t="shared" ca="1" si="60"/>
        <v>4006128856.2129164</v>
      </c>
      <c r="FB33" s="53">
        <f t="shared" ca="1" si="61"/>
        <v>2.8562486365674533</v>
      </c>
      <c r="FC33" s="53">
        <v>1821581436</v>
      </c>
      <c r="FD33" s="53">
        <v>5884916039</v>
      </c>
      <c r="FE33" s="53">
        <f ca="1">INDIRECT("ZS(-1)",0) * 'Correction factor'!$C$13</f>
        <v>8161572105.9582319</v>
      </c>
      <c r="FF33" s="53">
        <f t="shared" ca="1" si="62"/>
        <v>9983153541.9582329</v>
      </c>
      <c r="FG33" s="53">
        <f t="shared" ca="1" si="63"/>
        <v>7.7044449602936016</v>
      </c>
      <c r="FH33" s="53">
        <v>3817560840</v>
      </c>
      <c r="FI33" s="53">
        <v>3086887792</v>
      </c>
      <c r="FJ33" s="53">
        <f ca="1">INDIRECT("ZS(-1)",0) * 'Correction factor'!$C$13</f>
        <v>4281090355.486412</v>
      </c>
      <c r="FK33" s="53">
        <f t="shared" ca="1" si="64"/>
        <v>8098651195.486412</v>
      </c>
      <c r="FL33" s="53">
        <f t="shared" ca="1" si="65"/>
        <v>4.5623672890665379</v>
      </c>
      <c r="FM33" s="53">
        <v>2556760346</v>
      </c>
      <c r="FN33" s="53">
        <v>101644864</v>
      </c>
      <c r="FO33" s="53">
        <f ca="1">INDIRECT("ZS(-1)",0) * 'Correction factor'!$C$13</f>
        <v>140967497.45256954</v>
      </c>
      <c r="FP33" s="53">
        <f t="shared" ca="1" si="66"/>
        <v>2697727843.4525695</v>
      </c>
      <c r="FQ33" s="53">
        <f t="shared" ca="1" si="67"/>
        <v>1.9065157605770906</v>
      </c>
      <c r="FR33" s="53">
        <v>2324916818</v>
      </c>
      <c r="FS33" s="53">
        <v>236388396</v>
      </c>
      <c r="FT33" s="53">
        <f ca="1">INDIRECT("ZS(-1)",0) * 'Correction factor'!$C$13</f>
        <v>327838311.74142748</v>
      </c>
      <c r="FU33" s="53">
        <f t="shared" ca="1" si="68"/>
        <v>2652755129.7414274</v>
      </c>
      <c r="FV33" s="53">
        <f t="shared" ca="1" si="69"/>
        <v>1.8505743122048754</v>
      </c>
      <c r="FW33" s="53">
        <v>1528772339</v>
      </c>
      <c r="FX33" s="53">
        <v>14431506671</v>
      </c>
      <c r="FY33" s="53">
        <f ca="1">INDIRECT("ZS(-1)",0) * 'Correction factor'!$C$13</f>
        <v>20014522129.528679</v>
      </c>
      <c r="FZ33" s="53">
        <f t="shared" ca="1" si="70"/>
        <v>21543294468.528679</v>
      </c>
      <c r="GA33" s="53">
        <f t="shared" ca="1" si="71"/>
        <v>17.288476017214563</v>
      </c>
      <c r="GB33" s="53">
        <v>3329175624</v>
      </c>
      <c r="GC33" s="53">
        <v>50225345</v>
      </c>
      <c r="GD33" s="53">
        <f ca="1">INDIRECT("ZS(-1)",0) * 'Correction factor'!$C$13</f>
        <v>69655670.879169315</v>
      </c>
      <c r="GE33" s="53">
        <f t="shared" ca="1" si="72"/>
        <v>3398831294.8791695</v>
      </c>
      <c r="GF33" s="53">
        <f t="shared" ca="1" si="73"/>
        <v>2.3701589161436503</v>
      </c>
      <c r="GG33" s="53">
        <v>2350552419</v>
      </c>
      <c r="GH33" s="53">
        <v>69649613</v>
      </c>
      <c r="GI33" s="53">
        <f ca="1">INDIRECT("ZS(-1)",0) * 'Correction factor'!$C$13</f>
        <v>96594468.788407788</v>
      </c>
      <c r="GJ33" s="53">
        <f t="shared" ca="1" si="74"/>
        <v>2447146887.7884078</v>
      </c>
      <c r="GK33" s="53">
        <f t="shared" ca="1" si="75"/>
        <v>1.7063849950140608</v>
      </c>
      <c r="GL33" s="53">
        <v>471196121</v>
      </c>
      <c r="GM33" s="53">
        <v>4036456005</v>
      </c>
      <c r="GN33" s="53">
        <f ca="1">INDIRECT("ZS(-1)",0) * 'Correction factor'!$C$13</f>
        <v>5598011342.7299833</v>
      </c>
      <c r="GO33" s="53">
        <f t="shared" ca="1" si="76"/>
        <v>6069207463.7299833</v>
      </c>
      <c r="GP33" s="53">
        <f t="shared" ca="1" si="77"/>
        <v>4.1868543612951248</v>
      </c>
      <c r="GQ33" s="53">
        <v>3482681393</v>
      </c>
      <c r="GR33" s="53">
        <v>94288308</v>
      </c>
      <c r="GS33" s="53">
        <f ca="1">INDIRECT("ZS(-1)",0) * 'Correction factor'!$C$13</f>
        <v>130764962.38705274</v>
      </c>
      <c r="GT33" s="53">
        <f t="shared" ca="1" si="78"/>
        <v>3613446355.3870525</v>
      </c>
      <c r="GU33" s="53">
        <f t="shared" ca="1" si="79"/>
        <v>3.7467248254463792</v>
      </c>
      <c r="GV33" s="53">
        <v>4124496207</v>
      </c>
      <c r="GW33" s="53">
        <v>519692565</v>
      </c>
      <c r="GX33" s="53">
        <f ca="1">INDIRECT("ZS(-1)",0) * 'Correction factor'!$C$13</f>
        <v>720742371.52559745</v>
      </c>
      <c r="GY33" s="53">
        <f t="shared" ca="1" si="80"/>
        <v>4845238578.5255976</v>
      </c>
      <c r="GZ33" s="53">
        <f t="shared" ca="1" si="81"/>
        <v>3.4396659941288878</v>
      </c>
      <c r="HA33" s="53">
        <v>983961197</v>
      </c>
      <c r="HB33" s="53">
        <v>11209390709</v>
      </c>
      <c r="HC33" s="53">
        <f ca="1">INDIRECT("ZS(-1)",0) * 'Correction factor'!$C$13</f>
        <v>15545888833.25983</v>
      </c>
      <c r="HD33" s="53">
        <f t="shared" ca="1" si="82"/>
        <v>16529850030.25983</v>
      </c>
      <c r="HE33" s="53">
        <f t="shared" ca="1" si="83"/>
        <v>12.106073801981106</v>
      </c>
      <c r="HF33" s="53">
        <v>1533899080</v>
      </c>
      <c r="HG33" s="53">
        <v>17575244252</v>
      </c>
      <c r="HH33" s="53">
        <f ca="1">INDIRECT("ZS(-1)",0) * 'Correction factor'!$C$13</f>
        <v>24374455351.940826</v>
      </c>
      <c r="HI33" s="53">
        <f t="shared" ca="1" si="84"/>
        <v>25908354431.940826</v>
      </c>
      <c r="HJ33" s="53">
        <f t="shared" ca="1" si="85"/>
        <v>19.084869477911443</v>
      </c>
      <c r="HK33" s="53">
        <v>2878312808</v>
      </c>
      <c r="HL33" s="53">
        <v>30586389648</v>
      </c>
      <c r="HM33" s="53">
        <f ca="1">INDIRECT("ZS(-1)",0) * 'Correction factor'!$C$13</f>
        <v>42419131032.412415</v>
      </c>
      <c r="HN33" s="53">
        <f t="shared" ca="1" si="86"/>
        <v>45297443840.412415</v>
      </c>
      <c r="HO33" s="53">
        <f t="shared" ca="1" si="87"/>
        <v>33.721423514773861</v>
      </c>
      <c r="HP33" s="53">
        <v>4166105000</v>
      </c>
      <c r="HQ33" s="53">
        <v>14650235</v>
      </c>
      <c r="HR33" s="53">
        <f ca="1">INDIRECT("ZS(-1)",0) * 'Correction factor'!$C$13</f>
        <v>20317868.348390382</v>
      </c>
      <c r="HS33" s="53">
        <f t="shared" ca="1" si="88"/>
        <v>4186422868.3483906</v>
      </c>
      <c r="HT33" s="53">
        <f t="shared" ca="1" si="89"/>
        <v>2.7140263728398795</v>
      </c>
      <c r="HU33" s="53">
        <v>2926887238</v>
      </c>
      <c r="HV33" s="53">
        <v>1013841292</v>
      </c>
      <c r="HW33" s="53">
        <f ca="1">INDIRECT("ZS(-1)",0) * 'Correction factor'!$C$13</f>
        <v>1406058940.1479232</v>
      </c>
      <c r="HX33" s="53">
        <f t="shared" ca="1" si="90"/>
        <v>4332946178.1479235</v>
      </c>
      <c r="HY33" s="53">
        <f t="shared" ca="1" si="91"/>
        <v>3.400076980552539</v>
      </c>
      <c r="HZ33" s="53">
        <v>505936342</v>
      </c>
      <c r="IA33" s="53">
        <v>6007623435</v>
      </c>
      <c r="IB33" s="53">
        <f ca="1">INDIRECT("ZS(-1)",0) * 'Correction factor'!$C$13</f>
        <v>8331750448.988348</v>
      </c>
      <c r="IC33" s="53">
        <f t="shared" ca="1" si="92"/>
        <v>8837686790.988348</v>
      </c>
      <c r="ID33" s="53">
        <f t="shared" ca="1" si="93"/>
        <v>6.8530324120390969</v>
      </c>
      <c r="IE33" s="53">
        <v>2131011138</v>
      </c>
      <c r="IF33" s="53">
        <v>13557315</v>
      </c>
      <c r="IG33" s="53">
        <f ca="1">INDIRECT("ZS(-1)",0) * 'Correction factor'!$C$13</f>
        <v>18802138.07680615</v>
      </c>
      <c r="IH33" s="53">
        <f t="shared" ca="1" si="94"/>
        <v>2149813276.0768061</v>
      </c>
      <c r="II33" s="61">
        <f t="shared" ca="1" si="95"/>
        <v>1.6450622174703888</v>
      </c>
    </row>
    <row r="34" spans="1:243" x14ac:dyDescent="0.25">
      <c r="A34" s="57">
        <v>30</v>
      </c>
      <c r="B34" s="56">
        <v>45521</v>
      </c>
      <c r="C34" s="29" t="s">
        <v>40</v>
      </c>
      <c r="D34" s="52">
        <v>8307725891</v>
      </c>
      <c r="E34" s="53">
        <v>26747542</v>
      </c>
      <c r="F34" s="53">
        <f ca="1">INDIRECT("ZS(-1)",0) * 'Correction factor'!$C$13</f>
        <v>37095175.401557885</v>
      </c>
      <c r="G34" s="53">
        <f t="shared" ca="1" si="0"/>
        <v>8344821066.4015579</v>
      </c>
      <c r="H34" s="53">
        <f t="shared" ca="1" si="1"/>
        <v>6.0353697408873836</v>
      </c>
      <c r="I34" s="53">
        <v>6636075359</v>
      </c>
      <c r="J34" s="53">
        <v>68821948</v>
      </c>
      <c r="K34" s="53">
        <f ca="1">INDIRECT("ZS(-1)",0) * 'Correction factor'!$C$13</f>
        <v>95446610.852574632</v>
      </c>
      <c r="L34" s="53">
        <f t="shared" ca="1" si="2"/>
        <v>6731521969.8525743</v>
      </c>
      <c r="M34" s="53">
        <f t="shared" ca="1" si="3"/>
        <v>4.4125358649941964</v>
      </c>
      <c r="N34" s="53">
        <v>4739476399</v>
      </c>
      <c r="O34" s="53">
        <v>16762553</v>
      </c>
      <c r="P34" s="53">
        <f ca="1">INDIRECT("ZS(-1)",0) * 'Correction factor'!$C$13</f>
        <v>23247363.952654429</v>
      </c>
      <c r="Q34" s="53">
        <f t="shared" ca="1" si="4"/>
        <v>4762723762.9526548</v>
      </c>
      <c r="R34" s="53">
        <f t="shared" ca="1" si="5"/>
        <v>3.7077971813463813</v>
      </c>
      <c r="S34" s="53">
        <v>0</v>
      </c>
      <c r="T34" s="53">
        <v>0</v>
      </c>
      <c r="U34" s="53">
        <f ca="1">INDIRECT("ZS(-1)",0) * 'Correction factor'!$C$13</f>
        <v>0</v>
      </c>
      <c r="V34" s="53">
        <f t="shared" ca="1" si="6"/>
        <v>0</v>
      </c>
      <c r="W34" s="53">
        <f t="shared" ca="1" si="7"/>
        <v>0</v>
      </c>
      <c r="X34" s="53">
        <v>7799476028</v>
      </c>
      <c r="Y34" s="53">
        <v>29648583</v>
      </c>
      <c r="Z34" s="53">
        <f ca="1">INDIRECT("ZS(-1)",0) * 'Correction factor'!$C$13</f>
        <v>41118521.72407645</v>
      </c>
      <c r="AA34" s="53">
        <f t="shared" ca="1" si="8"/>
        <v>7840594549.7240763</v>
      </c>
      <c r="AB34" s="53">
        <f t="shared" ca="1" si="9"/>
        <v>5.4682606744537283</v>
      </c>
      <c r="AC34" s="53">
        <v>6495896853</v>
      </c>
      <c r="AD34" s="53">
        <v>28841936</v>
      </c>
      <c r="AE34" s="53">
        <f ca="1">INDIRECT("ZS(-1)",0) * 'Correction factor'!$C$13</f>
        <v>39999812.8740393</v>
      </c>
      <c r="AF34" s="53">
        <f t="shared" ca="1" si="10"/>
        <v>6535896665.8740396</v>
      </c>
      <c r="AG34" s="53">
        <f t="shared" ca="1" si="11"/>
        <v>4.2163992251543503</v>
      </c>
      <c r="AH34" s="53">
        <v>0</v>
      </c>
      <c r="AI34" s="53">
        <v>0</v>
      </c>
      <c r="AJ34" s="53">
        <f ca="1">INDIRECT("ZS(-1)",0) * 'Correction factor'!$C$13</f>
        <v>0</v>
      </c>
      <c r="AK34" s="53">
        <f t="shared" ca="1" si="12"/>
        <v>0</v>
      </c>
      <c r="AL34" s="53">
        <f t="shared" ca="1" si="13"/>
        <v>0</v>
      </c>
      <c r="AM34" s="53">
        <v>728230818</v>
      </c>
      <c r="AN34" s="53">
        <v>7564477291</v>
      </c>
      <c r="AO34" s="53">
        <f ca="1">INDIRECT("ZS(-1)",0) * 'Correction factor'!$C$13</f>
        <v>10490893403.616169</v>
      </c>
      <c r="AP34" s="53">
        <f t="shared" ca="1" si="14"/>
        <v>11219124221.616169</v>
      </c>
      <c r="AQ34" s="53">
        <f t="shared" ca="1" si="15"/>
        <v>7.285849083372212</v>
      </c>
      <c r="AR34" s="53">
        <v>0</v>
      </c>
      <c r="AS34" s="53">
        <v>0</v>
      </c>
      <c r="AT34" s="53">
        <f ca="1">INDIRECT("ZS(-1)",0) * 'Correction factor'!$C$13</f>
        <v>0</v>
      </c>
      <c r="AU34" s="53">
        <f t="shared" ca="1" si="16"/>
        <v>0</v>
      </c>
      <c r="AV34" s="53">
        <f t="shared" ca="1" si="17"/>
        <v>0</v>
      </c>
      <c r="AW34" s="53">
        <v>0</v>
      </c>
      <c r="AX34" s="53">
        <v>0</v>
      </c>
      <c r="AY34" s="53">
        <f ca="1">INDIRECT("ZS(-1)",0) * 'Correction factor'!$C$13</f>
        <v>0</v>
      </c>
      <c r="AZ34" s="53">
        <f t="shared" ca="1" si="18"/>
        <v>0</v>
      </c>
      <c r="BA34" s="53">
        <f t="shared" ca="1" si="19"/>
        <v>0</v>
      </c>
      <c r="BB34" s="53">
        <v>102112189</v>
      </c>
      <c r="BC34" s="53">
        <v>115634502</v>
      </c>
      <c r="BD34" s="53">
        <f ca="1">INDIRECT("ZS(-1)",0) * 'Correction factor'!$C$13</f>
        <v>160369208.28694451</v>
      </c>
      <c r="BE34" s="53">
        <f t="shared" ca="1" si="20"/>
        <v>262481397.28694451</v>
      </c>
      <c r="BF34" s="53">
        <f t="shared" ca="1" si="21"/>
        <v>0.17816383974909414</v>
      </c>
      <c r="BG34" s="53">
        <v>62022287</v>
      </c>
      <c r="BH34" s="53">
        <v>13144514</v>
      </c>
      <c r="BI34" s="53">
        <f ca="1">INDIRECT("ZS(-1)",0) * 'Correction factor'!$C$13</f>
        <v>18229639.65803786</v>
      </c>
      <c r="BJ34" s="53">
        <f t="shared" ca="1" si="22"/>
        <v>80251926.658037856</v>
      </c>
      <c r="BK34" s="53">
        <f t="shared" ca="1" si="23"/>
        <v>4.8881247138157023E-2</v>
      </c>
      <c r="BL34" s="53">
        <v>2332084258</v>
      </c>
      <c r="BM34" s="53">
        <v>26105040530</v>
      </c>
      <c r="BN34" s="53">
        <f ca="1">INDIRECT("ZS(-1)",0) * 'Correction factor'!$C$13</f>
        <v>36204113907.929474</v>
      </c>
      <c r="BO34" s="53">
        <f t="shared" ca="1" si="24"/>
        <v>38536198165.929474</v>
      </c>
      <c r="BP34" s="53">
        <f t="shared" ca="1" si="25"/>
        <v>184.82073483986107</v>
      </c>
      <c r="BQ34" s="53">
        <v>2176138262</v>
      </c>
      <c r="BR34" s="53">
        <v>24974597319</v>
      </c>
      <c r="BS34" s="53">
        <f ca="1">INDIRECT("ZS(-1)",0) * 'Correction factor'!$C$13</f>
        <v>34636344084.685699</v>
      </c>
      <c r="BT34" s="53">
        <f t="shared" ca="1" si="26"/>
        <v>36812482346.685699</v>
      </c>
      <c r="BU34" s="53">
        <f t="shared" ca="1" si="27"/>
        <v>216.12091388580384</v>
      </c>
      <c r="BV34" s="53">
        <v>0</v>
      </c>
      <c r="BW34" s="53">
        <v>0</v>
      </c>
      <c r="BX34" s="53">
        <f ca="1">INDIRECT("ZS(-1)",0) * 'Correction factor'!$C$13</f>
        <v>0</v>
      </c>
      <c r="BY34" s="53">
        <f t="shared" ca="1" si="28"/>
        <v>0</v>
      </c>
      <c r="BZ34" s="53">
        <f t="shared" ca="1" si="29"/>
        <v>0</v>
      </c>
      <c r="CA34" s="53">
        <v>1652476711</v>
      </c>
      <c r="CB34" s="53">
        <v>19321573692</v>
      </c>
      <c r="CC34" s="53">
        <f ca="1">INDIRECT("ZS(-1)",0) * 'Correction factor'!$C$13</f>
        <v>26796374976.76857</v>
      </c>
      <c r="CD34" s="53">
        <f t="shared" ca="1" si="30"/>
        <v>28448851687.76857</v>
      </c>
      <c r="CE34" s="53">
        <f t="shared" ca="1" si="31"/>
        <v>161.0276519352621</v>
      </c>
      <c r="CF34" s="53">
        <v>0</v>
      </c>
      <c r="CG34" s="53">
        <v>0</v>
      </c>
      <c r="CH34" s="53">
        <f ca="1">INDIRECT("ZS(-1)",0) * 'Correction factor'!$C$13</f>
        <v>0</v>
      </c>
      <c r="CI34" s="53">
        <f t="shared" ca="1" si="32"/>
        <v>0</v>
      </c>
      <c r="CJ34" s="53">
        <f t="shared" ca="1" si="33"/>
        <v>0</v>
      </c>
      <c r="CK34" s="53">
        <v>0</v>
      </c>
      <c r="CL34" s="53">
        <v>0</v>
      </c>
      <c r="CM34" s="53">
        <f ca="1">INDIRECT("ZS(-1)",0) * 'Correction factor'!$C$13</f>
        <v>0</v>
      </c>
      <c r="CN34" s="53">
        <f t="shared" ca="1" si="34"/>
        <v>0</v>
      </c>
      <c r="CO34" s="53">
        <f t="shared" ca="1" si="35"/>
        <v>0</v>
      </c>
      <c r="CP34" s="53">
        <v>1490930197</v>
      </c>
      <c r="CQ34" s="53">
        <v>30266671</v>
      </c>
      <c r="CR34" s="53">
        <f ca="1">INDIRECT("ZS(-1)",0) * 'Correction factor'!$C$13</f>
        <v>41975725.08031749</v>
      </c>
      <c r="CS34" s="53">
        <f t="shared" ca="1" si="36"/>
        <v>1532905922.0803175</v>
      </c>
      <c r="CT34" s="53">
        <f t="shared" ca="1" si="37"/>
        <v>1.0442612284884356</v>
      </c>
      <c r="CU34" s="53">
        <v>754844521</v>
      </c>
      <c r="CV34" s="53">
        <v>114412597</v>
      </c>
      <c r="CW34" s="53">
        <f ca="1">INDIRECT("ZS(-1)",0) * 'Correction factor'!$C$13</f>
        <v>158674593.49583432</v>
      </c>
      <c r="CX34" s="53">
        <f t="shared" ca="1" si="38"/>
        <v>913519114.49583435</v>
      </c>
      <c r="CY34" s="53">
        <f t="shared" ca="1" si="39"/>
        <v>0.69894898138004069</v>
      </c>
      <c r="CZ34" s="53">
        <v>0</v>
      </c>
      <c r="DA34" s="53">
        <v>0</v>
      </c>
      <c r="DB34" s="53">
        <f ca="1">INDIRECT("ZS(-1)",0) * 'Correction factor'!$C$13</f>
        <v>0</v>
      </c>
      <c r="DC34" s="53">
        <f t="shared" ca="1" si="40"/>
        <v>0</v>
      </c>
      <c r="DD34" s="53">
        <f t="shared" ca="1" si="41"/>
        <v>0</v>
      </c>
      <c r="DE34" s="53">
        <v>1710110142</v>
      </c>
      <c r="DF34" s="53">
        <v>4231635196</v>
      </c>
      <c r="DG34" s="53">
        <f ca="1">INDIRECT("ZS(-1)",0) * 'Correction factor'!$C$13</f>
        <v>5868698134.2444773</v>
      </c>
      <c r="DH34" s="53">
        <f t="shared" ca="1" si="42"/>
        <v>7578808276.2444773</v>
      </c>
      <c r="DI34" s="53">
        <f t="shared" ca="1" si="43"/>
        <v>5.5184151984901488</v>
      </c>
      <c r="DJ34" s="53">
        <v>1181385671</v>
      </c>
      <c r="DK34" s="53">
        <v>11893656256</v>
      </c>
      <c r="DL34" s="53">
        <f ca="1">INDIRECT("ZS(-1)",0) * 'Correction factor'!$C$13</f>
        <v>16494871378.542233</v>
      </c>
      <c r="DM34" s="53">
        <f t="shared" ca="1" si="44"/>
        <v>17676257049.542233</v>
      </c>
      <c r="DN34" s="53">
        <f t="shared" ca="1" si="45"/>
        <v>14.569482878341713</v>
      </c>
      <c r="DO34" s="53">
        <v>2504720703</v>
      </c>
      <c r="DP34" s="53">
        <v>1121054745</v>
      </c>
      <c r="DQ34" s="53">
        <f ca="1">INDIRECT("ZS(-1)",0) * 'Correction factor'!$C$13</f>
        <v>1554749307.4512696</v>
      </c>
      <c r="DR34" s="53">
        <f t="shared" ca="1" si="46"/>
        <v>4059470010.4512696</v>
      </c>
      <c r="DS34" s="53">
        <f t="shared" ca="1" si="47"/>
        <v>3.0584015136897547</v>
      </c>
      <c r="DT34" s="53">
        <v>1519674329</v>
      </c>
      <c r="DU34" s="53">
        <v>15233539593</v>
      </c>
      <c r="DV34" s="53">
        <f ca="1">INDIRECT("ZS(-1)",0) * 'Correction factor'!$C$13</f>
        <v>21126831885.670532</v>
      </c>
      <c r="DW34" s="53">
        <f t="shared" ca="1" si="48"/>
        <v>22646506214.670532</v>
      </c>
      <c r="DX34" s="53">
        <f t="shared" ca="1" si="49"/>
        <v>16.676315793289728</v>
      </c>
      <c r="DY34" s="53">
        <v>1437853078</v>
      </c>
      <c r="DZ34" s="53">
        <v>15095776411</v>
      </c>
      <c r="EA34" s="53">
        <f ca="1">INDIRECT("ZS(-1)",0) * 'Correction factor'!$C$13</f>
        <v>20935773230.629753</v>
      </c>
      <c r="EB34" s="53">
        <f t="shared" ca="1" si="50"/>
        <v>22373626308.629753</v>
      </c>
      <c r="EC34" s="53">
        <f t="shared" ca="1" si="51"/>
        <v>15.822631591032486</v>
      </c>
      <c r="ED34" s="53">
        <v>0</v>
      </c>
      <c r="EE34" s="53">
        <v>0</v>
      </c>
      <c r="EF34" s="53">
        <f ca="1">INDIRECT("ZS(-1)",0) * 'Correction factor'!$C$13</f>
        <v>0</v>
      </c>
      <c r="EG34" s="53">
        <f t="shared" ca="1" si="52"/>
        <v>0</v>
      </c>
      <c r="EH34" s="53">
        <f t="shared" ca="1" si="53"/>
        <v>0</v>
      </c>
      <c r="EI34" s="53">
        <v>1043497769</v>
      </c>
      <c r="EJ34" s="53">
        <v>10841294361</v>
      </c>
      <c r="EK34" s="53">
        <f ca="1">INDIRECT("ZS(-1)",0) * 'Correction factor'!$C$13</f>
        <v>15035389640.708496</v>
      </c>
      <c r="EL34" s="53">
        <f t="shared" ca="1" si="54"/>
        <v>16078887409.708496</v>
      </c>
      <c r="EM34" s="53">
        <f t="shared" ca="1" si="55"/>
        <v>12.21760022485911</v>
      </c>
      <c r="EN34" s="53">
        <v>3655645167</v>
      </c>
      <c r="EO34" s="53">
        <v>85338952</v>
      </c>
      <c r="EP34" s="53">
        <f ca="1">INDIRECT("ZS(-1)",0) * 'Correction factor'!$C$13</f>
        <v>118353431.99106404</v>
      </c>
      <c r="EQ34" s="53">
        <f t="shared" ca="1" si="56"/>
        <v>3773998598.9910641</v>
      </c>
      <c r="ER34" s="53">
        <f t="shared" ca="1" si="57"/>
        <v>2.5660055260119345</v>
      </c>
      <c r="ES34" s="53">
        <v>4053534142</v>
      </c>
      <c r="ET34" s="53">
        <v>99973921</v>
      </c>
      <c r="EU34" s="53">
        <f ca="1">INDIRECT("ZS(-1)",0) * 'Correction factor'!$C$13</f>
        <v>138650128.48943245</v>
      </c>
      <c r="EV34" s="53">
        <f t="shared" ca="1" si="58"/>
        <v>4192184270.4894323</v>
      </c>
      <c r="EW34" s="53">
        <f t="shared" ca="1" si="59"/>
        <v>2.8656202734039464</v>
      </c>
      <c r="EX34" s="53">
        <v>3437867247</v>
      </c>
      <c r="EY34" s="53">
        <v>72605523</v>
      </c>
      <c r="EZ34" s="53">
        <f ca="1">INDIRECT("ZS(-1)",0) * 'Correction factor'!$C$13</f>
        <v>100693910.89494674</v>
      </c>
      <c r="FA34" s="53">
        <f t="shared" ca="1" si="60"/>
        <v>3538561157.8949466</v>
      </c>
      <c r="FB34" s="53">
        <f t="shared" ca="1" si="61"/>
        <v>2.5228870177187397</v>
      </c>
      <c r="FC34" s="53">
        <v>1596611643</v>
      </c>
      <c r="FD34" s="53">
        <v>6676106714</v>
      </c>
      <c r="FE34" s="53">
        <f ca="1">INDIRECT("ZS(-1)",0) * 'Correction factor'!$C$13</f>
        <v>9258845151.2796288</v>
      </c>
      <c r="FF34" s="53">
        <f t="shared" ca="1" si="62"/>
        <v>10855456794.279629</v>
      </c>
      <c r="FG34" s="53">
        <f t="shared" ca="1" si="63"/>
        <v>8.3776402956101634</v>
      </c>
      <c r="FH34" s="53">
        <v>3403866897</v>
      </c>
      <c r="FI34" s="53">
        <v>3713570901</v>
      </c>
      <c r="FJ34" s="53">
        <f ca="1">INDIRECT("ZS(-1)",0) * 'Correction factor'!$C$13</f>
        <v>5150213950.0787163</v>
      </c>
      <c r="FK34" s="53">
        <f t="shared" ca="1" si="64"/>
        <v>8554080847.0787163</v>
      </c>
      <c r="FL34" s="53">
        <f t="shared" ca="1" si="65"/>
        <v>4.8189331411745693</v>
      </c>
      <c r="FM34" s="53">
        <v>2047270547</v>
      </c>
      <c r="FN34" s="53">
        <v>105767041</v>
      </c>
      <c r="FO34" s="53">
        <f ca="1">INDIRECT("ZS(-1)",0) * 'Correction factor'!$C$13</f>
        <v>146684392.06857827</v>
      </c>
      <c r="FP34" s="53">
        <f t="shared" ca="1" si="66"/>
        <v>2193954939.0685782</v>
      </c>
      <c r="FQ34" s="53">
        <f t="shared" ca="1" si="67"/>
        <v>1.5504935679416083</v>
      </c>
      <c r="FR34" s="53">
        <v>1831359509</v>
      </c>
      <c r="FS34" s="53">
        <v>276590531</v>
      </c>
      <c r="FT34" s="53">
        <f ca="1">INDIRECT("ZS(-1)",0) * 'Correction factor'!$C$13</f>
        <v>383593163.88231242</v>
      </c>
      <c r="FU34" s="53">
        <f t="shared" ca="1" si="68"/>
        <v>2214952672.8823123</v>
      </c>
      <c r="FV34" s="53">
        <f t="shared" ca="1" si="69"/>
        <v>1.5451612827849182</v>
      </c>
      <c r="FW34" s="53">
        <v>1553999198</v>
      </c>
      <c r="FX34" s="53">
        <v>14994395868</v>
      </c>
      <c r="FY34" s="53">
        <f ca="1">INDIRECT("ZS(-1)",0) * 'Correction factor'!$C$13</f>
        <v>20795172310.182926</v>
      </c>
      <c r="FZ34" s="53">
        <f t="shared" ca="1" si="70"/>
        <v>22349171508.182926</v>
      </c>
      <c r="GA34" s="53">
        <f t="shared" ca="1" si="71"/>
        <v>17.935191675919377</v>
      </c>
      <c r="GB34" s="53">
        <v>3191639754</v>
      </c>
      <c r="GC34" s="53">
        <v>50245675</v>
      </c>
      <c r="GD34" s="53">
        <f ca="1">INDIRECT("ZS(-1)",0) * 'Correction factor'!$C$13</f>
        <v>69683865.80324547</v>
      </c>
      <c r="GE34" s="53">
        <f t="shared" ca="1" si="72"/>
        <v>3261323619.8032455</v>
      </c>
      <c r="GF34" s="53">
        <f t="shared" ca="1" si="73"/>
        <v>2.2742685897804611</v>
      </c>
      <c r="GG34" s="53">
        <v>2214320936</v>
      </c>
      <c r="GH34" s="53">
        <v>71403917</v>
      </c>
      <c r="GI34" s="53">
        <f ca="1">INDIRECT("ZS(-1)",0) * 'Correction factor'!$C$13</f>
        <v>99027448.035160795</v>
      </c>
      <c r="GJ34" s="53">
        <f t="shared" ca="1" si="74"/>
        <v>2313348384.035161</v>
      </c>
      <c r="GK34" s="53">
        <f t="shared" ca="1" si="75"/>
        <v>1.6130878740691845</v>
      </c>
      <c r="GL34" s="53">
        <v>436739320</v>
      </c>
      <c r="GM34" s="53">
        <v>4046336762</v>
      </c>
      <c r="GN34" s="53">
        <f ca="1">INDIRECT("ZS(-1)",0) * 'Correction factor'!$C$13</f>
        <v>5611714598.6783304</v>
      </c>
      <c r="GO34" s="53">
        <f t="shared" ca="1" si="76"/>
        <v>6048453918.6783304</v>
      </c>
      <c r="GP34" s="53">
        <f t="shared" ca="1" si="77"/>
        <v>4.1725374886011002</v>
      </c>
      <c r="GQ34" s="53">
        <v>3291381663</v>
      </c>
      <c r="GR34" s="53">
        <v>95896578</v>
      </c>
      <c r="GS34" s="53">
        <f ca="1">INDIRECT("ZS(-1)",0) * 'Correction factor'!$C$13</f>
        <v>132995412.48759146</v>
      </c>
      <c r="GT34" s="53">
        <f t="shared" ca="1" si="78"/>
        <v>3424377075.4875913</v>
      </c>
      <c r="GU34" s="53">
        <f t="shared" ca="1" si="79"/>
        <v>3.5506819082262333</v>
      </c>
      <c r="GV34" s="53">
        <v>3959297326</v>
      </c>
      <c r="GW34" s="53">
        <v>517142448</v>
      </c>
      <c r="GX34" s="53">
        <f ca="1">INDIRECT("ZS(-1)",0) * 'Correction factor'!$C$13</f>
        <v>717205708.70216894</v>
      </c>
      <c r="GY34" s="53">
        <f t="shared" ca="1" si="80"/>
        <v>4676503034.7021694</v>
      </c>
      <c r="GZ34" s="53">
        <f t="shared" ca="1" si="81"/>
        <v>3.3198795475620186</v>
      </c>
      <c r="HA34" s="53">
        <v>935841817</v>
      </c>
      <c r="HB34" s="53">
        <v>10908264015</v>
      </c>
      <c r="HC34" s="53">
        <f ca="1">INDIRECT("ZS(-1)",0) * 'Correction factor'!$C$13</f>
        <v>15128267373.612389</v>
      </c>
      <c r="HD34" s="53">
        <f t="shared" ca="1" si="82"/>
        <v>16064109190.612389</v>
      </c>
      <c r="HE34" s="53">
        <f t="shared" ca="1" si="83"/>
        <v>11.764976153360761</v>
      </c>
      <c r="HF34" s="53">
        <v>1492098203</v>
      </c>
      <c r="HG34" s="53">
        <v>17429202175</v>
      </c>
      <c r="HH34" s="53">
        <f ca="1">INDIRECT("ZS(-1)",0) * 'Correction factor'!$C$13</f>
        <v>24171915004.034359</v>
      </c>
      <c r="HI34" s="53">
        <f t="shared" ca="1" si="84"/>
        <v>25664013207.034359</v>
      </c>
      <c r="HJ34" s="53">
        <f t="shared" ca="1" si="85"/>
        <v>18.904880416944145</v>
      </c>
      <c r="HK34" s="53">
        <v>2762780665</v>
      </c>
      <c r="HL34" s="53">
        <v>30172755314</v>
      </c>
      <c r="HM34" s="53">
        <f ca="1">INDIRECT("ZS(-1)",0) * 'Correction factor'!$C$13</f>
        <v>41845476893.582138</v>
      </c>
      <c r="HN34" s="53">
        <f t="shared" ca="1" si="86"/>
        <v>44608257558.582138</v>
      </c>
      <c r="HO34" s="53">
        <f t="shared" ca="1" si="87"/>
        <v>33.208362721055586</v>
      </c>
      <c r="HP34" s="53">
        <v>4224089757</v>
      </c>
      <c r="HQ34" s="53">
        <v>16265190</v>
      </c>
      <c r="HR34" s="53">
        <f ca="1">INDIRECT("ZS(-1)",0) * 'Correction factor'!$C$13</f>
        <v>22557589.627849367</v>
      </c>
      <c r="HS34" s="53">
        <f t="shared" ca="1" si="88"/>
        <v>4246647346.6278496</v>
      </c>
      <c r="HT34" s="53">
        <f t="shared" ca="1" si="89"/>
        <v>2.7530694479140077</v>
      </c>
      <c r="HU34" s="53">
        <v>2748469392</v>
      </c>
      <c r="HV34" s="53">
        <v>1164993786</v>
      </c>
      <c r="HW34" s="53">
        <f ca="1">INDIRECT("ZS(-1)",0) * 'Correction factor'!$C$13</f>
        <v>1615686736.1268184</v>
      </c>
      <c r="HX34" s="53">
        <f t="shared" ca="1" si="90"/>
        <v>4364156128.1268187</v>
      </c>
      <c r="HY34" s="53">
        <f t="shared" ca="1" si="91"/>
        <v>3.4245675299673013</v>
      </c>
      <c r="HZ34" s="53">
        <v>470279761</v>
      </c>
      <c r="IA34" s="53">
        <v>5674129648</v>
      </c>
      <c r="IB34" s="53">
        <f ca="1">INDIRECT("ZS(-1)",0) * 'Correction factor'!$C$13</f>
        <v>7869240266.7781553</v>
      </c>
      <c r="IC34" s="53">
        <f t="shared" ca="1" si="92"/>
        <v>8339520027.7781553</v>
      </c>
      <c r="ID34" s="53">
        <f t="shared" ca="1" si="93"/>
        <v>6.4667375528049806</v>
      </c>
      <c r="IE34" s="53">
        <v>1892430937</v>
      </c>
      <c r="IF34" s="53">
        <v>13566805</v>
      </c>
      <c r="IG34" s="53">
        <f ca="1">INDIRECT("ZS(-1)",0) * 'Correction factor'!$C$13</f>
        <v>18815299.406342927</v>
      </c>
      <c r="IH34" s="53">
        <f t="shared" ca="1" si="94"/>
        <v>1911246236.406343</v>
      </c>
      <c r="II34" s="61">
        <f t="shared" ca="1" si="95"/>
        <v>1.4625079334946967</v>
      </c>
    </row>
    <row r="35" spans="1:243" x14ac:dyDescent="0.25">
      <c r="A35" s="5">
        <v>31</v>
      </c>
      <c r="B35" s="30">
        <v>45522</v>
      </c>
      <c r="C35" s="29" t="s">
        <v>34</v>
      </c>
      <c r="D35" s="52">
        <v>8867091738</v>
      </c>
      <c r="E35" s="53">
        <v>29797649</v>
      </c>
      <c r="F35" s="53">
        <f ca="1">INDIRECT("ZS(-1)",0) * 'Correction factor'!$C$13</f>
        <v>41325255.838800289</v>
      </c>
      <c r="G35" s="53">
        <f t="shared" ca="1" si="0"/>
        <v>8908416993.8388004</v>
      </c>
      <c r="H35" s="53">
        <f t="shared" ca="1" si="1"/>
        <v>6.4429890031190773</v>
      </c>
      <c r="I35" s="53">
        <v>7616761756</v>
      </c>
      <c r="J35" s="53">
        <v>86007516</v>
      </c>
      <c r="K35" s="53">
        <f ca="1">INDIRECT("ZS(-1)",0) * 'Correction factor'!$C$13</f>
        <v>119280638.64232072</v>
      </c>
      <c r="L35" s="53">
        <f t="shared" ca="1" si="2"/>
        <v>7736042394.6423206</v>
      </c>
      <c r="M35" s="53">
        <f t="shared" ca="1" si="3"/>
        <v>5.0710024675478289</v>
      </c>
      <c r="N35" s="53">
        <v>4933035510</v>
      </c>
      <c r="O35" s="53">
        <v>17375649</v>
      </c>
      <c r="P35" s="53">
        <f ca="1">INDIRECT("ZS(-1)",0) * 'Correction factor'!$C$13</f>
        <v>24097644.088974752</v>
      </c>
      <c r="Q35" s="53">
        <f t="shared" ca="1" si="4"/>
        <v>4957133154.088975</v>
      </c>
      <c r="R35" s="53">
        <f t="shared" ca="1" si="5"/>
        <v>3.8591455753241237</v>
      </c>
      <c r="S35" s="53">
        <v>0</v>
      </c>
      <c r="T35" s="53">
        <v>0</v>
      </c>
      <c r="U35" s="53">
        <f ca="1">INDIRECT("ZS(-1)",0) * 'Correction factor'!$C$13</f>
        <v>0</v>
      </c>
      <c r="V35" s="53">
        <f t="shared" ca="1" si="6"/>
        <v>0</v>
      </c>
      <c r="W35" s="53">
        <f t="shared" ca="1" si="7"/>
        <v>0</v>
      </c>
      <c r="X35" s="53">
        <v>7978148545</v>
      </c>
      <c r="Y35" s="53">
        <v>31042508</v>
      </c>
      <c r="Z35" s="53">
        <f ca="1">INDIRECT("ZS(-1)",0) * 'Correction factor'!$C$13</f>
        <v>43051704.682406478</v>
      </c>
      <c r="AA35" s="53">
        <f t="shared" ca="1" si="8"/>
        <v>8021200249.6824064</v>
      </c>
      <c r="AB35" s="53">
        <f t="shared" ca="1" si="9"/>
        <v>5.5942203884015793</v>
      </c>
      <c r="AC35" s="53">
        <v>5719080421</v>
      </c>
      <c r="AD35" s="53">
        <v>22828058</v>
      </c>
      <c r="AE35" s="53">
        <f ca="1">INDIRECT("ZS(-1)",0) * 'Correction factor'!$C$13</f>
        <v>31659388.200490974</v>
      </c>
      <c r="AF35" s="53">
        <f t="shared" ca="1" si="10"/>
        <v>5750739809.200491</v>
      </c>
      <c r="AG35" s="53">
        <f t="shared" ca="1" si="11"/>
        <v>3.7098834506029696</v>
      </c>
      <c r="AH35" s="53">
        <v>0</v>
      </c>
      <c r="AI35" s="53">
        <v>0</v>
      </c>
      <c r="AJ35" s="53">
        <f ca="1">INDIRECT("ZS(-1)",0) * 'Correction factor'!$C$13</f>
        <v>0</v>
      </c>
      <c r="AK35" s="53">
        <f t="shared" ca="1" si="12"/>
        <v>0</v>
      </c>
      <c r="AL35" s="53">
        <f t="shared" ca="1" si="13"/>
        <v>0</v>
      </c>
      <c r="AM35" s="53">
        <v>729328910</v>
      </c>
      <c r="AN35" s="53">
        <v>7573683221</v>
      </c>
      <c r="AO35" s="53">
        <f ca="1">INDIRECT("ZS(-1)",0) * 'Correction factor'!$C$13</f>
        <v>10503660766.990511</v>
      </c>
      <c r="AP35" s="53">
        <f t="shared" ca="1" si="14"/>
        <v>11232989676.990511</v>
      </c>
      <c r="AQ35" s="53">
        <f t="shared" ca="1" si="15"/>
        <v>7.2948534952437774</v>
      </c>
      <c r="AR35" s="53">
        <v>0</v>
      </c>
      <c r="AS35" s="53">
        <v>0</v>
      </c>
      <c r="AT35" s="53">
        <f ca="1">INDIRECT("ZS(-1)",0) * 'Correction factor'!$C$13</f>
        <v>0</v>
      </c>
      <c r="AU35" s="53">
        <f t="shared" ca="1" si="16"/>
        <v>0</v>
      </c>
      <c r="AV35" s="53">
        <f t="shared" ca="1" si="17"/>
        <v>0</v>
      </c>
      <c r="AW35" s="53">
        <v>0</v>
      </c>
      <c r="AX35" s="53">
        <v>0</v>
      </c>
      <c r="AY35" s="53">
        <f ca="1">INDIRECT("ZS(-1)",0) * 'Correction factor'!$C$13</f>
        <v>0</v>
      </c>
      <c r="AZ35" s="53">
        <f t="shared" ca="1" si="18"/>
        <v>0</v>
      </c>
      <c r="BA35" s="53">
        <f t="shared" ca="1" si="19"/>
        <v>0</v>
      </c>
      <c r="BB35" s="53">
        <v>103445749</v>
      </c>
      <c r="BC35" s="53">
        <v>120692511</v>
      </c>
      <c r="BD35" s="53">
        <f ca="1">INDIRECT("ZS(-1)",0) * 'Correction factor'!$C$13</f>
        <v>167383973.64510933</v>
      </c>
      <c r="BE35" s="53">
        <f t="shared" ca="1" si="20"/>
        <v>270829722.6451093</v>
      </c>
      <c r="BF35" s="53">
        <f t="shared" ca="1" si="21"/>
        <v>0.18383041161536387</v>
      </c>
      <c r="BG35" s="53">
        <v>117328308</v>
      </c>
      <c r="BH35" s="53">
        <v>17009248</v>
      </c>
      <c r="BI35" s="53">
        <f ca="1">INDIRECT("ZS(-1)",0) * 'Correction factor'!$C$13</f>
        <v>23589496.111777212</v>
      </c>
      <c r="BJ35" s="53">
        <f t="shared" ca="1" si="22"/>
        <v>140917804.11177722</v>
      </c>
      <c r="BK35" s="53">
        <f t="shared" ca="1" si="23"/>
        <v>8.5832680856444854E-2</v>
      </c>
      <c r="BL35" s="53">
        <v>2674302175</v>
      </c>
      <c r="BM35" s="53">
        <v>28669558734</v>
      </c>
      <c r="BN35" s="53">
        <f ca="1">INDIRECT("ZS(-1)",0) * 'Correction factor'!$C$13</f>
        <v>39760749227.835434</v>
      </c>
      <c r="BO35" s="53">
        <f t="shared" ca="1" si="24"/>
        <v>42435051402.835434</v>
      </c>
      <c r="BP35" s="53">
        <f t="shared" ca="1" si="25"/>
        <v>203.51974913221582</v>
      </c>
      <c r="BQ35" s="53">
        <v>2379177558</v>
      </c>
      <c r="BR35" s="53">
        <v>26726455046</v>
      </c>
      <c r="BS35" s="53">
        <f ca="1">INDIRECT("ZS(-1)",0) * 'Correction factor'!$C$13</f>
        <v>37065930686.013008</v>
      </c>
      <c r="BT35" s="53">
        <f t="shared" ca="1" si="26"/>
        <v>39445108244.013008</v>
      </c>
      <c r="BU35" s="53">
        <f t="shared" ca="1" si="27"/>
        <v>231.57669080113152</v>
      </c>
      <c r="BV35" s="53">
        <v>0</v>
      </c>
      <c r="BW35" s="53">
        <v>0</v>
      </c>
      <c r="BX35" s="53">
        <f ca="1">INDIRECT("ZS(-1)",0) * 'Correction factor'!$C$13</f>
        <v>0</v>
      </c>
      <c r="BY35" s="53">
        <f t="shared" ca="1" si="28"/>
        <v>0</v>
      </c>
      <c r="BZ35" s="53">
        <f t="shared" ca="1" si="29"/>
        <v>0</v>
      </c>
      <c r="CA35" s="53">
        <v>1757720869</v>
      </c>
      <c r="CB35" s="53">
        <v>20417194366</v>
      </c>
      <c r="CC35" s="53">
        <f ca="1">INDIRECT("ZS(-1)",0) * 'Correction factor'!$C$13</f>
        <v>28315850713.103638</v>
      </c>
      <c r="CD35" s="53">
        <f t="shared" ca="1" si="30"/>
        <v>30073571582.103638</v>
      </c>
      <c r="CE35" s="53">
        <f t="shared" ca="1" si="31"/>
        <v>170.22397495415453</v>
      </c>
      <c r="CF35" s="53">
        <v>0</v>
      </c>
      <c r="CG35" s="53">
        <v>0</v>
      </c>
      <c r="CH35" s="53">
        <f ca="1">INDIRECT("ZS(-1)",0) * 'Correction factor'!$C$13</f>
        <v>0</v>
      </c>
      <c r="CI35" s="53">
        <f t="shared" ca="1" si="32"/>
        <v>0</v>
      </c>
      <c r="CJ35" s="53">
        <f t="shared" ca="1" si="33"/>
        <v>0</v>
      </c>
      <c r="CK35" s="53">
        <v>0</v>
      </c>
      <c r="CL35" s="53">
        <v>0</v>
      </c>
      <c r="CM35" s="53">
        <f ca="1">INDIRECT("ZS(-1)",0) * 'Correction factor'!$C$13</f>
        <v>0</v>
      </c>
      <c r="CN35" s="53">
        <f t="shared" ca="1" si="34"/>
        <v>0</v>
      </c>
      <c r="CO35" s="53">
        <f t="shared" ca="1" si="35"/>
        <v>0</v>
      </c>
      <c r="CP35" s="53">
        <v>1173074928</v>
      </c>
      <c r="CQ35" s="53">
        <v>28867035</v>
      </c>
      <c r="CR35" s="53">
        <f ca="1">INDIRECT("ZS(-1)",0) * 'Correction factor'!$C$13</f>
        <v>40034621.747594997</v>
      </c>
      <c r="CS35" s="53">
        <f t="shared" ca="1" si="36"/>
        <v>1213109549.7475951</v>
      </c>
      <c r="CT35" s="53">
        <f t="shared" ca="1" si="37"/>
        <v>0.82640640267818199</v>
      </c>
      <c r="CU35" s="53">
        <v>726421747</v>
      </c>
      <c r="CV35" s="53">
        <v>176520207</v>
      </c>
      <c r="CW35" s="53">
        <f ca="1">INDIRECT("ZS(-1)",0) * 'Correction factor'!$C$13</f>
        <v>244809337.64247593</v>
      </c>
      <c r="CX35" s="53">
        <f t="shared" ca="1" si="38"/>
        <v>971231084.64247596</v>
      </c>
      <c r="CY35" s="53">
        <f t="shared" ca="1" si="39"/>
        <v>0.74310538939312598</v>
      </c>
      <c r="CZ35" s="53">
        <v>0</v>
      </c>
      <c r="DA35" s="53">
        <v>0</v>
      </c>
      <c r="DB35" s="53">
        <f ca="1">INDIRECT("ZS(-1)",0) * 'Correction factor'!$C$13</f>
        <v>0</v>
      </c>
      <c r="DC35" s="53">
        <f t="shared" ca="1" si="40"/>
        <v>0</v>
      </c>
      <c r="DD35" s="53">
        <f t="shared" ca="1" si="41"/>
        <v>0</v>
      </c>
      <c r="DE35" s="53">
        <v>1509051707</v>
      </c>
      <c r="DF35" s="53">
        <v>4872254276</v>
      </c>
      <c r="DG35" s="53">
        <f ca="1">INDIRECT("ZS(-1)",0) * 'Correction factor'!$C$13</f>
        <v>6757149010.8964195</v>
      </c>
      <c r="DH35" s="53">
        <f t="shared" ca="1" si="42"/>
        <v>8266200717.8964195</v>
      </c>
      <c r="DI35" s="53">
        <f t="shared" ca="1" si="43"/>
        <v>6.018931474806223</v>
      </c>
      <c r="DJ35" s="53">
        <v>1337955939</v>
      </c>
      <c r="DK35" s="53">
        <v>13993289953</v>
      </c>
      <c r="DL35" s="53">
        <f ca="1">INDIRECT("ZS(-1)",0) * 'Correction factor'!$C$13</f>
        <v>19406775592.740173</v>
      </c>
      <c r="DM35" s="53">
        <f t="shared" ca="1" si="44"/>
        <v>20744731531.740173</v>
      </c>
      <c r="DN35" s="53">
        <f t="shared" ca="1" si="45"/>
        <v>17.098643113209938</v>
      </c>
      <c r="DO35" s="53">
        <v>2263619633</v>
      </c>
      <c r="DP35" s="53">
        <v>1386992581</v>
      </c>
      <c r="DQ35" s="53">
        <f ca="1">INDIRECT("ZS(-1)",0) * 'Correction factor'!$C$13</f>
        <v>1923568643.1618459</v>
      </c>
      <c r="DR35" s="53">
        <f t="shared" ca="1" si="46"/>
        <v>4187188276.1618462</v>
      </c>
      <c r="DS35" s="53">
        <f t="shared" ca="1" si="47"/>
        <v>3.1546243546442159</v>
      </c>
      <c r="DT35" s="53">
        <v>1720878710</v>
      </c>
      <c r="DU35" s="53">
        <v>17348012976</v>
      </c>
      <c r="DV35" s="53">
        <f ca="1">INDIRECT("ZS(-1)",0) * 'Correction factor'!$C$13</f>
        <v>24059316710.792423</v>
      </c>
      <c r="DW35" s="53">
        <f t="shared" ca="1" si="48"/>
        <v>25780195420.792423</v>
      </c>
      <c r="DX35" s="53">
        <f t="shared" ca="1" si="49"/>
        <v>18.983885460060609</v>
      </c>
      <c r="DY35" s="53">
        <v>1598490209</v>
      </c>
      <c r="DZ35" s="53">
        <v>16815813252</v>
      </c>
      <c r="EA35" s="53">
        <f ca="1">INDIRECT("ZS(-1)",0) * 'Correction factor'!$C$13</f>
        <v>23321228623.653774</v>
      </c>
      <c r="EB35" s="53">
        <f t="shared" ca="1" si="50"/>
        <v>24919718832.653774</v>
      </c>
      <c r="EC35" s="53">
        <f t="shared" ca="1" si="51"/>
        <v>17.623228572880503</v>
      </c>
      <c r="ED35" s="53">
        <v>0</v>
      </c>
      <c r="EE35" s="53">
        <v>0</v>
      </c>
      <c r="EF35" s="53">
        <f ca="1">INDIRECT("ZS(-1)",0) * 'Correction factor'!$C$13</f>
        <v>0</v>
      </c>
      <c r="EG35" s="53">
        <f t="shared" ca="1" si="52"/>
        <v>0</v>
      </c>
      <c r="EH35" s="53">
        <f t="shared" ca="1" si="53"/>
        <v>0</v>
      </c>
      <c r="EI35" s="53">
        <v>1155637903</v>
      </c>
      <c r="EJ35" s="53">
        <v>12066017096</v>
      </c>
      <c r="EK35" s="53">
        <f ca="1">INDIRECT("ZS(-1)",0) * 'Correction factor'!$C$13</f>
        <v>16733912244.135036</v>
      </c>
      <c r="EL35" s="53">
        <f t="shared" ca="1" si="54"/>
        <v>17889550147.135036</v>
      </c>
      <c r="EM35" s="53">
        <f t="shared" ca="1" si="55"/>
        <v>13.59343879529211</v>
      </c>
      <c r="EN35" s="53">
        <v>3245451191</v>
      </c>
      <c r="EO35" s="53">
        <v>85357508</v>
      </c>
      <c r="EP35" s="53">
        <f ca="1">INDIRECT("ZS(-1)",0) * 'Correction factor'!$C$13</f>
        <v>118379166.62024048</v>
      </c>
      <c r="EQ35" s="53">
        <f t="shared" ca="1" si="56"/>
        <v>3363830357.6202407</v>
      </c>
      <c r="ER35" s="53">
        <f t="shared" ca="1" si="57"/>
        <v>2.2871251962117323</v>
      </c>
      <c r="ES35" s="53">
        <v>4115462241</v>
      </c>
      <c r="ET35" s="53">
        <v>103704716</v>
      </c>
      <c r="EU35" s="53">
        <f ca="1">INDIRECT("ZS(-1)",0) * 'Correction factor'!$C$13</f>
        <v>143824229.90451783</v>
      </c>
      <c r="EV35" s="53">
        <f t="shared" ca="1" si="58"/>
        <v>4259286470.9045177</v>
      </c>
      <c r="EW35" s="53">
        <f t="shared" ca="1" si="59"/>
        <v>2.9114888262853382</v>
      </c>
      <c r="EX35" s="53">
        <v>3099475046</v>
      </c>
      <c r="EY35" s="53">
        <v>74745638</v>
      </c>
      <c r="EZ35" s="53">
        <f ca="1">INDIRECT("ZS(-1)",0) * 'Correction factor'!$C$13</f>
        <v>103661957.12904574</v>
      </c>
      <c r="FA35" s="53">
        <f t="shared" ca="1" si="60"/>
        <v>3203137003.129046</v>
      </c>
      <c r="FB35" s="53">
        <f t="shared" ca="1" si="61"/>
        <v>2.2837397463482514</v>
      </c>
      <c r="FC35" s="53">
        <v>1499004905</v>
      </c>
      <c r="FD35" s="53">
        <v>8005727751</v>
      </c>
      <c r="FE35" s="53">
        <f ca="1">INDIRECT("ZS(-1)",0) * 'Correction factor'!$C$13</f>
        <v>11102847324.829494</v>
      </c>
      <c r="FF35" s="53">
        <f t="shared" ca="1" si="62"/>
        <v>12601852229.829494</v>
      </c>
      <c r="FG35" s="53">
        <f t="shared" ca="1" si="63"/>
        <v>9.7254115640326919</v>
      </c>
      <c r="FH35" s="53">
        <v>3074782758</v>
      </c>
      <c r="FI35" s="53">
        <v>4536189879</v>
      </c>
      <c r="FJ35" s="53">
        <f ca="1">INDIRECT("ZS(-1)",0) * 'Correction factor'!$C$13</f>
        <v>6291073744.8800583</v>
      </c>
      <c r="FK35" s="53">
        <f t="shared" ca="1" si="64"/>
        <v>9365856502.8800583</v>
      </c>
      <c r="FL35" s="53">
        <f t="shared" ca="1" si="65"/>
        <v>5.2762461688244944</v>
      </c>
      <c r="FM35" s="53">
        <v>1653359126</v>
      </c>
      <c r="FN35" s="53">
        <v>120610067</v>
      </c>
      <c r="FO35" s="53">
        <f ca="1">INDIRECT("ZS(-1)",0) * 'Correction factor'!$C$13</f>
        <v>167269635.11483219</v>
      </c>
      <c r="FP35" s="53">
        <f t="shared" ca="1" si="66"/>
        <v>1820628761.1148322</v>
      </c>
      <c r="FQ35" s="53">
        <f t="shared" ca="1" si="67"/>
        <v>1.28665959972563</v>
      </c>
      <c r="FR35" s="53">
        <v>1470740850</v>
      </c>
      <c r="FS35" s="53">
        <v>333232338</v>
      </c>
      <c r="FT35" s="53">
        <f ca="1">INDIRECT("ZS(-1)",0) * 'Correction factor'!$C$13</f>
        <v>462147588.27488607</v>
      </c>
      <c r="FU35" s="53">
        <f t="shared" ca="1" si="68"/>
        <v>1932888438.2748861</v>
      </c>
      <c r="FV35" s="53">
        <f t="shared" ca="1" si="69"/>
        <v>1.3483919612957116</v>
      </c>
      <c r="FW35" s="53">
        <v>1747821710</v>
      </c>
      <c r="FX35" s="53">
        <v>16767938096</v>
      </c>
      <c r="FY35" s="53">
        <f ca="1">INDIRECT("ZS(-1)",0) * 'Correction factor'!$C$13</f>
        <v>23254832342.859188</v>
      </c>
      <c r="FZ35" s="53">
        <f t="shared" ca="1" si="70"/>
        <v>25002654052.859188</v>
      </c>
      <c r="GA35" s="53">
        <f t="shared" ca="1" si="71"/>
        <v>20.06460922636639</v>
      </c>
      <c r="GB35" s="53">
        <v>3207537542</v>
      </c>
      <c r="GC35" s="53">
        <v>52703479</v>
      </c>
      <c r="GD35" s="53">
        <f ca="1">INDIRECT("ZS(-1)",0) * 'Correction factor'!$C$13</f>
        <v>73092503.145796448</v>
      </c>
      <c r="GE35" s="53">
        <f t="shared" ca="1" si="72"/>
        <v>3280630045.1457963</v>
      </c>
      <c r="GF35" s="53">
        <f t="shared" ca="1" si="73"/>
        <v>2.2877318341119612</v>
      </c>
      <c r="GG35" s="53">
        <v>2306774992</v>
      </c>
      <c r="GH35" s="53">
        <v>72985332</v>
      </c>
      <c r="GI35" s="53">
        <f ca="1">INDIRECT("ZS(-1)",0) * 'Correction factor'!$C$13</f>
        <v>101220653.93077748</v>
      </c>
      <c r="GJ35" s="53">
        <f t="shared" ca="1" si="74"/>
        <v>2407995645.9307775</v>
      </c>
      <c r="GK35" s="53">
        <f t="shared" ca="1" si="75"/>
        <v>1.6790850025308131</v>
      </c>
      <c r="GL35" s="53">
        <v>498337151</v>
      </c>
      <c r="GM35" s="53">
        <v>5095705140</v>
      </c>
      <c r="GN35" s="53">
        <f ca="1">INDIRECT("ZS(-1)",0) * 'Correction factor'!$C$13</f>
        <v>7067044738.6500072</v>
      </c>
      <c r="GO35" s="53">
        <f t="shared" ca="1" si="76"/>
        <v>7565381889.6500072</v>
      </c>
      <c r="GP35" s="53">
        <f t="shared" ca="1" si="77"/>
        <v>5.2189931467720054</v>
      </c>
      <c r="GQ35" s="53">
        <v>3150922866</v>
      </c>
      <c r="GR35" s="53">
        <v>100390957</v>
      </c>
      <c r="GS35" s="53">
        <f ca="1">INDIRECT("ZS(-1)",0) * 'Correction factor'!$C$13</f>
        <v>139228500.27285704</v>
      </c>
      <c r="GT35" s="53">
        <f t="shared" ca="1" si="78"/>
        <v>3290151366.2728572</v>
      </c>
      <c r="GU35" s="53">
        <f t="shared" ca="1" si="79"/>
        <v>3.4115054136926313</v>
      </c>
      <c r="GV35" s="53">
        <v>4001964942</v>
      </c>
      <c r="GW35" s="53">
        <v>598592538</v>
      </c>
      <c r="GX35" s="53">
        <f ca="1">INDIRECT("ZS(-1)",0) * 'Correction factor'!$C$13</f>
        <v>830165822.00987685</v>
      </c>
      <c r="GY35" s="53">
        <f t="shared" ca="1" si="80"/>
        <v>4832130764.0098772</v>
      </c>
      <c r="GZ35" s="53">
        <f t="shared" ca="1" si="81"/>
        <v>3.4303606723957336</v>
      </c>
      <c r="HA35" s="53">
        <v>1007921662</v>
      </c>
      <c r="HB35" s="53">
        <v>11782191323</v>
      </c>
      <c r="HC35" s="53">
        <f ca="1">INDIRECT("ZS(-1)",0) * 'Correction factor'!$C$13</f>
        <v>16340284791.080929</v>
      </c>
      <c r="HD35" s="53">
        <f t="shared" ca="1" si="82"/>
        <v>17348206453.080929</v>
      </c>
      <c r="HE35" s="53">
        <f t="shared" ca="1" si="83"/>
        <v>12.705418819199133</v>
      </c>
      <c r="HF35" s="53">
        <v>1618735692</v>
      </c>
      <c r="HG35" s="53">
        <v>18674929247</v>
      </c>
      <c r="HH35" s="53">
        <f ca="1">INDIRECT("ZS(-1)",0) * 'Correction factor'!$C$13</f>
        <v>25899567744.548203</v>
      </c>
      <c r="HI35" s="53">
        <f t="shared" ca="1" si="84"/>
        <v>27518303436.548203</v>
      </c>
      <c r="HJ35" s="53">
        <f t="shared" ca="1" si="85"/>
        <v>20.270806110812583</v>
      </c>
      <c r="HK35" s="53">
        <v>2916373682</v>
      </c>
      <c r="HL35" s="53">
        <v>31198732675</v>
      </c>
      <c r="HM35" s="53">
        <f ca="1">INDIRECT("ZS(-1)",0) * 'Correction factor'!$C$13</f>
        <v>43268366898.365471</v>
      </c>
      <c r="HN35" s="53">
        <f t="shared" ca="1" si="86"/>
        <v>46184740580.365471</v>
      </c>
      <c r="HO35" s="53">
        <f t="shared" ca="1" si="87"/>
        <v>34.381966508251587</v>
      </c>
      <c r="HP35" s="53">
        <v>4578597849</v>
      </c>
      <c r="HQ35" s="53">
        <v>14921072</v>
      </c>
      <c r="HR35" s="53">
        <f ca="1">INDIRECT("ZS(-1)",0) * 'Correction factor'!$C$13</f>
        <v>20693482.153211467</v>
      </c>
      <c r="HS35" s="53">
        <f t="shared" ca="1" si="88"/>
        <v>4599291331.1532116</v>
      </c>
      <c r="HT35" s="53">
        <f t="shared" ca="1" si="89"/>
        <v>2.981685883549607</v>
      </c>
      <c r="HU35" s="53">
        <v>2691297345</v>
      </c>
      <c r="HV35" s="53">
        <v>1422124241</v>
      </c>
      <c r="HW35" s="53">
        <f ca="1">INDIRECT("ZS(-1)",0) * 'Correction factor'!$C$13</f>
        <v>1972291441.3108456</v>
      </c>
      <c r="HX35" s="53">
        <f t="shared" ca="1" si="90"/>
        <v>4663588786.3108454</v>
      </c>
      <c r="HY35" s="53">
        <f t="shared" ca="1" si="91"/>
        <v>3.6595333122453404</v>
      </c>
      <c r="HZ35" s="53">
        <v>520704463</v>
      </c>
      <c r="IA35" s="53">
        <v>6442566717</v>
      </c>
      <c r="IB35" s="53">
        <f ca="1">INDIRECT("ZS(-1)",0) * 'Correction factor'!$C$13</f>
        <v>8934957178.6205235</v>
      </c>
      <c r="IC35" s="53">
        <f t="shared" ca="1" si="92"/>
        <v>9455661641.6205235</v>
      </c>
      <c r="ID35" s="53">
        <f t="shared" ca="1" si="93"/>
        <v>7.3322303946521137</v>
      </c>
      <c r="IE35" s="53">
        <v>2109093145</v>
      </c>
      <c r="IF35" s="53">
        <v>14127766</v>
      </c>
      <c r="IG35" s="53">
        <f ca="1">INDIRECT("ZS(-1)",0) * 'Correction factor'!$C$13</f>
        <v>19593275.441988871</v>
      </c>
      <c r="IH35" s="53">
        <f t="shared" ca="1" si="94"/>
        <v>2128686420.4419889</v>
      </c>
      <c r="II35" s="61">
        <f t="shared" ca="1" si="95"/>
        <v>1.6288957008870446</v>
      </c>
    </row>
    <row r="36" spans="1:243" s="76" customFormat="1" x14ac:dyDescent="0.25">
      <c r="A36" s="70">
        <v>32</v>
      </c>
      <c r="B36" s="71">
        <v>45523</v>
      </c>
      <c r="C36" s="72" t="s">
        <v>35</v>
      </c>
      <c r="D36" s="73">
        <v>7819096653</v>
      </c>
      <c r="E36" s="74">
        <v>657356162</v>
      </c>
      <c r="F36" s="74">
        <f ca="1">INDIRECT("ZS(-1)",0) * 'Correction factor'!$C$13</f>
        <v>911662915.81801796</v>
      </c>
      <c r="G36" s="74">
        <f t="shared" ca="1" si="0"/>
        <v>8730759568.818018</v>
      </c>
      <c r="H36" s="74">
        <f t="shared" ca="1" si="1"/>
        <v>6.3144987408734945</v>
      </c>
      <c r="I36" s="74">
        <v>7057371871</v>
      </c>
      <c r="J36" s="74">
        <v>679810200</v>
      </c>
      <c r="K36" s="74">
        <f ca="1">INDIRECT("ZS(-1)",0) * 'Correction factor'!$C$13</f>
        <v>942803589.53238201</v>
      </c>
      <c r="L36" s="74">
        <f t="shared" ca="1" si="2"/>
        <v>8000175460.532382</v>
      </c>
      <c r="M36" s="74">
        <f t="shared" ca="1" si="3"/>
        <v>5.2441426031056571</v>
      </c>
      <c r="N36" s="74">
        <v>4380392262</v>
      </c>
      <c r="O36" s="74">
        <v>436402757</v>
      </c>
      <c r="P36" s="74">
        <f ca="1">INDIRECT("ZS(-1)",0) * 'Correction factor'!$C$13</f>
        <v>605230821.45785367</v>
      </c>
      <c r="Q36" s="74">
        <f t="shared" ca="1" si="4"/>
        <v>4985623083.4578533</v>
      </c>
      <c r="R36" s="74">
        <f t="shared" ca="1" si="5"/>
        <v>3.8813250854255443</v>
      </c>
      <c r="S36" s="74">
        <v>0</v>
      </c>
      <c r="T36" s="74">
        <v>0</v>
      </c>
      <c r="U36" s="74">
        <f ca="1">INDIRECT("ZS(-1)",0) * 'Correction factor'!$C$13</f>
        <v>0</v>
      </c>
      <c r="V36" s="74">
        <f t="shared" ca="1" si="6"/>
        <v>0</v>
      </c>
      <c r="W36" s="74">
        <f t="shared" ca="1" si="7"/>
        <v>0</v>
      </c>
      <c r="X36" s="74">
        <v>6915170953</v>
      </c>
      <c r="Y36" s="74">
        <v>605722764</v>
      </c>
      <c r="Z36" s="74">
        <f ca="1">INDIRECT("ZS(-1)",0) * 'Correction factor'!$C$13</f>
        <v>840054468.38055074</v>
      </c>
      <c r="AA36" s="74">
        <f t="shared" ca="1" si="8"/>
        <v>7755225421.3805504</v>
      </c>
      <c r="AB36" s="74">
        <f t="shared" ca="1" si="9"/>
        <v>5.4087217396991285</v>
      </c>
      <c r="AC36" s="74">
        <v>5917075684</v>
      </c>
      <c r="AD36" s="74">
        <v>503895149</v>
      </c>
      <c r="AE36" s="74">
        <f ca="1">INDIRECT("ZS(-1)",0) * 'Correction factor'!$C$13</f>
        <v>698833520.33428514</v>
      </c>
      <c r="AF36" s="74">
        <f t="shared" ca="1" si="10"/>
        <v>6615909204.3342848</v>
      </c>
      <c r="AG36" s="74">
        <f t="shared" ca="1" si="11"/>
        <v>4.268016443481546</v>
      </c>
      <c r="AH36" s="74">
        <v>0</v>
      </c>
      <c r="AI36" s="74">
        <v>0</v>
      </c>
      <c r="AJ36" s="74">
        <f ca="1">INDIRECT("ZS(-1)",0) * 'Correction factor'!$C$13</f>
        <v>0</v>
      </c>
      <c r="AK36" s="74">
        <f t="shared" ca="1" si="12"/>
        <v>0</v>
      </c>
      <c r="AL36" s="74">
        <f t="shared" ca="1" si="13"/>
        <v>0</v>
      </c>
      <c r="AM36" s="74">
        <v>750266830</v>
      </c>
      <c r="AN36" s="74">
        <v>7665509425</v>
      </c>
      <c r="AO36" s="74">
        <f ca="1">INDIRECT("ZS(-1)",0) * 'Correction factor'!$C$13</f>
        <v>10631011128.524263</v>
      </c>
      <c r="AP36" s="74">
        <f t="shared" ca="1" si="14"/>
        <v>11381277958.524263</v>
      </c>
      <c r="AQ36" s="74">
        <f t="shared" ca="1" si="15"/>
        <v>7.3911538854298389</v>
      </c>
      <c r="AR36" s="74">
        <v>0</v>
      </c>
      <c r="AS36" s="74">
        <v>0</v>
      </c>
      <c r="AT36" s="74">
        <f ca="1">INDIRECT("ZS(-1)",0) * 'Correction factor'!$C$13</f>
        <v>0</v>
      </c>
      <c r="AU36" s="74">
        <f t="shared" ca="1" si="16"/>
        <v>0</v>
      </c>
      <c r="AV36" s="74">
        <f t="shared" ca="1" si="17"/>
        <v>0</v>
      </c>
      <c r="AW36" s="74">
        <v>0</v>
      </c>
      <c r="AX36" s="74">
        <v>0</v>
      </c>
      <c r="AY36" s="74">
        <f ca="1">INDIRECT("ZS(-1)",0) * 'Correction factor'!$C$13</f>
        <v>0</v>
      </c>
      <c r="AZ36" s="74">
        <f t="shared" ca="1" si="18"/>
        <v>0</v>
      </c>
      <c r="BA36" s="74">
        <f t="shared" ca="1" si="19"/>
        <v>0</v>
      </c>
      <c r="BB36" s="74">
        <v>147212662</v>
      </c>
      <c r="BC36" s="74">
        <v>410814281</v>
      </c>
      <c r="BD36" s="74">
        <f ca="1">INDIRECT("ZS(-1)",0) * 'Correction factor'!$C$13</f>
        <v>569743111.7655555</v>
      </c>
      <c r="BE36" s="74">
        <f t="shared" ca="1" si="20"/>
        <v>716955773.7655555</v>
      </c>
      <c r="BF36" s="74">
        <f t="shared" ca="1" si="21"/>
        <v>0.48664627247741199</v>
      </c>
      <c r="BG36" s="74">
        <v>167453931</v>
      </c>
      <c r="BH36" s="74">
        <v>288999160</v>
      </c>
      <c r="BI36" s="74">
        <f ca="1">INDIRECT("ZS(-1)",0) * 'Correction factor'!$C$13</f>
        <v>400802231.88743442</v>
      </c>
      <c r="BJ36" s="74">
        <f t="shared" ca="1" si="22"/>
        <v>568256162.88743448</v>
      </c>
      <c r="BK36" s="74">
        <f t="shared" ca="1" si="23"/>
        <v>0.34612340279682752</v>
      </c>
      <c r="BL36" s="74">
        <v>2696848948</v>
      </c>
      <c r="BM36" s="74">
        <v>28345566978</v>
      </c>
      <c r="BN36" s="74">
        <f ca="1">INDIRECT("ZS(-1)",0) * 'Correction factor'!$C$13</f>
        <v>39311417060.510345</v>
      </c>
      <c r="BO36" s="74">
        <f t="shared" ca="1" si="24"/>
        <v>42008266008.510345</v>
      </c>
      <c r="BP36" s="74">
        <f t="shared" ca="1" si="25"/>
        <v>201.47287388369116</v>
      </c>
      <c r="BQ36" s="74">
        <v>2394305189</v>
      </c>
      <c r="BR36" s="74">
        <v>26020843027</v>
      </c>
      <c r="BS36" s="74">
        <f ca="1">INDIRECT("ZS(-1)",0) * 'Correction factor'!$C$13</f>
        <v>36087343509.282814</v>
      </c>
      <c r="BT36" s="74">
        <f t="shared" ca="1" si="26"/>
        <v>38481648698.282814</v>
      </c>
      <c r="BU36" s="74">
        <f t="shared" ca="1" si="27"/>
        <v>225.92035511710347</v>
      </c>
      <c r="BV36" s="74">
        <v>0</v>
      </c>
      <c r="BW36" s="74">
        <v>0</v>
      </c>
      <c r="BX36" s="74">
        <f ca="1">INDIRECT("ZS(-1)",0) * 'Correction factor'!$C$13</f>
        <v>0</v>
      </c>
      <c r="BY36" s="74">
        <f t="shared" ca="1" si="28"/>
        <v>0</v>
      </c>
      <c r="BZ36" s="74">
        <f t="shared" ca="1" si="29"/>
        <v>0</v>
      </c>
      <c r="CA36" s="74">
        <v>1788744434</v>
      </c>
      <c r="CB36" s="74">
        <v>19868367365</v>
      </c>
      <c r="CC36" s="74">
        <f ca="1">INDIRECT("ZS(-1)",0) * 'Correction factor'!$C$13</f>
        <v>27554702871.28677</v>
      </c>
      <c r="CD36" s="74">
        <f t="shared" ca="1" si="30"/>
        <v>29343447305.28677</v>
      </c>
      <c r="CE36" s="74">
        <f t="shared" ca="1" si="31"/>
        <v>166.0912880110362</v>
      </c>
      <c r="CF36" s="74">
        <v>0</v>
      </c>
      <c r="CG36" s="74">
        <v>0</v>
      </c>
      <c r="CH36" s="74">
        <f ca="1">INDIRECT("ZS(-1)",0) * 'Correction factor'!$C$13</f>
        <v>0</v>
      </c>
      <c r="CI36" s="74">
        <f t="shared" ca="1" si="32"/>
        <v>0</v>
      </c>
      <c r="CJ36" s="74">
        <f t="shared" ca="1" si="33"/>
        <v>0</v>
      </c>
      <c r="CK36" s="74">
        <v>0</v>
      </c>
      <c r="CL36" s="74">
        <v>0</v>
      </c>
      <c r="CM36" s="74">
        <f ca="1">INDIRECT("ZS(-1)",0) * 'Correction factor'!$C$13</f>
        <v>0</v>
      </c>
      <c r="CN36" s="74">
        <f t="shared" ca="1" si="34"/>
        <v>0</v>
      </c>
      <c r="CO36" s="74">
        <f t="shared" ca="1" si="35"/>
        <v>0</v>
      </c>
      <c r="CP36" s="74">
        <v>1113520918</v>
      </c>
      <c r="CQ36" s="74">
        <v>621492472</v>
      </c>
      <c r="CR36" s="74">
        <f ca="1">INDIRECT("ZS(-1)",0) * 'Correction factor'!$C$13</f>
        <v>861924892.37283194</v>
      </c>
      <c r="CS36" s="74">
        <f t="shared" ca="1" si="36"/>
        <v>1975445810.3728318</v>
      </c>
      <c r="CT36" s="74">
        <f t="shared" ca="1" si="37"/>
        <v>1.3457325978313892</v>
      </c>
      <c r="CU36" s="74">
        <v>834161631</v>
      </c>
      <c r="CV36" s="74">
        <v>767904519</v>
      </c>
      <c r="CW36" s="74">
        <f ca="1">INDIRECT("ZS(-1)",0) * 'Correction factor'!$C$13</f>
        <v>1064978337.9704176</v>
      </c>
      <c r="CX36" s="74">
        <f t="shared" ca="1" si="38"/>
        <v>1899139968.9704175</v>
      </c>
      <c r="CY36" s="74">
        <f t="shared" ca="1" si="39"/>
        <v>1.4530642279363584</v>
      </c>
      <c r="CZ36" s="74">
        <v>0</v>
      </c>
      <c r="DA36" s="74">
        <v>0</v>
      </c>
      <c r="DB36" s="74">
        <f ca="1">INDIRECT("ZS(-1)",0) * 'Correction factor'!$C$13</f>
        <v>0</v>
      </c>
      <c r="DC36" s="74">
        <f t="shared" ca="1" si="40"/>
        <v>0</v>
      </c>
      <c r="DD36" s="74">
        <f t="shared" ca="1" si="41"/>
        <v>0</v>
      </c>
      <c r="DE36" s="74">
        <v>1523459051</v>
      </c>
      <c r="DF36" s="74">
        <v>6064286625</v>
      </c>
      <c r="DG36" s="74">
        <f ca="1">INDIRECT("ZS(-1)",0) * 'Correction factor'!$C$13</f>
        <v>8410334528.6716995</v>
      </c>
      <c r="DH36" s="74">
        <f t="shared" ca="1" si="42"/>
        <v>9933793579.6716995</v>
      </c>
      <c r="DI36" s="74">
        <f t="shared" ca="1" si="43"/>
        <v>7.2331685234144087</v>
      </c>
      <c r="DJ36" s="74">
        <v>1520425816</v>
      </c>
      <c r="DK36" s="74">
        <v>15315130739</v>
      </c>
      <c r="DL36" s="74">
        <f ca="1">INDIRECT("ZS(-1)",0) * 'Correction factor'!$C$13</f>
        <v>21239987624.320614</v>
      </c>
      <c r="DM36" s="74">
        <f t="shared" ca="1" si="44"/>
        <v>22760413440.320614</v>
      </c>
      <c r="DN36" s="74">
        <f t="shared" ca="1" si="45"/>
        <v>18.760049313229327</v>
      </c>
      <c r="DO36" s="74">
        <v>2021773165</v>
      </c>
      <c r="DP36" s="74">
        <v>2292540323</v>
      </c>
      <c r="DQ36" s="74">
        <f ca="1">INDIRECT("ZS(-1)",0) * 'Correction factor'!$C$13</f>
        <v>3179439269.4786372</v>
      </c>
      <c r="DR36" s="74">
        <f t="shared" ca="1" si="46"/>
        <v>5201212434.4786377</v>
      </c>
      <c r="DS36" s="74">
        <f t="shared" ca="1" si="47"/>
        <v>3.9185893581371967</v>
      </c>
      <c r="DT36" s="74">
        <v>1880877246</v>
      </c>
      <c r="DU36" s="74">
        <v>18466536125</v>
      </c>
      <c r="DV36" s="74">
        <f ca="1">INDIRECT("ZS(-1)",0) * 'Correction factor'!$C$13</f>
        <v>25610555041.509239</v>
      </c>
      <c r="DW36" s="74">
        <f t="shared" ca="1" si="48"/>
        <v>27491432287.509239</v>
      </c>
      <c r="DX36" s="74">
        <f t="shared" ca="1" si="49"/>
        <v>20.24399711330992</v>
      </c>
      <c r="DY36" s="74">
        <v>1747311878</v>
      </c>
      <c r="DZ36" s="74">
        <v>17454971589</v>
      </c>
      <c r="EA36" s="74">
        <f ca="1">INDIRECT("ZS(-1)",0) * 'Correction factor'!$C$13</f>
        <v>24207653649.937798</v>
      </c>
      <c r="EB36" s="74">
        <f t="shared" ca="1" si="50"/>
        <v>25954965527.937798</v>
      </c>
      <c r="EC36" s="74">
        <f t="shared" ca="1" si="51"/>
        <v>18.355355177631871</v>
      </c>
      <c r="ED36" s="74">
        <v>0</v>
      </c>
      <c r="EE36" s="74">
        <v>0</v>
      </c>
      <c r="EF36" s="74">
        <f ca="1">INDIRECT("ZS(-1)",0) * 'Correction factor'!$C$13</f>
        <v>0</v>
      </c>
      <c r="EG36" s="74">
        <f t="shared" ca="1" si="52"/>
        <v>0</v>
      </c>
      <c r="EH36" s="74">
        <f t="shared" ca="1" si="53"/>
        <v>0</v>
      </c>
      <c r="EI36" s="74">
        <v>1247521656</v>
      </c>
      <c r="EJ36" s="74">
        <v>12677429339</v>
      </c>
      <c r="EK36" s="74">
        <f ca="1">INDIRECT("ZS(-1)",0) * 'Correction factor'!$C$13</f>
        <v>17581857240.230186</v>
      </c>
      <c r="EL36" s="74">
        <f t="shared" ca="1" si="54"/>
        <v>18829378896.230186</v>
      </c>
      <c r="EM36" s="74">
        <f t="shared" ca="1" si="55"/>
        <v>14.307571038630092</v>
      </c>
      <c r="EN36" s="74">
        <v>2972419515</v>
      </c>
      <c r="EO36" s="74">
        <v>851741248</v>
      </c>
      <c r="EP36" s="74">
        <f ca="1">INDIRECT("ZS(-1)",0) * 'Correction factor'!$C$13</f>
        <v>1181248392.5177803</v>
      </c>
      <c r="EQ36" s="74">
        <f t="shared" ca="1" si="56"/>
        <v>4153667907.5177803</v>
      </c>
      <c r="ER36" s="74">
        <f t="shared" ca="1" si="57"/>
        <v>2.8241491151476419</v>
      </c>
      <c r="ES36" s="74">
        <v>4173497354</v>
      </c>
      <c r="ET36" s="74">
        <v>874902487</v>
      </c>
      <c r="EU36" s="74">
        <f ca="1">INDIRECT("ZS(-1)",0) * 'Correction factor'!$C$13</f>
        <v>1213369857.1077752</v>
      </c>
      <c r="EV36" s="74">
        <f t="shared" ca="1" si="58"/>
        <v>5386867211.1077747</v>
      </c>
      <c r="EW36" s="74">
        <f t="shared" ca="1" si="59"/>
        <v>3.6822608202008258</v>
      </c>
      <c r="EX36" s="74">
        <v>2912263640</v>
      </c>
      <c r="EY36" s="74">
        <v>941476625</v>
      </c>
      <c r="EZ36" s="74">
        <f ca="1">INDIRECT("ZS(-1)",0) * 'Correction factor'!$C$13</f>
        <v>1305699063.5192475</v>
      </c>
      <c r="FA36" s="74">
        <f t="shared" ca="1" si="60"/>
        <v>4217962703.5192475</v>
      </c>
      <c r="FB36" s="74">
        <f t="shared" ca="1" si="61"/>
        <v>3.0072797589461562</v>
      </c>
      <c r="FC36" s="74">
        <v>1511578710</v>
      </c>
      <c r="FD36" s="74">
        <v>9065562741</v>
      </c>
      <c r="FE36" s="74">
        <f ca="1">INDIRECT("ZS(-1)",0) * 'Correction factor'!$C$13</f>
        <v>12572693221.351812</v>
      </c>
      <c r="FF36" s="74">
        <f t="shared" ca="1" si="62"/>
        <v>14084271931.351812</v>
      </c>
      <c r="FG36" s="74">
        <f t="shared" ca="1" si="63"/>
        <v>10.869460981927677</v>
      </c>
      <c r="FH36" s="74">
        <v>2930968566</v>
      </c>
      <c r="FI36" s="74">
        <v>5887404229</v>
      </c>
      <c r="FJ36" s="74">
        <f ca="1">INDIRECT("ZS(-1)",0) * 'Correction factor'!$C$13</f>
        <v>8165022884.5188341</v>
      </c>
      <c r="FK36" s="74">
        <f t="shared" ca="1" si="64"/>
        <v>11095991450.518833</v>
      </c>
      <c r="FL36" s="74">
        <f t="shared" ca="1" si="65"/>
        <v>6.2509160120173037</v>
      </c>
      <c r="FM36" s="74">
        <v>1514781237</v>
      </c>
      <c r="FN36" s="74">
        <v>908606940</v>
      </c>
      <c r="FO36" s="74">
        <f ca="1">INDIRECT("ZS(-1)",0) * 'Correction factor'!$C$13</f>
        <v>1260113314.7252476</v>
      </c>
      <c r="FP36" s="74">
        <f t="shared" ca="1" si="66"/>
        <v>2774894551.7252474</v>
      </c>
      <c r="FQ36" s="74">
        <f t="shared" ca="1" si="67"/>
        <v>1.9610503741671073</v>
      </c>
      <c r="FR36" s="74">
        <v>1386826298</v>
      </c>
      <c r="FS36" s="74">
        <v>1184792044</v>
      </c>
      <c r="FT36" s="74">
        <f ca="1">INDIRECT("ZS(-1)",0) * 'Correction factor'!$C$13</f>
        <v>1643144206.9162948</v>
      </c>
      <c r="FU36" s="74">
        <f t="shared" ca="1" si="68"/>
        <v>3029970504.9162951</v>
      </c>
      <c r="FV36" s="74">
        <f t="shared" ca="1" si="69"/>
        <v>2.113721511748837</v>
      </c>
      <c r="FW36" s="74">
        <v>1914945103</v>
      </c>
      <c r="FX36" s="74">
        <v>17796660817</v>
      </c>
      <c r="FY36" s="74">
        <f ca="1">INDIRECT("ZS(-1)",0) * 'Correction factor'!$C$13</f>
        <v>24681529785.751808</v>
      </c>
      <c r="FZ36" s="74">
        <f t="shared" ca="1" si="70"/>
        <v>26596474888.751808</v>
      </c>
      <c r="GA36" s="74">
        <f t="shared" ca="1" si="71"/>
        <v>21.343649130746822</v>
      </c>
      <c r="GB36" s="74">
        <v>3202561450</v>
      </c>
      <c r="GC36" s="74">
        <v>683369057</v>
      </c>
      <c r="GD36" s="74">
        <f ca="1">INDIRECT("ZS(-1)",0) * 'Correction factor'!$C$13</f>
        <v>947739236.50301063</v>
      </c>
      <c r="GE36" s="74">
        <f t="shared" ca="1" si="72"/>
        <v>4150300686.5030107</v>
      </c>
      <c r="GF36" s="74">
        <f t="shared" ca="1" si="73"/>
        <v>2.8941925395393686</v>
      </c>
      <c r="GG36" s="74">
        <v>2301383203</v>
      </c>
      <c r="GH36" s="74">
        <v>497613277</v>
      </c>
      <c r="GI36" s="74">
        <f ca="1">INDIRECT("ZS(-1)",0) * 'Correction factor'!$C$13</f>
        <v>690121424.70732486</v>
      </c>
      <c r="GJ36" s="74">
        <f t="shared" ca="1" si="74"/>
        <v>2991504627.707325</v>
      </c>
      <c r="GK36" s="74">
        <f t="shared" ca="1" si="75"/>
        <v>2.0859633047398325</v>
      </c>
      <c r="GL36" s="74">
        <v>661714166</v>
      </c>
      <c r="GM36" s="74">
        <v>6015873954</v>
      </c>
      <c r="GN36" s="74">
        <f ca="1">INDIRECT("ZS(-1)",0) * 'Correction factor'!$C$13</f>
        <v>8343192788.2305441</v>
      </c>
      <c r="GO36" s="74">
        <f t="shared" ca="1" si="76"/>
        <v>9004906954.230545</v>
      </c>
      <c r="GP36" s="74">
        <f t="shared" ca="1" si="77"/>
        <v>6.2120522621261829</v>
      </c>
      <c r="GQ36" s="74">
        <v>3102959951</v>
      </c>
      <c r="GR36" s="74">
        <v>775702636</v>
      </c>
      <c r="GS36" s="74">
        <f ca="1">INDIRECT("ZS(-1)",0) * 'Correction factor'!$C$13</f>
        <v>1075793257.6335728</v>
      </c>
      <c r="GT36" s="74">
        <f t="shared" ca="1" si="78"/>
        <v>4178753208.6335726</v>
      </c>
      <c r="GU36" s="74">
        <f t="shared" ca="1" si="79"/>
        <v>4.3328824746103267</v>
      </c>
      <c r="GV36" s="74">
        <v>3975904490</v>
      </c>
      <c r="GW36" s="74">
        <v>1330859707</v>
      </c>
      <c r="GX36" s="74">
        <f ca="1">INDIRECT("ZS(-1)",0) * 'Correction factor'!$C$13</f>
        <v>1845720039.0985808</v>
      </c>
      <c r="GY36" s="74">
        <f t="shared" ca="1" si="80"/>
        <v>5821624529.0985813</v>
      </c>
      <c r="GZ36" s="74">
        <f t="shared" ca="1" si="81"/>
        <v>4.1328086530303354</v>
      </c>
      <c r="HA36" s="74">
        <v>1112301760</v>
      </c>
      <c r="HB36" s="74">
        <v>11818206074</v>
      </c>
      <c r="HC36" s="74">
        <f ca="1">INDIRECT("ZS(-1)",0) * 'Correction factor'!$C$13</f>
        <v>16390232315.432453</v>
      </c>
      <c r="HD36" s="74">
        <f t="shared" ca="1" si="82"/>
        <v>17502534075.432453</v>
      </c>
      <c r="HE36" s="74">
        <f t="shared" ca="1" si="83"/>
        <v>12.818444743962617</v>
      </c>
      <c r="HF36" s="74">
        <v>1737300025</v>
      </c>
      <c r="HG36" s="74">
        <v>18996979140</v>
      </c>
      <c r="HH36" s="74">
        <f ca="1">INDIRECT("ZS(-1)",0) * 'Correction factor'!$C$13</f>
        <v>26346206813.995705</v>
      </c>
      <c r="HI36" s="74">
        <f t="shared" ca="1" si="84"/>
        <v>28083506838.995705</v>
      </c>
      <c r="HJ36" s="74">
        <f t="shared" ca="1" si="85"/>
        <v>20.687151857221071</v>
      </c>
      <c r="HK36" s="74">
        <v>2973722860</v>
      </c>
      <c r="HL36" s="74">
        <v>31194784647</v>
      </c>
      <c r="HM36" s="74">
        <f ca="1">INDIRECT("ZS(-1)",0) * 'Correction factor'!$C$13</f>
        <v>43262891524.547935</v>
      </c>
      <c r="HN36" s="74">
        <f t="shared" ca="1" si="86"/>
        <v>46236614384.547935</v>
      </c>
      <c r="HO36" s="74">
        <f t="shared" ca="1" si="87"/>
        <v>34.420583665685946</v>
      </c>
      <c r="HP36" s="74">
        <v>4663737177</v>
      </c>
      <c r="HQ36" s="74">
        <v>631509697</v>
      </c>
      <c r="HR36" s="74">
        <f ca="1">INDIRECT("ZS(-1)",0) * 'Correction factor'!$C$13</f>
        <v>875817410.7362715</v>
      </c>
      <c r="HS36" s="74">
        <f t="shared" ca="1" si="88"/>
        <v>5539554587.7362719</v>
      </c>
      <c r="HT36" s="74">
        <f t="shared" ca="1" si="89"/>
        <v>3.5912514616168556</v>
      </c>
      <c r="HU36" s="74">
        <v>2701871157</v>
      </c>
      <c r="HV36" s="74">
        <v>2324040006</v>
      </c>
      <c r="HW36" s="74">
        <f ca="1">INDIRECT("ZS(-1)",0) * 'Correction factor'!$C$13</f>
        <v>3223125013.2370162</v>
      </c>
      <c r="HX36" s="74">
        <f t="shared" ca="1" si="90"/>
        <v>5924996170.2370167</v>
      </c>
      <c r="HY36" s="74">
        <f t="shared" ca="1" si="91"/>
        <v>4.6493637954431764</v>
      </c>
      <c r="HZ36" s="74">
        <v>609967111</v>
      </c>
      <c r="IA36" s="74">
        <v>6631736341</v>
      </c>
      <c r="IB36" s="74">
        <f ca="1">INDIRECT("ZS(-1)",0) * 'Correction factor'!$C$13</f>
        <v>9197309524.2277107</v>
      </c>
      <c r="IC36" s="74">
        <f t="shared" ca="1" si="92"/>
        <v>9807276635.2277107</v>
      </c>
      <c r="ID36" s="74">
        <f t="shared" ca="1" si="93"/>
        <v>7.6048842015516787</v>
      </c>
      <c r="IE36" s="74">
        <v>1926682932</v>
      </c>
      <c r="IF36" s="74">
        <v>420995919</v>
      </c>
      <c r="IG36" s="74">
        <f ca="1">INDIRECT("ZS(-1)",0) * 'Correction factor'!$C$13</f>
        <v>583863648.42964101</v>
      </c>
      <c r="IH36" s="74">
        <f t="shared" ca="1" si="94"/>
        <v>2510546580.4296408</v>
      </c>
      <c r="II36" s="75">
        <f t="shared" ca="1" si="95"/>
        <v>1.9210995534463964</v>
      </c>
    </row>
    <row r="37" spans="1:243" x14ac:dyDescent="0.25">
      <c r="A37" s="5">
        <v>33</v>
      </c>
      <c r="B37" s="30">
        <v>45524</v>
      </c>
      <c r="C37" s="29" t="s">
        <v>36</v>
      </c>
      <c r="D37" s="52">
        <v>8902400625</v>
      </c>
      <c r="E37" s="53">
        <v>33651164</v>
      </c>
      <c r="F37" s="53">
        <f ca="1">INDIRECT("ZS(-1)",0) * 'Correction factor'!$C$13</f>
        <v>46669553.076936573</v>
      </c>
      <c r="G37" s="53">
        <f t="shared" ca="1" si="0"/>
        <v>8949070178.0769367</v>
      </c>
      <c r="H37" s="53">
        <f t="shared" ca="1" si="1"/>
        <v>6.4723913109779527</v>
      </c>
      <c r="I37" s="53">
        <v>8237187395</v>
      </c>
      <c r="J37" s="53">
        <v>103080577</v>
      </c>
      <c r="K37" s="53">
        <f ca="1">INDIRECT("ZS(-1)",0) * 'Correction factor'!$C$13</f>
        <v>142958634.64047626</v>
      </c>
      <c r="L37" s="53">
        <f t="shared" ca="1" si="2"/>
        <v>8380146029.6404762</v>
      </c>
      <c r="M37" s="53">
        <f t="shared" ca="1" si="3"/>
        <v>5.4932146214902957</v>
      </c>
      <c r="N37" s="53">
        <v>5349139508</v>
      </c>
      <c r="O37" s="53">
        <v>18687155</v>
      </c>
      <c r="P37" s="53">
        <f ca="1">INDIRECT("ZS(-1)",0) * 'Correction factor'!$C$13</f>
        <v>25916523.188601758</v>
      </c>
      <c r="Q37" s="53">
        <f t="shared" ca="1" si="4"/>
        <v>5375056031.1886015</v>
      </c>
      <c r="R37" s="53">
        <f t="shared" ca="1" si="5"/>
        <v>4.1845000033477859</v>
      </c>
      <c r="S37" s="53">
        <v>0</v>
      </c>
      <c r="T37" s="53">
        <v>0</v>
      </c>
      <c r="U37" s="53">
        <f ca="1">INDIRECT("ZS(-1)",0) * 'Correction factor'!$C$13</f>
        <v>0</v>
      </c>
      <c r="V37" s="53">
        <f t="shared" ca="1" si="6"/>
        <v>0</v>
      </c>
      <c r="W37" s="53">
        <f t="shared" ca="1" si="7"/>
        <v>0</v>
      </c>
      <c r="X37" s="53">
        <v>7731329080</v>
      </c>
      <c r="Y37" s="53">
        <v>31517466</v>
      </c>
      <c r="Z37" s="53">
        <f ca="1">INDIRECT("ZS(-1)",0) * 'Correction factor'!$C$13</f>
        <v>43710406.342483245</v>
      </c>
      <c r="AA37" s="53">
        <f t="shared" ca="1" si="8"/>
        <v>7775039486.3424835</v>
      </c>
      <c r="AB37" s="53">
        <f t="shared" ca="1" si="9"/>
        <v>5.4225406499291218</v>
      </c>
      <c r="AC37" s="53">
        <v>3513061414</v>
      </c>
      <c r="AD37" s="53">
        <v>19406257</v>
      </c>
      <c r="AE37" s="53">
        <f ca="1">INDIRECT("ZS(-1)",0) * 'Correction factor'!$C$13</f>
        <v>26913819.120377883</v>
      </c>
      <c r="AF37" s="53">
        <f t="shared" ca="1" si="10"/>
        <v>3539975233.120378</v>
      </c>
      <c r="AG37" s="53">
        <f t="shared" ca="1" si="11"/>
        <v>2.2836880068694172</v>
      </c>
      <c r="AH37" s="53">
        <v>0</v>
      </c>
      <c r="AI37" s="53">
        <v>0</v>
      </c>
      <c r="AJ37" s="53">
        <f ca="1">INDIRECT("ZS(-1)",0) * 'Correction factor'!$C$13</f>
        <v>0</v>
      </c>
      <c r="AK37" s="53">
        <f t="shared" ca="1" si="12"/>
        <v>0</v>
      </c>
      <c r="AL37" s="53">
        <f t="shared" ca="1" si="13"/>
        <v>0</v>
      </c>
      <c r="AM37" s="53">
        <v>791049055</v>
      </c>
      <c r="AN37" s="53">
        <v>8708625085</v>
      </c>
      <c r="AO37" s="53">
        <f ca="1">INDIRECT("ZS(-1)",0) * 'Correction factor'!$C$13</f>
        <v>12077669605.471859</v>
      </c>
      <c r="AP37" s="53">
        <f t="shared" ca="1" si="14"/>
        <v>12868718660.471859</v>
      </c>
      <c r="AQ37" s="53">
        <f t="shared" ca="1" si="15"/>
        <v>8.3571177397184808</v>
      </c>
      <c r="AR37" s="53">
        <v>0</v>
      </c>
      <c r="AS37" s="53">
        <v>0</v>
      </c>
      <c r="AT37" s="53">
        <f ca="1">INDIRECT("ZS(-1)",0) * 'Correction factor'!$C$13</f>
        <v>0</v>
      </c>
      <c r="AU37" s="53">
        <f t="shared" ca="1" si="16"/>
        <v>0</v>
      </c>
      <c r="AV37" s="53">
        <f t="shared" ca="1" si="17"/>
        <v>0</v>
      </c>
      <c r="AW37" s="53">
        <v>0</v>
      </c>
      <c r="AX37" s="53">
        <v>0</v>
      </c>
      <c r="AY37" s="53">
        <f ca="1">INDIRECT("ZS(-1)",0) * 'Correction factor'!$C$13</f>
        <v>0</v>
      </c>
      <c r="AZ37" s="53">
        <f t="shared" ca="1" si="18"/>
        <v>0</v>
      </c>
      <c r="BA37" s="53">
        <f t="shared" ca="1" si="19"/>
        <v>0</v>
      </c>
      <c r="BB37" s="53">
        <v>82989503</v>
      </c>
      <c r="BC37" s="53">
        <v>140173981</v>
      </c>
      <c r="BD37" s="53">
        <f ca="1">INDIRECT("ZS(-1)",0) * 'Correction factor'!$C$13</f>
        <v>194402102.88966525</v>
      </c>
      <c r="BE37" s="53">
        <f t="shared" ca="1" si="20"/>
        <v>277391605.88966525</v>
      </c>
      <c r="BF37" s="53">
        <f t="shared" ca="1" si="21"/>
        <v>0.18828440464846741</v>
      </c>
      <c r="BG37" s="53">
        <v>99219894</v>
      </c>
      <c r="BH37" s="53">
        <v>17653553</v>
      </c>
      <c r="BI37" s="53">
        <f ca="1">INDIRECT("ZS(-1)",0) * 'Correction factor'!$C$13</f>
        <v>24483058.85436869</v>
      </c>
      <c r="BJ37" s="53">
        <f t="shared" ca="1" si="22"/>
        <v>123702952.85436869</v>
      </c>
      <c r="BK37" s="53">
        <f t="shared" ca="1" si="23"/>
        <v>7.5347158155592425E-2</v>
      </c>
      <c r="BL37" s="53">
        <v>2847722475</v>
      </c>
      <c r="BM37" s="53">
        <v>30163113725</v>
      </c>
      <c r="BN37" s="53">
        <f ca="1">INDIRECT("ZS(-1)",0) * 'Correction factor'!$C$13</f>
        <v>41832105330.875374</v>
      </c>
      <c r="BO37" s="53">
        <f t="shared" ca="1" si="24"/>
        <v>44679827805.875374</v>
      </c>
      <c r="BP37" s="53">
        <f t="shared" ca="1" si="25"/>
        <v>214.28576249385111</v>
      </c>
      <c r="BQ37" s="53">
        <v>2419540589</v>
      </c>
      <c r="BR37" s="53">
        <v>27268627847</v>
      </c>
      <c r="BS37" s="53">
        <f ca="1">INDIRECT("ZS(-1)",0) * 'Correction factor'!$C$13</f>
        <v>37817850064.288925</v>
      </c>
      <c r="BT37" s="53">
        <f t="shared" ca="1" si="26"/>
        <v>40237390653.288925</v>
      </c>
      <c r="BU37" s="53">
        <f t="shared" ca="1" si="27"/>
        <v>236.22806955727708</v>
      </c>
      <c r="BV37" s="53">
        <v>0</v>
      </c>
      <c r="BW37" s="53">
        <v>0</v>
      </c>
      <c r="BX37" s="53">
        <f ca="1">INDIRECT("ZS(-1)",0) * 'Correction factor'!$C$13</f>
        <v>0</v>
      </c>
      <c r="BY37" s="53">
        <f t="shared" ca="1" si="28"/>
        <v>0</v>
      </c>
      <c r="BZ37" s="53">
        <f t="shared" ca="1" si="29"/>
        <v>0</v>
      </c>
      <c r="CA37" s="53">
        <v>1754463545</v>
      </c>
      <c r="CB37" s="53">
        <v>20618204691</v>
      </c>
      <c r="CC37" s="53">
        <f ca="1">INDIRECT("ZS(-1)",0) * 'Correction factor'!$C$13</f>
        <v>28594624488.406025</v>
      </c>
      <c r="CD37" s="53">
        <f t="shared" ca="1" si="30"/>
        <v>30349088033.406025</v>
      </c>
      <c r="CE37" s="53">
        <f t="shared" ca="1" si="31"/>
        <v>171.78346732698145</v>
      </c>
      <c r="CF37" s="53">
        <v>0</v>
      </c>
      <c r="CG37" s="53">
        <v>0</v>
      </c>
      <c r="CH37" s="53">
        <f ca="1">INDIRECT("ZS(-1)",0) * 'Correction factor'!$C$13</f>
        <v>0</v>
      </c>
      <c r="CI37" s="53">
        <f t="shared" ca="1" si="32"/>
        <v>0</v>
      </c>
      <c r="CJ37" s="53">
        <f t="shared" ca="1" si="33"/>
        <v>0</v>
      </c>
      <c r="CK37" s="53">
        <v>0</v>
      </c>
      <c r="CL37" s="53">
        <v>0</v>
      </c>
      <c r="CM37" s="53">
        <f ca="1">INDIRECT("ZS(-1)",0) * 'Correction factor'!$C$13</f>
        <v>0</v>
      </c>
      <c r="CN37" s="53">
        <f t="shared" ca="1" si="34"/>
        <v>0</v>
      </c>
      <c r="CO37" s="53">
        <f t="shared" ca="1" si="35"/>
        <v>0</v>
      </c>
      <c r="CP37" s="53">
        <v>904466611</v>
      </c>
      <c r="CQ37" s="53">
        <v>30908266</v>
      </c>
      <c r="CR37" s="53">
        <f ca="1">INDIRECT("ZS(-1)",0) * 'Correction factor'!$C$13</f>
        <v>42865529.424274124</v>
      </c>
      <c r="CS37" s="53">
        <f t="shared" ca="1" si="36"/>
        <v>947332140.42427409</v>
      </c>
      <c r="CT37" s="53">
        <f t="shared" ca="1" si="37"/>
        <v>0.64535090542510065</v>
      </c>
      <c r="CU37" s="53">
        <v>755520921</v>
      </c>
      <c r="CV37" s="53">
        <v>359328405</v>
      </c>
      <c r="CW37" s="53">
        <f ca="1">INDIRECT("ZS(-1)",0) * 'Correction factor'!$C$13</f>
        <v>498339257.12639427</v>
      </c>
      <c r="CX37" s="53">
        <f t="shared" ca="1" si="38"/>
        <v>1253860178.1263943</v>
      </c>
      <c r="CY37" s="53">
        <f t="shared" ca="1" si="39"/>
        <v>0.95934970641321582</v>
      </c>
      <c r="CZ37" s="53">
        <v>0</v>
      </c>
      <c r="DA37" s="53">
        <v>0</v>
      </c>
      <c r="DB37" s="53">
        <f ca="1">INDIRECT("ZS(-1)",0) * 'Correction factor'!$C$13</f>
        <v>0</v>
      </c>
      <c r="DC37" s="53">
        <f t="shared" ca="1" si="40"/>
        <v>0</v>
      </c>
      <c r="DD37" s="53">
        <f t="shared" ca="1" si="41"/>
        <v>0</v>
      </c>
      <c r="DE37" s="53">
        <v>1359173262</v>
      </c>
      <c r="DF37" s="53">
        <v>6561405537</v>
      </c>
      <c r="DG37" s="53">
        <f ca="1">INDIRECT("ZS(-1)",0) * 'Correction factor'!$C$13</f>
        <v>9099770336.8693886</v>
      </c>
      <c r="DH37" s="53">
        <f t="shared" ca="1" si="42"/>
        <v>10458943598.869389</v>
      </c>
      <c r="DI37" s="53">
        <f t="shared" ca="1" si="43"/>
        <v>7.6155499931385595</v>
      </c>
      <c r="DJ37" s="53">
        <v>1610006870</v>
      </c>
      <c r="DK37" s="53">
        <v>17288006588</v>
      </c>
      <c r="DL37" s="53">
        <f ca="1">INDIRECT("ZS(-1)",0) * 'Correction factor'!$C$13</f>
        <v>23976096073.618587</v>
      </c>
      <c r="DM37" s="53">
        <f t="shared" ca="1" si="44"/>
        <v>25586102943.618587</v>
      </c>
      <c r="DN37" s="53">
        <f t="shared" ca="1" si="45"/>
        <v>21.08909639160251</v>
      </c>
      <c r="DO37" s="53">
        <v>1713160887</v>
      </c>
      <c r="DP37" s="53">
        <v>1908352813</v>
      </c>
      <c r="DQ37" s="53">
        <f ca="1">INDIRECT("ZS(-1)",0) * 'Correction factor'!$C$13</f>
        <v>2646623840.2875075</v>
      </c>
      <c r="DR37" s="53">
        <f t="shared" ca="1" si="46"/>
        <v>4359784727.287508</v>
      </c>
      <c r="DS37" s="53">
        <f t="shared" ca="1" si="47"/>
        <v>3.28465838520022</v>
      </c>
      <c r="DT37" s="53">
        <v>2016358873</v>
      </c>
      <c r="DU37" s="53">
        <v>20382111448</v>
      </c>
      <c r="DV37" s="53">
        <f ca="1">INDIRECT("ZS(-1)",0) * 'Correction factor'!$C$13</f>
        <v>28267195513.429272</v>
      </c>
      <c r="DW37" s="53">
        <f t="shared" ca="1" si="48"/>
        <v>30283554386.429272</v>
      </c>
      <c r="DX37" s="53">
        <f t="shared" ca="1" si="49"/>
        <v>22.300045380254076</v>
      </c>
      <c r="DY37" s="53">
        <v>1800953602</v>
      </c>
      <c r="DZ37" s="53">
        <v>19061692366</v>
      </c>
      <c r="EA37" s="53">
        <f ca="1">INDIRECT("ZS(-1)",0) * 'Correction factor'!$C$13</f>
        <v>26435955190.473461</v>
      </c>
      <c r="EB37" s="53">
        <f t="shared" ca="1" si="50"/>
        <v>28236908792.473461</v>
      </c>
      <c r="EC37" s="53">
        <f t="shared" ca="1" si="51"/>
        <v>19.969145766976752</v>
      </c>
      <c r="ED37" s="53">
        <v>0</v>
      </c>
      <c r="EE37" s="53">
        <v>0</v>
      </c>
      <c r="EF37" s="53">
        <f ca="1">INDIRECT("ZS(-1)",0) * 'Correction factor'!$C$13</f>
        <v>0</v>
      </c>
      <c r="EG37" s="53">
        <f t="shared" ca="1" si="52"/>
        <v>0</v>
      </c>
      <c r="EH37" s="53">
        <f t="shared" ca="1" si="53"/>
        <v>0</v>
      </c>
      <c r="EI37" s="53">
        <v>0</v>
      </c>
      <c r="EJ37" s="53">
        <v>0</v>
      </c>
      <c r="EK37" s="53">
        <f ca="1">INDIRECT("ZS(-1)",0) * 'Correction factor'!$C$13</f>
        <v>0</v>
      </c>
      <c r="EL37" s="53">
        <f t="shared" ca="1" si="54"/>
        <v>0</v>
      </c>
      <c r="EM37" s="53">
        <f t="shared" ca="1" si="55"/>
        <v>0</v>
      </c>
      <c r="EN37" s="53">
        <v>2518598983</v>
      </c>
      <c r="EO37" s="53">
        <v>94788920</v>
      </c>
      <c r="EP37" s="53">
        <f ca="1">INDIRECT("ZS(-1)",0) * 'Correction factor'!$C$13</f>
        <v>131459242.62963073</v>
      </c>
      <c r="EQ37" s="53">
        <f t="shared" ca="1" si="56"/>
        <v>2650058225.6296306</v>
      </c>
      <c r="ER37" s="53">
        <f t="shared" ca="1" si="57"/>
        <v>1.8018194423911378</v>
      </c>
      <c r="ES37" s="53">
        <v>4001659299</v>
      </c>
      <c r="ET37" s="53">
        <v>114748747</v>
      </c>
      <c r="EU37" s="53">
        <f ca="1">INDIRECT("ZS(-1)",0) * 'Correction factor'!$C$13</f>
        <v>159140787.48148108</v>
      </c>
      <c r="EV37" s="53">
        <f t="shared" ca="1" si="58"/>
        <v>4160800086.4814811</v>
      </c>
      <c r="EW37" s="53">
        <f t="shared" ca="1" si="59"/>
        <v>2.8441672197797256</v>
      </c>
      <c r="EX37" s="53">
        <v>2507129194</v>
      </c>
      <c r="EY37" s="53">
        <v>81280886</v>
      </c>
      <c r="EZ37" s="53">
        <f ca="1">INDIRECT("ZS(-1)",0) * 'Correction factor'!$C$13</f>
        <v>112725450.54659717</v>
      </c>
      <c r="FA37" s="53">
        <f t="shared" ca="1" si="60"/>
        <v>2619854644.546597</v>
      </c>
      <c r="FB37" s="53">
        <f t="shared" ca="1" si="61"/>
        <v>1.867877076616286</v>
      </c>
      <c r="FC37" s="53">
        <v>1381443580</v>
      </c>
      <c r="FD37" s="53">
        <v>9922489468</v>
      </c>
      <c r="FE37" s="53">
        <f ca="1">INDIRECT("ZS(-1)",0) * 'Correction factor'!$C$13</f>
        <v>13761133162.649891</v>
      </c>
      <c r="FF37" s="53">
        <f t="shared" ca="1" si="62"/>
        <v>15142576742.649891</v>
      </c>
      <c r="FG37" s="53">
        <f t="shared" ca="1" si="63"/>
        <v>11.686202018273651</v>
      </c>
      <c r="FH37" s="53">
        <v>2591751839</v>
      </c>
      <c r="FI37" s="53">
        <v>6006026482</v>
      </c>
      <c r="FJ37" s="53">
        <f ca="1">INDIRECT("ZS(-1)",0) * 'Correction factor'!$C$13</f>
        <v>8329535694.0159826</v>
      </c>
      <c r="FK37" s="53">
        <f t="shared" ca="1" si="64"/>
        <v>10921287533.015984</v>
      </c>
      <c r="FL37" s="53">
        <f t="shared" ca="1" si="65"/>
        <v>6.1524967296890303</v>
      </c>
      <c r="FM37" s="53">
        <v>1127153107</v>
      </c>
      <c r="FN37" s="53">
        <v>122507861</v>
      </c>
      <c r="FO37" s="53">
        <f ca="1">INDIRECT("ZS(-1)",0) * 'Correction factor'!$C$13</f>
        <v>169901615.32841682</v>
      </c>
      <c r="FP37" s="53">
        <f t="shared" ca="1" si="66"/>
        <v>1297054722.3284168</v>
      </c>
      <c r="FQ37" s="53">
        <f t="shared" ca="1" si="67"/>
        <v>0.91664371424705782</v>
      </c>
      <c r="FR37" s="53">
        <v>1094959181</v>
      </c>
      <c r="FS37" s="53">
        <v>491868396</v>
      </c>
      <c r="FT37" s="53">
        <f ca="1">INDIRECT("ZS(-1)",0) * 'Correction factor'!$C$13</f>
        <v>682154062.01074231</v>
      </c>
      <c r="FU37" s="53">
        <f t="shared" ca="1" si="68"/>
        <v>1777113243.0107422</v>
      </c>
      <c r="FV37" s="53">
        <f t="shared" ca="1" si="69"/>
        <v>1.23972246081957</v>
      </c>
      <c r="FW37" s="53">
        <v>1978843653</v>
      </c>
      <c r="FX37" s="53">
        <v>18953280823</v>
      </c>
      <c r="FY37" s="53">
        <f ca="1">INDIRECT("ZS(-1)",0) * 'Correction factor'!$C$13</f>
        <v>26285603236.520515</v>
      </c>
      <c r="FZ37" s="53">
        <f t="shared" ca="1" si="70"/>
        <v>28264446889.520515</v>
      </c>
      <c r="GA37" s="53">
        <f t="shared" ca="1" si="71"/>
        <v>22.682195283694835</v>
      </c>
      <c r="GB37" s="53">
        <v>3062172504</v>
      </c>
      <c r="GC37" s="53">
        <v>58541491</v>
      </c>
      <c r="GD37" s="53">
        <f ca="1">INDIRECT("ZS(-1)",0) * 'Correction factor'!$C$13</f>
        <v>81189025.777161971</v>
      </c>
      <c r="GE37" s="53">
        <f t="shared" ca="1" si="72"/>
        <v>3143361529.7771621</v>
      </c>
      <c r="GF37" s="53">
        <f t="shared" ca="1" si="73"/>
        <v>2.1920082846386602</v>
      </c>
      <c r="GG37" s="53">
        <v>2238437511</v>
      </c>
      <c r="GH37" s="53">
        <v>76473368</v>
      </c>
      <c r="GI37" s="53">
        <f ca="1">INDIRECT("ZS(-1)",0) * 'Correction factor'!$C$13</f>
        <v>106058081.87936985</v>
      </c>
      <c r="GJ37" s="53">
        <f t="shared" ca="1" si="74"/>
        <v>2344495592.8793697</v>
      </c>
      <c r="GK37" s="53">
        <f t="shared" ca="1" si="75"/>
        <v>1.6348066887727677</v>
      </c>
      <c r="GL37" s="53">
        <v>600944264</v>
      </c>
      <c r="GM37" s="53">
        <v>6840912632</v>
      </c>
      <c r="GN37" s="53">
        <f ca="1">INDIRECT("ZS(-1)",0) * 'Correction factor'!$C$13</f>
        <v>9487408375.3480225</v>
      </c>
      <c r="GO37" s="53">
        <f t="shared" ca="1" si="76"/>
        <v>10088352639.348022</v>
      </c>
      <c r="GP37" s="53">
        <f t="shared" ca="1" si="77"/>
        <v>6.9594693374312078</v>
      </c>
      <c r="GQ37" s="53">
        <v>2877250940</v>
      </c>
      <c r="GR37" s="53">
        <v>106096175</v>
      </c>
      <c r="GS37" s="53">
        <f ca="1">INDIRECT("ZS(-1)",0) * 'Correction factor'!$C$13</f>
        <v>147140855.82366338</v>
      </c>
      <c r="GT37" s="53">
        <f t="shared" ca="1" si="78"/>
        <v>3024391795.8236632</v>
      </c>
      <c r="GU37" s="53">
        <f t="shared" ca="1" si="79"/>
        <v>3.1359435588120421</v>
      </c>
      <c r="GV37" s="53">
        <v>4074579138</v>
      </c>
      <c r="GW37" s="53">
        <v>724673390</v>
      </c>
      <c r="GX37" s="53">
        <f ca="1">INDIRECT("ZS(-1)",0) * 'Correction factor'!$C$13</f>
        <v>1005022686.230068</v>
      </c>
      <c r="GY37" s="53">
        <f t="shared" ca="1" si="80"/>
        <v>5079601824.2300682</v>
      </c>
      <c r="GZ37" s="53">
        <f t="shared" ca="1" si="81"/>
        <v>3.6060419678727125</v>
      </c>
      <c r="HA37" s="53">
        <v>1000066438</v>
      </c>
      <c r="HB37" s="53">
        <v>11846560962</v>
      </c>
      <c r="HC37" s="53">
        <f ca="1">INDIRECT("ZS(-1)",0) * 'Correction factor'!$C$13</f>
        <v>16429556659.473171</v>
      </c>
      <c r="HD37" s="53">
        <f t="shared" ca="1" si="82"/>
        <v>17429623097.473171</v>
      </c>
      <c r="HE37" s="53">
        <f t="shared" ca="1" si="83"/>
        <v>12.765046456710532</v>
      </c>
      <c r="HF37" s="53">
        <v>1703525133</v>
      </c>
      <c r="HG37" s="53">
        <v>19623919213</v>
      </c>
      <c r="HH37" s="53">
        <f ca="1">INDIRECT("ZS(-1)",0) * 'Correction factor'!$C$13</f>
        <v>27215686782.442917</v>
      </c>
      <c r="HI37" s="53">
        <f t="shared" ca="1" si="84"/>
        <v>28919211915.442917</v>
      </c>
      <c r="HJ37" s="53">
        <f t="shared" ca="1" si="85"/>
        <v>21.302757234549091</v>
      </c>
      <c r="HK37" s="53">
        <v>2947212577</v>
      </c>
      <c r="HL37" s="53">
        <v>31428716903</v>
      </c>
      <c r="HM37" s="53">
        <f ca="1">INDIRECT("ZS(-1)",0) * 'Correction factor'!$C$13</f>
        <v>43587323506.68679</v>
      </c>
      <c r="HN37" s="53">
        <f t="shared" ca="1" si="86"/>
        <v>46534536083.68679</v>
      </c>
      <c r="HO37" s="53">
        <f t="shared" ca="1" si="87"/>
        <v>34.642369774109561</v>
      </c>
      <c r="HP37" s="53">
        <v>4831102571</v>
      </c>
      <c r="HQ37" s="53">
        <v>16072167</v>
      </c>
      <c r="HR37" s="53">
        <f ca="1">INDIRECT("ZS(-1)",0) * 'Correction factor'!$C$13</f>
        <v>22289893.177777994</v>
      </c>
      <c r="HS37" s="53">
        <f t="shared" ca="1" si="88"/>
        <v>4853392464.1777782</v>
      </c>
      <c r="HT37" s="53">
        <f t="shared" ca="1" si="89"/>
        <v>3.1464177317370408</v>
      </c>
      <c r="HU37" s="53">
        <v>2451618589</v>
      </c>
      <c r="HV37" s="53">
        <v>1939316341</v>
      </c>
      <c r="HW37" s="53">
        <f ca="1">INDIRECT("ZS(-1)",0) * 'Correction factor'!$C$13</f>
        <v>2689566010.5329471</v>
      </c>
      <c r="HX37" s="53">
        <f t="shared" ca="1" si="90"/>
        <v>5141184599.5329475</v>
      </c>
      <c r="HY37" s="53">
        <f t="shared" ca="1" si="91"/>
        <v>4.0343043026477288</v>
      </c>
      <c r="HZ37" s="53">
        <v>552489865</v>
      </c>
      <c r="IA37" s="53">
        <v>6928197480</v>
      </c>
      <c r="IB37" s="53">
        <f ca="1">INDIRECT("ZS(-1)",0) * 'Correction factor'!$C$13</f>
        <v>9608460498.435009</v>
      </c>
      <c r="IC37" s="53">
        <f t="shared" ca="1" si="92"/>
        <v>10160950363.435009</v>
      </c>
      <c r="ID37" s="53">
        <f t="shared" ca="1" si="93"/>
        <v>7.8791344188328303</v>
      </c>
      <c r="IE37" s="53">
        <v>0</v>
      </c>
      <c r="IF37" s="53">
        <v>0</v>
      </c>
      <c r="IG37" s="53">
        <f ca="1">INDIRECT("ZS(-1)",0) * 'Correction factor'!$C$13</f>
        <v>0</v>
      </c>
      <c r="IH37" s="53">
        <f t="shared" ca="1" si="94"/>
        <v>0</v>
      </c>
      <c r="II37" s="61">
        <f t="shared" ca="1" si="95"/>
        <v>0</v>
      </c>
    </row>
    <row r="38" spans="1:243" x14ac:dyDescent="0.25">
      <c r="A38" s="57">
        <v>34</v>
      </c>
      <c r="B38" s="56">
        <v>45525</v>
      </c>
      <c r="C38" s="29" t="s">
        <v>37</v>
      </c>
      <c r="D38" s="52">
        <v>7455390431</v>
      </c>
      <c r="E38" s="53">
        <v>33804812</v>
      </c>
      <c r="F38" s="53">
        <f ca="1">INDIRECT("ZS(-1)",0) * 'Correction factor'!$C$13</f>
        <v>46882641.797765523</v>
      </c>
      <c r="G38" s="53">
        <f t="shared" ca="1" si="0"/>
        <v>7502273072.7977657</v>
      </c>
      <c r="H38" s="53">
        <f t="shared" ca="1" si="1"/>
        <v>5.4259991354090218</v>
      </c>
      <c r="I38" s="53">
        <v>7018895550</v>
      </c>
      <c r="J38" s="53">
        <v>96190395</v>
      </c>
      <c r="K38" s="53">
        <f ca="1">INDIRECT("ZS(-1)",0) * 'Correction factor'!$C$13</f>
        <v>133402896.40334564</v>
      </c>
      <c r="L38" s="53">
        <f t="shared" ca="1" si="2"/>
        <v>7152298446.4033461</v>
      </c>
      <c r="M38" s="53">
        <f t="shared" ca="1" si="3"/>
        <v>4.6883562964273029</v>
      </c>
      <c r="N38" s="53">
        <v>4368369435</v>
      </c>
      <c r="O38" s="53">
        <v>19720405</v>
      </c>
      <c r="P38" s="53">
        <f ca="1">INDIRECT("ZS(-1)",0) * 'Correction factor'!$C$13</f>
        <v>27349499.347071186</v>
      </c>
      <c r="Q38" s="53">
        <f t="shared" ca="1" si="4"/>
        <v>4395718934.3470716</v>
      </c>
      <c r="R38" s="53">
        <f t="shared" ca="1" si="5"/>
        <v>3.422082632955131</v>
      </c>
      <c r="S38" s="53">
        <v>0</v>
      </c>
      <c r="T38" s="53">
        <v>0</v>
      </c>
      <c r="U38" s="53">
        <f ca="1">INDIRECT("ZS(-1)",0) * 'Correction factor'!$C$13</f>
        <v>0</v>
      </c>
      <c r="V38" s="53">
        <f t="shared" ca="1" si="6"/>
        <v>0</v>
      </c>
      <c r="W38" s="53">
        <f t="shared" ca="1" si="7"/>
        <v>0</v>
      </c>
      <c r="X38" s="53">
        <v>6341080001</v>
      </c>
      <c r="Y38" s="53">
        <v>32424312</v>
      </c>
      <c r="Z38" s="53">
        <f ca="1">INDIRECT("ZS(-1)",0) * 'Correction factor'!$C$13</f>
        <v>44968077.474739105</v>
      </c>
      <c r="AA38" s="53">
        <f t="shared" ca="1" si="8"/>
        <v>6386048078.4747391</v>
      </c>
      <c r="AB38" s="53">
        <f t="shared" ca="1" si="9"/>
        <v>4.4538172904149373</v>
      </c>
      <c r="AC38" s="53">
        <v>3120174825</v>
      </c>
      <c r="AD38" s="53">
        <v>20182503</v>
      </c>
      <c r="AE38" s="53">
        <f ca="1">INDIRECT("ZS(-1)",0) * 'Correction factor'!$C$13</f>
        <v>27990365.94941951</v>
      </c>
      <c r="AF38" s="53">
        <f t="shared" ca="1" si="10"/>
        <v>3148165190.9494195</v>
      </c>
      <c r="AG38" s="53">
        <f t="shared" ca="1" si="11"/>
        <v>2.0309258163588058</v>
      </c>
      <c r="AH38" s="53">
        <v>0</v>
      </c>
      <c r="AI38" s="53">
        <v>0</v>
      </c>
      <c r="AJ38" s="53">
        <f ca="1">INDIRECT("ZS(-1)",0) * 'Correction factor'!$C$13</f>
        <v>0</v>
      </c>
      <c r="AK38" s="53">
        <f t="shared" ca="1" si="12"/>
        <v>0</v>
      </c>
      <c r="AL38" s="53">
        <f t="shared" ca="1" si="13"/>
        <v>0</v>
      </c>
      <c r="AM38" s="53">
        <v>772230750</v>
      </c>
      <c r="AN38" s="53">
        <v>8672870525</v>
      </c>
      <c r="AO38" s="53">
        <f ca="1">INDIRECT("ZS(-1)",0) * 'Correction factor'!$C$13</f>
        <v>12028082930.38203</v>
      </c>
      <c r="AP38" s="53">
        <f t="shared" ca="1" si="14"/>
        <v>12800313680.38203</v>
      </c>
      <c r="AQ38" s="53">
        <f t="shared" ca="1" si="15"/>
        <v>8.3126946322066377</v>
      </c>
      <c r="AR38" s="53">
        <v>0</v>
      </c>
      <c r="AS38" s="53">
        <v>0</v>
      </c>
      <c r="AT38" s="53">
        <f ca="1">INDIRECT("ZS(-1)",0) * 'Correction factor'!$C$13</f>
        <v>0</v>
      </c>
      <c r="AU38" s="53">
        <f t="shared" ca="1" si="16"/>
        <v>0</v>
      </c>
      <c r="AV38" s="53">
        <f t="shared" ca="1" si="17"/>
        <v>0</v>
      </c>
      <c r="AW38" s="53">
        <v>0</v>
      </c>
      <c r="AX38" s="53">
        <v>0</v>
      </c>
      <c r="AY38" s="53">
        <f ca="1">INDIRECT("ZS(-1)",0) * 'Correction factor'!$C$13</f>
        <v>0</v>
      </c>
      <c r="AZ38" s="53">
        <f t="shared" ca="1" si="18"/>
        <v>0</v>
      </c>
      <c r="BA38" s="53">
        <f t="shared" ca="1" si="19"/>
        <v>0</v>
      </c>
      <c r="BB38" s="53">
        <v>79168048</v>
      </c>
      <c r="BC38" s="53">
        <v>141062397</v>
      </c>
      <c r="BD38" s="53">
        <f ca="1">INDIRECT("ZS(-1)",0) * 'Correction factor'!$C$13</f>
        <v>195634214.13747823</v>
      </c>
      <c r="BE38" s="53">
        <f t="shared" ca="1" si="20"/>
        <v>274802262.13747823</v>
      </c>
      <c r="BF38" s="53">
        <f t="shared" ca="1" si="21"/>
        <v>0.18652684228371194</v>
      </c>
      <c r="BG38" s="53">
        <v>89193878</v>
      </c>
      <c r="BH38" s="53">
        <v>19013499</v>
      </c>
      <c r="BI38" s="53">
        <f ca="1">INDIRECT("ZS(-1)",0) * 'Correction factor'!$C$13</f>
        <v>26369117.59601482</v>
      </c>
      <c r="BJ38" s="53">
        <f t="shared" ca="1" si="22"/>
        <v>115562995.59601483</v>
      </c>
      <c r="BK38" s="53">
        <f t="shared" ca="1" si="23"/>
        <v>7.0389130616451995E-2</v>
      </c>
      <c r="BL38" s="53">
        <v>2633589020</v>
      </c>
      <c r="BM38" s="53">
        <v>28761081911</v>
      </c>
      <c r="BN38" s="53">
        <f ca="1">INDIRECT("ZS(-1)",0) * 'Correction factor'!$C$13</f>
        <v>39887679332.445526</v>
      </c>
      <c r="BO38" s="53">
        <f t="shared" ca="1" si="24"/>
        <v>42521268352.445526</v>
      </c>
      <c r="BP38" s="53">
        <f t="shared" ca="1" si="25"/>
        <v>203.9332481471933</v>
      </c>
      <c r="BQ38" s="53">
        <v>2198047909</v>
      </c>
      <c r="BR38" s="53">
        <v>25337697460</v>
      </c>
      <c r="BS38" s="53">
        <f ca="1">INDIRECT("ZS(-1)",0) * 'Correction factor'!$C$13</f>
        <v>35139914222.783829</v>
      </c>
      <c r="BT38" s="53">
        <f t="shared" ca="1" si="26"/>
        <v>37337962131.783829</v>
      </c>
      <c r="BU38" s="53">
        <f t="shared" ca="1" si="27"/>
        <v>219.2059319053547</v>
      </c>
      <c r="BV38" s="53">
        <v>0</v>
      </c>
      <c r="BW38" s="53">
        <v>0</v>
      </c>
      <c r="BX38" s="53">
        <f ca="1">INDIRECT("ZS(-1)",0) * 'Correction factor'!$C$13</f>
        <v>0</v>
      </c>
      <c r="BY38" s="53">
        <f t="shared" ca="1" si="28"/>
        <v>0</v>
      </c>
      <c r="BZ38" s="53">
        <f t="shared" ca="1" si="29"/>
        <v>0</v>
      </c>
      <c r="CA38" s="53">
        <v>1624379716</v>
      </c>
      <c r="CB38" s="53">
        <v>19203732553</v>
      </c>
      <c r="CC38" s="53">
        <f ca="1">INDIRECT("ZS(-1)",0) * 'Correction factor'!$C$13</f>
        <v>26632945465.349377</v>
      </c>
      <c r="CD38" s="53">
        <f t="shared" ca="1" si="30"/>
        <v>28257325181.349377</v>
      </c>
      <c r="CE38" s="53">
        <f t="shared" ca="1" si="31"/>
        <v>159.94356376360113</v>
      </c>
      <c r="CF38" s="53">
        <v>0</v>
      </c>
      <c r="CG38" s="53">
        <v>0</v>
      </c>
      <c r="CH38" s="53">
        <f ca="1">INDIRECT("ZS(-1)",0) * 'Correction factor'!$C$13</f>
        <v>0</v>
      </c>
      <c r="CI38" s="53">
        <f t="shared" ca="1" si="32"/>
        <v>0</v>
      </c>
      <c r="CJ38" s="53">
        <f t="shared" ca="1" si="33"/>
        <v>0</v>
      </c>
      <c r="CK38" s="53">
        <v>0</v>
      </c>
      <c r="CL38" s="53">
        <v>0</v>
      </c>
      <c r="CM38" s="53">
        <f ca="1">INDIRECT("ZS(-1)",0) * 'Correction factor'!$C$13</f>
        <v>0</v>
      </c>
      <c r="CN38" s="53">
        <f t="shared" ca="1" si="34"/>
        <v>0</v>
      </c>
      <c r="CO38" s="53">
        <f t="shared" ca="1" si="35"/>
        <v>0</v>
      </c>
      <c r="CP38" s="53">
        <v>778022098</v>
      </c>
      <c r="CQ38" s="53">
        <v>31442231</v>
      </c>
      <c r="CR38" s="53">
        <f ca="1">INDIRECT("ZS(-1)",0) * 'Correction factor'!$C$13</f>
        <v>43606065.707319975</v>
      </c>
      <c r="CS38" s="53">
        <f t="shared" ca="1" si="36"/>
        <v>821628163.70731997</v>
      </c>
      <c r="CT38" s="53">
        <f t="shared" ca="1" si="37"/>
        <v>0.55971760773767065</v>
      </c>
      <c r="CU38" s="53">
        <v>733329627</v>
      </c>
      <c r="CV38" s="53">
        <v>484184902</v>
      </c>
      <c r="CW38" s="53">
        <f ca="1">INDIRECT("ZS(-1)",0) * 'Correction factor'!$C$13</f>
        <v>671498108.7412113</v>
      </c>
      <c r="CX38" s="53">
        <f t="shared" ca="1" si="38"/>
        <v>1404827735.7412114</v>
      </c>
      <c r="CY38" s="53">
        <f t="shared" ca="1" si="39"/>
        <v>1.074857547400806</v>
      </c>
      <c r="CZ38" s="53">
        <v>0</v>
      </c>
      <c r="DA38" s="53">
        <v>0</v>
      </c>
      <c r="DB38" s="53">
        <f ca="1">INDIRECT("ZS(-1)",0) * 'Correction factor'!$C$13</f>
        <v>0</v>
      </c>
      <c r="DC38" s="53">
        <f t="shared" ca="1" si="40"/>
        <v>0</v>
      </c>
      <c r="DD38" s="53">
        <f t="shared" ca="1" si="41"/>
        <v>0</v>
      </c>
      <c r="DE38" s="53">
        <v>1259679685</v>
      </c>
      <c r="DF38" s="53">
        <v>7061921241</v>
      </c>
      <c r="DG38" s="53">
        <f ca="1">INDIRECT("ZS(-1)",0) * 'Correction factor'!$C$13</f>
        <v>9793917030.091301</v>
      </c>
      <c r="DH38" s="53">
        <f t="shared" ca="1" si="42"/>
        <v>11053596715.091301</v>
      </c>
      <c r="DI38" s="53">
        <f t="shared" ca="1" si="43"/>
        <v>8.048539280474726</v>
      </c>
      <c r="DJ38" s="53">
        <v>1562115968</v>
      </c>
      <c r="DK38" s="53">
        <v>17150498917</v>
      </c>
      <c r="DL38" s="53">
        <f ca="1">INDIRECT("ZS(-1)",0) * 'Correction factor'!$C$13</f>
        <v>23785391777.320831</v>
      </c>
      <c r="DM38" s="53">
        <f t="shared" ca="1" si="44"/>
        <v>25347507745.320831</v>
      </c>
      <c r="DN38" s="53">
        <f t="shared" ca="1" si="45"/>
        <v>20.892436621001146</v>
      </c>
      <c r="DO38" s="53">
        <v>1368127911</v>
      </c>
      <c r="DP38" s="53">
        <v>2194596375</v>
      </c>
      <c r="DQ38" s="53">
        <f ca="1">INDIRECT("ZS(-1)",0) * 'Correction factor'!$C$13</f>
        <v>3043604435.3626251</v>
      </c>
      <c r="DR38" s="53">
        <f t="shared" ca="1" si="46"/>
        <v>4411732346.3626251</v>
      </c>
      <c r="DS38" s="53">
        <f t="shared" ca="1" si="47"/>
        <v>3.3237956805621476</v>
      </c>
      <c r="DT38" s="53">
        <v>1975298389</v>
      </c>
      <c r="DU38" s="53">
        <v>20356563457</v>
      </c>
      <c r="DV38" s="53">
        <f ca="1">INDIRECT("ZS(-1)",0) * 'Correction factor'!$C$13</f>
        <v>28231763950.884106</v>
      </c>
      <c r="DW38" s="53">
        <f t="shared" ca="1" si="48"/>
        <v>30207062339.884106</v>
      </c>
      <c r="DX38" s="53">
        <f t="shared" ca="1" si="49"/>
        <v>22.243718567112548</v>
      </c>
      <c r="DY38" s="53">
        <v>1708017014</v>
      </c>
      <c r="DZ38" s="53">
        <v>18382170444</v>
      </c>
      <c r="EA38" s="53">
        <f ca="1">INDIRECT("ZS(-1)",0) * 'Correction factor'!$C$13</f>
        <v>25493551403.022873</v>
      </c>
      <c r="EB38" s="53">
        <f t="shared" ca="1" si="50"/>
        <v>27201568417.022873</v>
      </c>
      <c r="EC38" s="53">
        <f t="shared" ca="1" si="51"/>
        <v>19.236952911598756</v>
      </c>
      <c r="ED38" s="53">
        <v>0</v>
      </c>
      <c r="EE38" s="53">
        <v>0</v>
      </c>
      <c r="EF38" s="53">
        <f ca="1">INDIRECT("ZS(-1)",0) * 'Correction factor'!$C$13</f>
        <v>0</v>
      </c>
      <c r="EG38" s="53">
        <f t="shared" ca="1" si="52"/>
        <v>0</v>
      </c>
      <c r="EH38" s="53">
        <f t="shared" ca="1" si="53"/>
        <v>0</v>
      </c>
      <c r="EI38" s="53">
        <v>0</v>
      </c>
      <c r="EJ38" s="53">
        <v>0</v>
      </c>
      <c r="EK38" s="53">
        <f ca="1">INDIRECT("ZS(-1)",0) * 'Correction factor'!$C$13</f>
        <v>0</v>
      </c>
      <c r="EL38" s="53">
        <f t="shared" ca="1" si="54"/>
        <v>0</v>
      </c>
      <c r="EM38" s="53">
        <f t="shared" ca="1" si="55"/>
        <v>0</v>
      </c>
      <c r="EN38" s="53">
        <v>2113511993</v>
      </c>
      <c r="EO38" s="53">
        <v>96022467</v>
      </c>
      <c r="EP38" s="53">
        <f ca="1">INDIRECT("ZS(-1)",0) * 'Correction factor'!$C$13</f>
        <v>133170003.27937812</v>
      </c>
      <c r="EQ38" s="53">
        <f t="shared" ca="1" si="56"/>
        <v>2246681996.2793779</v>
      </c>
      <c r="ER38" s="53">
        <f t="shared" ca="1" si="57"/>
        <v>1.5275571165250605</v>
      </c>
      <c r="ES38" s="53">
        <v>3730778177</v>
      </c>
      <c r="ET38" s="53">
        <v>117359289</v>
      </c>
      <c r="EU38" s="53">
        <f ca="1">INDIRECT("ZS(-1)",0) * 'Correction factor'!$C$13</f>
        <v>162761251.49956295</v>
      </c>
      <c r="EV38" s="53">
        <f t="shared" ca="1" si="58"/>
        <v>3893539428.4995627</v>
      </c>
      <c r="EW38" s="53">
        <f t="shared" ca="1" si="59"/>
        <v>2.6614778363030664</v>
      </c>
      <c r="EX38" s="53">
        <v>2099447931</v>
      </c>
      <c r="EY38" s="53">
        <v>81940257</v>
      </c>
      <c r="EZ38" s="53">
        <f ca="1">INDIRECT("ZS(-1)",0) * 'Correction factor'!$C$13</f>
        <v>113639907.76661764</v>
      </c>
      <c r="FA38" s="53">
        <f t="shared" ca="1" si="60"/>
        <v>2213087838.7666178</v>
      </c>
      <c r="FB38" s="53">
        <f t="shared" ca="1" si="61"/>
        <v>1.57786465412315</v>
      </c>
      <c r="FC38" s="53">
        <v>1217935469</v>
      </c>
      <c r="FD38" s="53">
        <v>9803678110</v>
      </c>
      <c r="FE38" s="53">
        <f ca="1">INDIRECT("ZS(-1)",0) * 'Correction factor'!$C$13</f>
        <v>13596358090.431768</v>
      </c>
      <c r="FF38" s="53">
        <f t="shared" ca="1" si="62"/>
        <v>14814293559.431768</v>
      </c>
      <c r="FG38" s="53">
        <f t="shared" ca="1" si="63"/>
        <v>11.432851240299151</v>
      </c>
      <c r="FH38" s="53">
        <v>2271559489</v>
      </c>
      <c r="FI38" s="53">
        <v>6697919658</v>
      </c>
      <c r="FJ38" s="53">
        <f ca="1">INDIRECT("ZS(-1)",0) * 'Correction factor'!$C$13</f>
        <v>9289096715.4683819</v>
      </c>
      <c r="FK38" s="53">
        <f t="shared" ca="1" si="64"/>
        <v>11560656204.468382</v>
      </c>
      <c r="FL38" s="53">
        <f t="shared" ca="1" si="65"/>
        <v>6.5126844500731478</v>
      </c>
      <c r="FM38" s="53">
        <v>956321493</v>
      </c>
      <c r="FN38" s="53">
        <v>120969132</v>
      </c>
      <c r="FO38" s="53">
        <f ca="1">INDIRECT("ZS(-1)",0) * 'Correction factor'!$C$13</f>
        <v>167767609.0653193</v>
      </c>
      <c r="FP38" s="53">
        <f t="shared" ca="1" si="66"/>
        <v>1124089102.0653193</v>
      </c>
      <c r="FQ38" s="53">
        <f t="shared" ca="1" si="67"/>
        <v>0.79440689118504115</v>
      </c>
      <c r="FR38" s="53">
        <v>906377179</v>
      </c>
      <c r="FS38" s="53">
        <v>586070036</v>
      </c>
      <c r="FT38" s="53">
        <f ca="1">INDIRECT("ZS(-1)",0) * 'Correction factor'!$C$13</f>
        <v>812798827.75835419</v>
      </c>
      <c r="FU38" s="53">
        <f t="shared" ca="1" si="68"/>
        <v>1719176006.7583542</v>
      </c>
      <c r="FV38" s="53">
        <f t="shared" ca="1" si="69"/>
        <v>1.1993051754370081</v>
      </c>
      <c r="FW38" s="53">
        <v>1950275506</v>
      </c>
      <c r="FX38" s="53">
        <v>19132063164</v>
      </c>
      <c r="FY38" s="53">
        <f ca="1">INDIRECT("ZS(-1)",0) * 'Correction factor'!$C$13</f>
        <v>26533549844.029202</v>
      </c>
      <c r="FZ38" s="53">
        <f t="shared" ca="1" si="70"/>
        <v>28483825350.029202</v>
      </c>
      <c r="GA38" s="53">
        <f t="shared" ca="1" si="71"/>
        <v>22.858246317056441</v>
      </c>
      <c r="GB38" s="53">
        <v>2938009683</v>
      </c>
      <c r="GC38" s="53">
        <v>58627471</v>
      </c>
      <c r="GD38" s="53">
        <f ca="1">INDIRECT("ZS(-1)",0) * 'Correction factor'!$C$13</f>
        <v>81308268.254882947</v>
      </c>
      <c r="GE38" s="53">
        <f t="shared" ca="1" si="72"/>
        <v>3019317951.2548828</v>
      </c>
      <c r="GF38" s="53">
        <f t="shared" ca="1" si="73"/>
        <v>2.1055070822789248</v>
      </c>
      <c r="GG38" s="53">
        <v>2128862923</v>
      </c>
      <c r="GH38" s="53">
        <v>77154337</v>
      </c>
      <c r="GI38" s="53">
        <f ca="1">INDIRECT("ZS(-1)",0) * 'Correction factor'!$C$13</f>
        <v>107002492.56570594</v>
      </c>
      <c r="GJ38" s="53">
        <f t="shared" ca="1" si="74"/>
        <v>2235865415.5657058</v>
      </c>
      <c r="GK38" s="53">
        <f t="shared" ca="1" si="75"/>
        <v>1.5590593335572926</v>
      </c>
      <c r="GL38" s="53">
        <v>575742583</v>
      </c>
      <c r="GM38" s="53">
        <v>6698302644</v>
      </c>
      <c r="GN38" s="53">
        <f ca="1">INDIRECT("ZS(-1)",0) * 'Correction factor'!$C$13</f>
        <v>9289627864.567852</v>
      </c>
      <c r="GO38" s="53">
        <f t="shared" ca="1" si="76"/>
        <v>9865370447.567852</v>
      </c>
      <c r="GP38" s="53">
        <f t="shared" ca="1" si="77"/>
        <v>6.8056446465263125</v>
      </c>
      <c r="GQ38" s="53">
        <v>2594905939</v>
      </c>
      <c r="GR38" s="53">
        <v>106518435</v>
      </c>
      <c r="GS38" s="53">
        <f ca="1">INDIRECT("ZS(-1)",0) * 'Correction factor'!$C$13</f>
        <v>147726472.57921654</v>
      </c>
      <c r="GT38" s="53">
        <f t="shared" ca="1" si="78"/>
        <v>2742632411.5792165</v>
      </c>
      <c r="GU38" s="53">
        <f t="shared" ca="1" si="79"/>
        <v>2.8437917524963576</v>
      </c>
      <c r="GV38" s="53">
        <v>3905467259</v>
      </c>
      <c r="GW38" s="53">
        <v>744549167</v>
      </c>
      <c r="GX38" s="53">
        <f ca="1">INDIRECT("ZS(-1)",0) * 'Correction factor'!$C$13</f>
        <v>1032587665.2497196</v>
      </c>
      <c r="GY38" s="53">
        <f t="shared" ca="1" si="80"/>
        <v>4938054924.2497196</v>
      </c>
      <c r="GZ38" s="53">
        <f t="shared" ca="1" si="81"/>
        <v>3.5055569142378671</v>
      </c>
      <c r="HA38" s="53">
        <v>892886690</v>
      </c>
      <c r="HB38" s="53">
        <v>10696486471</v>
      </c>
      <c r="HC38" s="53">
        <f ca="1">INDIRECT("ZS(-1)",0) * 'Correction factor'!$C$13</f>
        <v>14834560941.044075</v>
      </c>
      <c r="HD38" s="53">
        <f t="shared" ca="1" si="82"/>
        <v>15727447631.044075</v>
      </c>
      <c r="HE38" s="53">
        <f t="shared" ca="1" si="83"/>
        <v>11.518413136820193</v>
      </c>
      <c r="HF38" s="53">
        <v>1593523889</v>
      </c>
      <c r="HG38" s="53">
        <v>18705231433</v>
      </c>
      <c r="HH38" s="53">
        <f ca="1">INDIRECT("ZS(-1)",0) * 'Correction factor'!$C$13</f>
        <v>25941592724.066719</v>
      </c>
      <c r="HI38" s="53">
        <f t="shared" ca="1" si="84"/>
        <v>27535116613.066719</v>
      </c>
      <c r="HJ38" s="53">
        <f t="shared" ca="1" si="85"/>
        <v>20.283191199962413</v>
      </c>
      <c r="HK38" s="53">
        <v>2769960861</v>
      </c>
      <c r="HL38" s="53">
        <v>30220989230</v>
      </c>
      <c r="HM38" s="53">
        <f ca="1">INDIRECT("ZS(-1)",0) * 'Correction factor'!$C$13</f>
        <v>41912370725.334007</v>
      </c>
      <c r="HN38" s="53">
        <f t="shared" ca="1" si="86"/>
        <v>44682331586.334007</v>
      </c>
      <c r="HO38" s="53">
        <f t="shared" ca="1" si="87"/>
        <v>33.263506708210052</v>
      </c>
      <c r="HP38" s="53">
        <v>4607466412</v>
      </c>
      <c r="HQ38" s="53">
        <v>16883668</v>
      </c>
      <c r="HR38" s="53">
        <f ca="1">INDIRECT("ZS(-1)",0) * 'Correction factor'!$C$13</f>
        <v>23415333.86064671</v>
      </c>
      <c r="HS38" s="53">
        <f t="shared" ca="1" si="88"/>
        <v>4630881745.8606462</v>
      </c>
      <c r="HT38" s="53">
        <f t="shared" ca="1" si="89"/>
        <v>3.0021657111592703</v>
      </c>
      <c r="HU38" s="53">
        <v>2157703950</v>
      </c>
      <c r="HV38" s="53">
        <v>2230823522</v>
      </c>
      <c r="HW38" s="53">
        <f ca="1">INDIRECT("ZS(-1)",0) * 'Correction factor'!$C$13</f>
        <v>3093846523.8604403</v>
      </c>
      <c r="HX38" s="53">
        <f t="shared" ca="1" si="90"/>
        <v>5251550473.8604403</v>
      </c>
      <c r="HY38" s="53">
        <f t="shared" ca="1" si="91"/>
        <v>4.1209087637490338</v>
      </c>
      <c r="HZ38" s="53">
        <v>502318208</v>
      </c>
      <c r="IA38" s="53">
        <v>6329474285</v>
      </c>
      <c r="IB38" s="53">
        <f ca="1">INDIRECT("ZS(-1)",0) * 'Correction factor'!$C$13</f>
        <v>8778113473.0707283</v>
      </c>
      <c r="IC38" s="53">
        <f t="shared" ca="1" si="92"/>
        <v>9280431681.0707283</v>
      </c>
      <c r="ID38" s="53">
        <f t="shared" ca="1" si="93"/>
        <v>7.1963513317696659</v>
      </c>
      <c r="IE38" s="53">
        <v>0</v>
      </c>
      <c r="IF38" s="53">
        <v>0</v>
      </c>
      <c r="IG38" s="53">
        <f ca="1">INDIRECT("ZS(-1)",0) * 'Correction factor'!$C$13</f>
        <v>0</v>
      </c>
      <c r="IH38" s="53">
        <f t="shared" ca="1" si="94"/>
        <v>0</v>
      </c>
      <c r="II38" s="61">
        <f t="shared" ca="1" si="95"/>
        <v>0</v>
      </c>
    </row>
    <row r="39" spans="1:243" x14ac:dyDescent="0.25">
      <c r="A39" s="5">
        <v>35</v>
      </c>
      <c r="B39" s="30">
        <v>45526</v>
      </c>
      <c r="C39" s="29" t="s">
        <v>38</v>
      </c>
      <c r="D39" s="52">
        <v>8158007377</v>
      </c>
      <c r="E39" s="53">
        <v>37303332</v>
      </c>
      <c r="F39" s="53">
        <f ca="1">INDIRECT("ZS(-1)",0) * 'Correction factor'!$C$13</f>
        <v>51734609.617681772</v>
      </c>
      <c r="G39" s="53">
        <f ca="1">INDIRECT("ZS(-1)",0) + INDIRECT("ZS(-3)",0)</f>
        <v>8209741986.6176815</v>
      </c>
      <c r="H39" s="53">
        <f ca="1">INDIRECT("ZS(-1)",0) / INDIRECT("Z6S(-1)",0)</f>
        <v>5.9376741540956024</v>
      </c>
      <c r="I39" s="53">
        <v>7968866298</v>
      </c>
      <c r="J39" s="53">
        <v>104302404</v>
      </c>
      <c r="K39" s="53">
        <f ca="1">INDIRECT("ZS(-1)",0) * 'Correction factor'!$C$13</f>
        <v>144653141.25627518</v>
      </c>
      <c r="L39" s="53">
        <f ca="1">INDIRECT("ZS(-1)",0) + INDIRECT("ZS(-3)",0)</f>
        <v>8113519439.2562752</v>
      </c>
      <c r="M39" s="53">
        <f ca="1">INDIRECT("ZS(-1)",0) / INDIRECT("Z6S(-1)",0)</f>
        <v>5.3184399720276021</v>
      </c>
      <c r="N39" s="53">
        <v>4712637880</v>
      </c>
      <c r="O39" s="53">
        <v>19943740</v>
      </c>
      <c r="P39" s="53">
        <f ca="1">INDIRECT("ZS(-1)",0) * 'Correction factor'!$C$13</f>
        <v>27659234.387334213</v>
      </c>
      <c r="Q39" s="53">
        <f ca="1">INDIRECT("ZS(-1)",0) + INDIRECT("ZS(-3)",0)</f>
        <v>4740297114.3873339</v>
      </c>
      <c r="R39" s="53">
        <f ca="1">INDIRECT("ZS(-1)",0) / INDIRECT("Z6S(-1)",0)</f>
        <v>3.6903379566513945</v>
      </c>
      <c r="S39" s="53">
        <v>0</v>
      </c>
      <c r="T39" s="53">
        <v>0</v>
      </c>
      <c r="U39" s="53">
        <f ca="1">INDIRECT("ZS(-1)",0) * 'Correction factor'!$C$13</f>
        <v>0</v>
      </c>
      <c r="V39" s="53">
        <f ca="1">INDIRECT("ZS(-1)",0) + INDIRECT("ZS(-3)",0)</f>
        <v>0</v>
      </c>
      <c r="W39" s="53">
        <f ca="1">INDIRECT("ZS(-1)",0) / INDIRECT("Z6S(-1)",0)</f>
        <v>0</v>
      </c>
      <c r="X39" s="53">
        <v>6843386114</v>
      </c>
      <c r="Y39" s="53">
        <v>32459244</v>
      </c>
      <c r="Z39" s="53">
        <f ca="1">INDIRECT("ZS(-1)",0) * 'Correction factor'!$C$13</f>
        <v>45016523.371828534</v>
      </c>
      <c r="AA39" s="53">
        <f ca="1">INDIRECT("ZS(-1)",0) + INDIRECT("ZS(-3)",0)</f>
        <v>6888402637.3718281</v>
      </c>
      <c r="AB39" s="53">
        <f ca="1">INDIRECT("ZS(-1)",0) / INDIRECT("Z6S(-1)",0)</f>
        <v>4.8041740983876409</v>
      </c>
      <c r="AC39" s="53">
        <v>3238893179</v>
      </c>
      <c r="AD39" s="53">
        <v>18833100</v>
      </c>
      <c r="AE39" s="53">
        <f ca="1">INDIRECT("ZS(-1)",0) * 'Correction factor'!$C$13</f>
        <v>26118928.904012181</v>
      </c>
      <c r="AF39" s="53">
        <f ca="1">INDIRECT("ZS(-1)",0) + INDIRECT("ZS(-3)",0)</f>
        <v>3265012107.9040122</v>
      </c>
      <c r="AG39" s="53">
        <f ca="1">INDIRECT("ZS(-1)",0) / INDIRECT("Z6S(-1)",0)</f>
        <v>2.1063054123492719</v>
      </c>
      <c r="AH39" s="53">
        <v>0</v>
      </c>
      <c r="AI39" s="53">
        <v>0</v>
      </c>
      <c r="AJ39" s="53">
        <f ca="1">INDIRECT("ZS(-1)",0) * 'Correction factor'!$C$13</f>
        <v>0</v>
      </c>
      <c r="AK39" s="53">
        <f ca="1">INDIRECT("ZS(-1)",0) + INDIRECT("ZS(-3)",0)</f>
        <v>0</v>
      </c>
      <c r="AL39" s="53">
        <f ca="1">INDIRECT("ZS(-1)",0) / INDIRECT("Z6S(-1)",0)</f>
        <v>0</v>
      </c>
      <c r="AM39" s="53">
        <v>752965026</v>
      </c>
      <c r="AN39" s="53">
        <v>8285066010</v>
      </c>
      <c r="AO39" s="53">
        <f ca="1">INDIRECT("ZS(-1)",0) * 'Correction factor'!$C$13</f>
        <v>11490251210.91259</v>
      </c>
      <c r="AP39" s="53">
        <f ca="1">INDIRECT("ZS(-1)",0) + INDIRECT("ZS(-3)",0)</f>
        <v>12243216236.91259</v>
      </c>
      <c r="AQ39" s="53">
        <f ca="1">INDIRECT("ZS(-1)",0) / INDIRECT("Z6S(-1)",0)</f>
        <v>7.9509081132526553</v>
      </c>
      <c r="AR39" s="53">
        <v>0</v>
      </c>
      <c r="AS39" s="53">
        <v>0</v>
      </c>
      <c r="AT39" s="53">
        <f ca="1">INDIRECT("ZS(-1)",0) * 'Correction factor'!$C$13</f>
        <v>0</v>
      </c>
      <c r="AU39" s="53">
        <f ca="1">INDIRECT("ZS(-1)",0) + INDIRECT("ZS(-3)",0)</f>
        <v>0</v>
      </c>
      <c r="AV39" s="53">
        <f ca="1">INDIRECT("ZS(-1)",0) / INDIRECT("Z6S(-1)",0)</f>
        <v>0</v>
      </c>
      <c r="AW39" s="53">
        <v>0</v>
      </c>
      <c r="AX39" s="53">
        <v>0</v>
      </c>
      <c r="AY39" s="53">
        <f ca="1">INDIRECT("ZS(-1)",0) * 'Correction factor'!$C$13</f>
        <v>0</v>
      </c>
      <c r="AZ39" s="53">
        <f ca="1">INDIRECT("ZS(-1)",0) + INDIRECT("ZS(-3)",0)</f>
        <v>0</v>
      </c>
      <c r="BA39" s="53">
        <f ca="1">INDIRECT("ZS(-1)",0) / INDIRECT("Z6S(-1)",0)</f>
        <v>0</v>
      </c>
      <c r="BB39" s="53">
        <v>66701386</v>
      </c>
      <c r="BC39" s="53">
        <v>162496811</v>
      </c>
      <c r="BD39" s="53">
        <f ca="1">INDIRECT("ZS(-1)",0) * 'Correction factor'!$C$13</f>
        <v>225360809.08813232</v>
      </c>
      <c r="BE39" s="53">
        <f ca="1">INDIRECT("ZS(-1)",0) + INDIRECT("ZS(-3)",0)</f>
        <v>292062195.08813232</v>
      </c>
      <c r="BF39" s="53">
        <f ca="1">INDIRECT("ZS(-1)",0) / INDIRECT("Z6S(-1)",0)</f>
        <v>0.1982423236857663</v>
      </c>
      <c r="BG39" s="53">
        <v>78472923</v>
      </c>
      <c r="BH39" s="53">
        <v>20512169</v>
      </c>
      <c r="BI39" s="53">
        <f ca="1">INDIRECT("ZS(-1)",0) * 'Correction factor'!$C$13</f>
        <v>28447567.515601929</v>
      </c>
      <c r="BJ39" s="53">
        <f ca="1">INDIRECT("ZS(-1)",0) + INDIRECT("ZS(-3)",0)</f>
        <v>106920490.51560193</v>
      </c>
      <c r="BK39" s="53">
        <f ca="1">INDIRECT("ZS(-1)",0) / INDIRECT("Z6S(-1)",0)</f>
        <v>6.5125002460020648E-2</v>
      </c>
      <c r="BL39" s="53">
        <v>2677288766</v>
      </c>
      <c r="BM39" s="53">
        <v>28876104433</v>
      </c>
      <c r="BN39" s="53">
        <f ca="1">INDIRECT("ZS(-1)",0) * 'Correction factor'!$C$13</f>
        <v>40047199808.33522</v>
      </c>
      <c r="BO39" s="53">
        <f ca="1">INDIRECT("ZS(-1)",0) + INDIRECT("ZS(-3)",0)</f>
        <v>42724488574.33522</v>
      </c>
      <c r="BP39" s="53">
        <f ca="1">INDIRECT("ZS(-1)",0) / INDIRECT("Z6S(-1)",0)</f>
        <v>204.90789828217157</v>
      </c>
      <c r="BQ39" s="53">
        <v>2217703636</v>
      </c>
      <c r="BR39" s="53">
        <v>25360446488</v>
      </c>
      <c r="BS39" s="53">
        <f ca="1">INDIRECT("ZS(-1)",0) * 'Correction factor'!$C$13</f>
        <v>35171464007.204201</v>
      </c>
      <c r="BT39" s="53">
        <f ca="1">INDIRECT("ZS(-1)",0) + INDIRECT("ZS(-3)",0)</f>
        <v>37389167643.204201</v>
      </c>
      <c r="BU39" s="53">
        <f ca="1">INDIRECT("ZS(-1)",0) / INDIRECT("Z6S(-1)",0)</f>
        <v>219.50655227156474</v>
      </c>
      <c r="BV39" s="53">
        <v>0</v>
      </c>
      <c r="BW39" s="53">
        <v>0</v>
      </c>
      <c r="BX39" s="53">
        <f ca="1">INDIRECT("ZS(-1)",0) * 'Correction factor'!$C$13</f>
        <v>0</v>
      </c>
      <c r="BY39" s="53">
        <f ca="1">INDIRECT("ZS(-1)",0) + INDIRECT("ZS(-3)",0)</f>
        <v>0</v>
      </c>
      <c r="BZ39" s="53">
        <f ca="1">INDIRECT("ZS(-1)",0) / INDIRECT("Z6S(-1)",0)</f>
        <v>0</v>
      </c>
      <c r="CA39" s="53">
        <v>1645149945</v>
      </c>
      <c r="CB39" s="53">
        <v>19301261726</v>
      </c>
      <c r="CC39" s="53">
        <f ca="1">INDIRECT("ZS(-1)",0) * 'Correction factor'!$C$13</f>
        <v>26768205063.379128</v>
      </c>
      <c r="CD39" s="53">
        <f ca="1">INDIRECT("ZS(-1)",0) + INDIRECT("ZS(-3)",0)</f>
        <v>28413355008.379128</v>
      </c>
      <c r="CE39" s="53">
        <f ca="1">INDIRECT("ZS(-1)",0) / INDIRECT("Z6S(-1)",0)</f>
        <v>160.8267318068747</v>
      </c>
      <c r="CF39" s="53">
        <v>0</v>
      </c>
      <c r="CG39" s="53">
        <v>0</v>
      </c>
      <c r="CH39" s="53">
        <f ca="1">INDIRECT("ZS(-1)",0) * 'Correction factor'!$C$13</f>
        <v>0</v>
      </c>
      <c r="CI39" s="53">
        <f ca="1">INDIRECT("ZS(-1)",0) + INDIRECT("ZS(-3)",0)</f>
        <v>0</v>
      </c>
      <c r="CJ39" s="53">
        <f ca="1">INDIRECT("ZS(-1)",0) / INDIRECT("Z6S(-1)",0)</f>
        <v>0</v>
      </c>
      <c r="CK39" s="53">
        <v>0</v>
      </c>
      <c r="CL39" s="53">
        <v>0</v>
      </c>
      <c r="CM39" s="53">
        <f ca="1">INDIRECT("ZS(-1)",0) * 'Correction factor'!$C$13</f>
        <v>0</v>
      </c>
      <c r="CN39" s="53">
        <f ca="1">INDIRECT("ZS(-1)",0) + INDIRECT("ZS(-3)",0)</f>
        <v>0</v>
      </c>
      <c r="CO39" s="53">
        <f ca="1">INDIRECT("ZS(-1)",0) / INDIRECT("Z6S(-1)",0)</f>
        <v>0</v>
      </c>
      <c r="CP39" s="53">
        <v>699041634</v>
      </c>
      <c r="CQ39" s="53">
        <v>30309094</v>
      </c>
      <c r="CR39" s="53">
        <f ca="1">INDIRECT("ZS(-1)",0) * 'Correction factor'!$C$13</f>
        <v>42034559.967876889</v>
      </c>
      <c r="CS39" s="53">
        <f ca="1">INDIRECT("ZS(-1)",0) + INDIRECT("ZS(-3)",0)</f>
        <v>741076193.96787691</v>
      </c>
      <c r="CT39" s="53">
        <f ca="1">INDIRECT("ZS(-1)",0) / INDIRECT("Z6S(-1)",0)</f>
        <v>0.50484320372785518</v>
      </c>
      <c r="CU39" s="53">
        <v>748753954</v>
      </c>
      <c r="CV39" s="53">
        <v>650458200</v>
      </c>
      <c r="CW39" s="53">
        <f ca="1">INDIRECT("ZS(-1)",0) * 'Correction factor'!$C$13</f>
        <v>902096387.78702056</v>
      </c>
      <c r="CX39" s="53">
        <f ca="1">INDIRECT("ZS(-1)",0) + INDIRECT("ZS(-3)",0)</f>
        <v>1650850341.7870207</v>
      </c>
      <c r="CY39" s="53">
        <f ca="1">INDIRECT("ZS(-1)",0) / INDIRECT("Z6S(-1)",0)</f>
        <v>1.2630936194911897</v>
      </c>
      <c r="CZ39" s="53">
        <v>0</v>
      </c>
      <c r="DA39" s="53">
        <v>0</v>
      </c>
      <c r="DB39" s="53">
        <f ca="1">INDIRECT("ZS(-1)",0) * 'Correction factor'!$C$13</f>
        <v>0</v>
      </c>
      <c r="DC39" s="53">
        <f ca="1">INDIRECT("ZS(-1)",0) + INDIRECT("ZS(-3)",0)</f>
        <v>0</v>
      </c>
      <c r="DD39" s="53">
        <f ca="1">INDIRECT("ZS(-1)",0) / INDIRECT("Z6S(-1)",0)</f>
        <v>0</v>
      </c>
      <c r="DE39" s="53">
        <v>1179082787</v>
      </c>
      <c r="DF39" s="53">
        <v>7878127619</v>
      </c>
      <c r="DG39" s="53">
        <f ca="1">INDIRECT("ZS(-1)",0) * 'Correction factor'!$C$13</f>
        <v>10925883427.44401</v>
      </c>
      <c r="DH39" s="53">
        <f ca="1">INDIRECT("ZS(-1)",0) + INDIRECT("ZS(-3)",0)</f>
        <v>12104966214.44401</v>
      </c>
      <c r="DI39" s="53">
        <f ca="1">INDIRECT("ZS(-1)",0) / INDIRECT("Z6S(-1)",0)</f>
        <v>8.8140809346478246</v>
      </c>
      <c r="DJ39" s="53">
        <v>1676252926</v>
      </c>
      <c r="DK39" s="53">
        <v>18028466608</v>
      </c>
      <c r="DL39" s="53">
        <f ca="1">INDIRECT("ZS(-1)",0) * 'Correction factor'!$C$13</f>
        <v>25003012652.336029</v>
      </c>
      <c r="DM39" s="53">
        <f ca="1">INDIRECT("ZS(-1)",0) + INDIRECT("ZS(-3)",0)</f>
        <v>26679265578.336029</v>
      </c>
      <c r="DN39" s="53">
        <f ca="1">INDIRECT("ZS(-1)",0) / INDIRECT("Z6S(-1)",0)</f>
        <v>21.990125056501402</v>
      </c>
      <c r="DO39" s="53">
        <v>676028611</v>
      </c>
      <c r="DP39" s="53">
        <v>2315768991</v>
      </c>
      <c r="DQ39" s="53">
        <f ca="1">INDIRECT("ZS(-1)",0) * 'Correction factor'!$C$13</f>
        <v>3211654248.8514915</v>
      </c>
      <c r="DR39" s="53">
        <f ca="1">INDIRECT("ZS(-1)",0) + INDIRECT("ZS(-3)",0)</f>
        <v>3887682859.8514915</v>
      </c>
      <c r="DS39" s="53">
        <f ca="1">INDIRECT("ZS(-1)",0) / INDIRECT("Z6S(-1)",0)</f>
        <v>2.9289772095135533</v>
      </c>
      <c r="DT39" s="53">
        <v>2155469762</v>
      </c>
      <c r="DU39" s="53">
        <v>22012450779</v>
      </c>
      <c r="DV39" s="53">
        <f ca="1">INDIRECT("ZS(-1)",0) * 'Correction factor'!$C$13</f>
        <v>30528252751.791718</v>
      </c>
      <c r="DW39" s="53">
        <f ca="1">INDIRECT("ZS(-1)",0) + INDIRECT("ZS(-3)",0)</f>
        <v>32683722513.791718</v>
      </c>
      <c r="DX39" s="53">
        <f ca="1">INDIRECT("ZS(-1)",0) / INDIRECT("Z6S(-1)",0)</f>
        <v>24.06746863174688</v>
      </c>
      <c r="DY39" s="53">
        <v>1793494764</v>
      </c>
      <c r="DZ39" s="53">
        <v>19010012707</v>
      </c>
      <c r="EA39" s="53">
        <f ca="1">INDIRECT("ZS(-1)",0) * 'Correction factor'!$C$13</f>
        <v>26364282585.368378</v>
      </c>
      <c r="EB39" s="53">
        <f ca="1">INDIRECT("ZS(-1)",0) + INDIRECT("ZS(-3)",0)</f>
        <v>28157777349.368378</v>
      </c>
      <c r="EC39" s="53">
        <f ca="1">INDIRECT("ZS(-1)",0) / INDIRECT("Z6S(-1)",0)</f>
        <v>19.913183999570478</v>
      </c>
      <c r="ED39" s="53">
        <v>0</v>
      </c>
      <c r="EE39" s="53">
        <v>0</v>
      </c>
      <c r="EF39" s="53">
        <f ca="1">INDIRECT("ZS(-1)",0) * 'Correction factor'!$C$13</f>
        <v>0</v>
      </c>
      <c r="EG39" s="53">
        <f ca="1">INDIRECT("ZS(-1)",0) + INDIRECT("ZS(-3)",0)</f>
        <v>0</v>
      </c>
      <c r="EH39" s="53">
        <f ca="1">INDIRECT("ZS(-1)",0) / INDIRECT("Z6S(-1)",0)</f>
        <v>0</v>
      </c>
      <c r="EI39" s="53">
        <v>0</v>
      </c>
      <c r="EJ39" s="53">
        <v>0</v>
      </c>
      <c r="EK39" s="53">
        <f ca="1">INDIRECT("ZS(-1)",0) * 'Correction factor'!$C$13</f>
        <v>0</v>
      </c>
      <c r="EL39" s="53">
        <f ca="1">INDIRECT("ZS(-1)",0) + INDIRECT("ZS(-3)",0)</f>
        <v>0</v>
      </c>
      <c r="EM39" s="53">
        <f ca="1">INDIRECT("ZS(-1)",0) / INDIRECT("Z6S(-1)",0)</f>
        <v>0</v>
      </c>
      <c r="EN39" s="53">
        <v>1780192579</v>
      </c>
      <c r="EO39" s="53">
        <v>98726348</v>
      </c>
      <c r="EP39" s="53">
        <f ca="1">INDIRECT("ZS(-1)",0) * 'Correction factor'!$C$13</f>
        <v>136919915.69973958</v>
      </c>
      <c r="EQ39" s="53">
        <f ca="1">INDIRECT("ZS(-1)",0) + INDIRECT("ZS(-3)",0)</f>
        <v>1917112494.6997395</v>
      </c>
      <c r="ER39" s="53">
        <f ca="1">INDIRECT("ZS(-1)",0) / INDIRECT("Z6S(-1)",0)</f>
        <v>1.303477234120114</v>
      </c>
      <c r="ES39" s="53">
        <v>3513304449</v>
      </c>
      <c r="ET39" s="53">
        <v>126133771</v>
      </c>
      <c r="EU39" s="53">
        <f ca="1">INDIRECT("ZS(-1)",0) * 'Correction factor'!$C$13</f>
        <v>174930255.62143001</v>
      </c>
      <c r="EV39" s="53">
        <f ca="1">INDIRECT("ZS(-1)",0) + INDIRECT("ZS(-3)",0)</f>
        <v>3688234704.6214299</v>
      </c>
      <c r="EW39" s="53">
        <f ca="1">INDIRECT("ZS(-1)",0) / INDIRECT("Z6S(-1)",0)</f>
        <v>2.5211392106581374</v>
      </c>
      <c r="EX39" s="53">
        <v>1813223876</v>
      </c>
      <c r="EY39" s="53">
        <v>87716511</v>
      </c>
      <c r="EZ39" s="53">
        <f ca="1">INDIRECT("ZS(-1)",0) * 'Correction factor'!$C$13</f>
        <v>121650780.51499766</v>
      </c>
      <c r="FA39" s="53">
        <f ca="1">INDIRECT("ZS(-1)",0) + INDIRECT("ZS(-3)",0)</f>
        <v>1934874656.5149977</v>
      </c>
      <c r="FB39" s="53">
        <f ca="1">INDIRECT("ZS(-1)",0) / INDIRECT("Z6S(-1)",0)</f>
        <v>1.3795070747734735</v>
      </c>
      <c r="FC39" s="53">
        <v>1177026632</v>
      </c>
      <c r="FD39" s="53">
        <v>10603228841</v>
      </c>
      <c r="FE39" s="53">
        <f ca="1">INDIRECT("ZS(-1)",0) * 'Correction factor'!$C$13</f>
        <v>14705225387.803946</v>
      </c>
      <c r="FF39" s="53">
        <f ca="1">INDIRECT("ZS(-1)",0) + INDIRECT("ZS(-3)",0)</f>
        <v>15882252019.803946</v>
      </c>
      <c r="FG39" s="53">
        <f ca="1">INDIRECT("ZS(-1)",0) / INDIRECT("Z6S(-1)",0)</f>
        <v>12.257042428307603</v>
      </c>
      <c r="FH39" s="53">
        <v>2080110838</v>
      </c>
      <c r="FI39" s="53">
        <v>7615337091</v>
      </c>
      <c r="FJ39" s="53">
        <f ca="1">INDIRECT("ZS(-1)",0) * 'Correction factor'!$C$13</f>
        <v>10561428976.637726</v>
      </c>
      <c r="FK39" s="53">
        <f ca="1">INDIRECT("ZS(-1)",0) + INDIRECT("ZS(-3)",0)</f>
        <v>12641539814.637726</v>
      </c>
      <c r="FL39" s="53">
        <f ca="1">INDIRECT("ZS(-1)",0) / INDIRECT("Z6S(-1)",0)</f>
        <v>7.1215991825749194</v>
      </c>
      <c r="FM39" s="53">
        <v>850969869</v>
      </c>
      <c r="FN39" s="53">
        <v>123369569</v>
      </c>
      <c r="FO39" s="53">
        <f ca="1">INDIRECT("ZS(-1)",0) * 'Correction factor'!$C$13</f>
        <v>171096686.24016362</v>
      </c>
      <c r="FP39" s="53">
        <f ca="1">INDIRECT("ZS(-1)",0) + INDIRECT("ZS(-3)",0)</f>
        <v>1022066555.2401636</v>
      </c>
      <c r="FQ39" s="53">
        <f ca="1">INDIRECT("ZS(-1)",0) / INDIRECT("Z6S(-1)",0)</f>
        <v>0.72230636631984879</v>
      </c>
      <c r="FR39" s="53">
        <v>735044875</v>
      </c>
      <c r="FS39" s="53">
        <v>687801158</v>
      </c>
      <c r="FT39" s="53">
        <f ca="1">INDIRECT("ZS(-1)",0) * 'Correction factor'!$C$13</f>
        <v>953885953.2365489</v>
      </c>
      <c r="FU39" s="53">
        <f ca="1">INDIRECT("ZS(-1)",0) + INDIRECT("ZS(-3)",0)</f>
        <v>1688930828.2365489</v>
      </c>
      <c r="FV39" s="53">
        <f ca="1">INDIRECT("ZS(-1)",0) / INDIRECT("Z6S(-1)",0)</f>
        <v>1.1782059982785196</v>
      </c>
      <c r="FW39" s="53">
        <v>2171676721</v>
      </c>
      <c r="FX39" s="53">
        <v>20751864384</v>
      </c>
      <c r="FY39" s="53">
        <f ca="1">INDIRECT("ZS(-1)",0) * 'Correction factor'!$C$13</f>
        <v>28779992166.525883</v>
      </c>
      <c r="FZ39" s="53">
        <f ca="1">INDIRECT("ZS(-1)",0) + INDIRECT("ZS(-3)",0)</f>
        <v>30951668887.525883</v>
      </c>
      <c r="GA39" s="53">
        <f ca="1">INDIRECT("ZS(-1)",0) / INDIRECT("Z6S(-1)",0)</f>
        <v>24.838688717571202</v>
      </c>
      <c r="GB39" s="53">
        <v>2812904095</v>
      </c>
      <c r="GC39" s="53">
        <v>62030764</v>
      </c>
      <c r="GD39" s="53">
        <f ca="1">INDIRECT("ZS(-1)",0) * 'Correction factor'!$C$13</f>
        <v>86028169.275241911</v>
      </c>
      <c r="GE39" s="53">
        <f ca="1">INDIRECT("ZS(-1)",0) + INDIRECT("ZS(-3)",0)</f>
        <v>2898932264.2752419</v>
      </c>
      <c r="GF39" s="53">
        <f ca="1">INDIRECT("ZS(-1)",0) / INDIRECT("Z6S(-1)",0)</f>
        <v>2.0215566932729243</v>
      </c>
      <c r="GG39" s="53">
        <v>2212565884</v>
      </c>
      <c r="GH39" s="53">
        <v>79495734</v>
      </c>
      <c r="GI39" s="53">
        <f ca="1">INDIRECT("ZS(-1)",0) * 'Correction factor'!$C$13</f>
        <v>110249689.35110332</v>
      </c>
      <c r="GJ39" s="53">
        <f ca="1">INDIRECT("ZS(-1)",0) + INDIRECT("ZS(-3)",0)</f>
        <v>2322815573.3511033</v>
      </c>
      <c r="GK39" s="53">
        <f ca="1">INDIRECT("ZS(-1)",0) / INDIRECT("Z6S(-1)",0)</f>
        <v>1.6196893044427738</v>
      </c>
      <c r="GL39" s="53">
        <v>644811050</v>
      </c>
      <c r="GM39" s="53">
        <v>7673418905</v>
      </c>
      <c r="GN39" s="53">
        <f ca="1">INDIRECT("ZS(-1)",0) * 'Correction factor'!$C$13</f>
        <v>10641980493.407778</v>
      </c>
      <c r="GO39" s="53">
        <f ca="1">INDIRECT("ZS(-1)",0) + INDIRECT("ZS(-3)",0)</f>
        <v>11286791543.407778</v>
      </c>
      <c r="GP39" s="53">
        <f ca="1">INDIRECT("ZS(-1)",0) / INDIRECT("Z6S(-1)",0)</f>
        <v>7.7862147044654391</v>
      </c>
      <c r="GQ39" s="53">
        <v>2318504732</v>
      </c>
      <c r="GR39" s="53">
        <v>107111237</v>
      </c>
      <c r="GS39" s="53">
        <f ca="1">INDIRECT("ZS(-1)",0) * 'Correction factor'!$C$13</f>
        <v>148548607.71852744</v>
      </c>
      <c r="GT39" s="53">
        <f ca="1">INDIRECT("ZS(-1)",0) + INDIRECT("ZS(-3)",0)</f>
        <v>2467053339.7185273</v>
      </c>
      <c r="GU39" s="53">
        <f ca="1">INDIRECT("ZS(-1)",0) / INDIRECT("Z6S(-1)",0)</f>
        <v>2.5580482134025502</v>
      </c>
      <c r="GV39" s="53">
        <v>3883007970</v>
      </c>
      <c r="GW39" s="53">
        <v>830640974</v>
      </c>
      <c r="GX39" s="53">
        <f ca="1">INDIRECT("ZS(-1)",0) * 'Correction factor'!$C$13</f>
        <v>1151985203.9582136</v>
      </c>
      <c r="GY39" s="53">
        <f ca="1">INDIRECT("ZS(-1)",0) + INDIRECT("ZS(-3)",0)</f>
        <v>5034993173.9582138</v>
      </c>
      <c r="GZ39" s="53">
        <f ca="1">INDIRECT("ZS(-1)",0) / INDIRECT("Z6S(-1)",0)</f>
        <v>3.5743740004656717</v>
      </c>
      <c r="HA39" s="53">
        <v>904409128</v>
      </c>
      <c r="HB39" s="53">
        <v>10695858042</v>
      </c>
      <c r="HC39" s="53">
        <f ca="1">INDIRECT("ZS(-1)",0) * 'Correction factor'!$C$13</f>
        <v>14833689396.137915</v>
      </c>
      <c r="HD39" s="53">
        <f ca="1">INDIRECT("ZS(-1)",0) + INDIRECT("ZS(-3)",0)</f>
        <v>15738098524.137915</v>
      </c>
      <c r="HE39" s="53">
        <f ca="1">INDIRECT("ZS(-1)",0) / INDIRECT("Z6S(-1)",0)</f>
        <v>11.526213600684958</v>
      </c>
      <c r="HF39" s="53">
        <v>1643508976</v>
      </c>
      <c r="HG39" s="53">
        <v>18874545048</v>
      </c>
      <c r="HH39" s="53">
        <f ca="1">INDIRECT("ZS(-1)",0) * 'Correction factor'!$C$13</f>
        <v>26176407506.161343</v>
      </c>
      <c r="HI39" s="53">
        <f ca="1">INDIRECT("ZS(-1)",0) + INDIRECT("ZS(-3)",0)</f>
        <v>27819916482.161343</v>
      </c>
      <c r="HJ39" s="53">
        <f ca="1">INDIRECT("ZS(-1)",0) / INDIRECT("Z6S(-1)",0)</f>
        <v>20.492983309425615</v>
      </c>
      <c r="HK39" s="53">
        <v>2758420706</v>
      </c>
      <c r="HL39" s="53">
        <v>29557818306</v>
      </c>
      <c r="HM39" s="53">
        <f ca="1">INDIRECT("ZS(-1)",0) * 'Correction factor'!$C$13</f>
        <v>40992643531.448555</v>
      </c>
      <c r="HN39" s="53">
        <f ca="1">INDIRECT("ZS(-1)",0) + INDIRECT("ZS(-3)",0)</f>
        <v>43751064237.448555</v>
      </c>
      <c r="HO39" s="53">
        <f ca="1">INDIRECT("ZS(-1)",0) / INDIRECT("Z6S(-1)",0)</f>
        <v>32.570230045891414</v>
      </c>
      <c r="HP39" s="53">
        <v>4677077766</v>
      </c>
      <c r="HQ39" s="53">
        <v>16772484</v>
      </c>
      <c r="HR39" s="53">
        <f ca="1">INDIRECT("ZS(-1)",0) * 'Correction factor'!$C$13</f>
        <v>23261136.888758723</v>
      </c>
      <c r="HS39" s="53">
        <f ca="1">INDIRECT("ZS(-1)",0) + INDIRECT("ZS(-3)",0)</f>
        <v>4700338902.8887587</v>
      </c>
      <c r="HT39" s="53">
        <f ca="1">INDIRECT("ZS(-1)",0) / INDIRECT("Z6S(-1)",0)</f>
        <v>3.0471942622361343</v>
      </c>
      <c r="HU39" s="53">
        <v>1911914834</v>
      </c>
      <c r="HV39" s="53">
        <v>2646832618</v>
      </c>
      <c r="HW39" s="53">
        <f ca="1">INDIRECT("ZS(-1)",0) * 'Correction factor'!$C$13</f>
        <v>3670794132.1589351</v>
      </c>
      <c r="HX39" s="53">
        <f ca="1">INDIRECT("ZS(-1)",0) + INDIRECT("ZS(-3)",0)</f>
        <v>5582708966.1589355</v>
      </c>
      <c r="HY39" s="53">
        <f ca="1">INDIRECT("ZS(-1)",0) / INDIRECT("Z6S(-1)",0)</f>
        <v>4.3807699114035108</v>
      </c>
      <c r="HZ39" s="53">
        <v>526934957</v>
      </c>
      <c r="IA39" s="53">
        <v>6530255087</v>
      </c>
      <c r="IB39" s="53">
        <f ca="1">INDIRECT("ZS(-1)",0) * 'Correction factor'!$C$13</f>
        <v>9056568931.4248257</v>
      </c>
      <c r="IC39" s="53">
        <f ca="1">INDIRECT("ZS(-1)",0) + INDIRECT("ZS(-3)",0)</f>
        <v>9583503888.4248257</v>
      </c>
      <c r="ID39" s="53">
        <f ca="1">INDIRECT("ZS(-1)",0) / INDIRECT("Z6S(-1)",0)</f>
        <v>7.4313634689166523</v>
      </c>
      <c r="IE39" s="53">
        <v>0</v>
      </c>
      <c r="IF39" s="53">
        <v>0</v>
      </c>
      <c r="IG39" s="53">
        <f ca="1">INDIRECT("ZS(-1)",0) * 'Correction factor'!$C$13</f>
        <v>0</v>
      </c>
      <c r="IH39" s="53">
        <f ca="1">INDIRECT("ZS(-1)",0) + INDIRECT("ZS(-3)",0)</f>
        <v>0</v>
      </c>
      <c r="II39" s="61">
        <f ca="1">INDIRECT("ZS(-1)",0) / INDIRECT("Z6S(-1)",0)</f>
        <v>0</v>
      </c>
    </row>
    <row r="40" spans="1:243" x14ac:dyDescent="0.25">
      <c r="A40" s="57">
        <v>36</v>
      </c>
      <c r="B40" s="56">
        <v>45527</v>
      </c>
      <c r="C40" s="29" t="s">
        <v>39</v>
      </c>
      <c r="D40" s="52">
        <v>6897543685</v>
      </c>
      <c r="E40" s="53">
        <v>37462189</v>
      </c>
      <c r="F40" s="53">
        <f ca="1">INDIRECT("ZS(-1)",0) * 'Correction factor'!$C$13</f>
        <v>51954922.507694818</v>
      </c>
      <c r="G40" s="53">
        <f ca="1">INDIRECT("ZS(-1)",0) + INDIRECT("ZS(-3)",0)</f>
        <v>6949498607.5076952</v>
      </c>
      <c r="H40" s="53">
        <f ca="1">INDIRECT("ZS(-1)",0) / INDIRECT("Z6S(-1)",0)</f>
        <v>5.0262064670222415</v>
      </c>
      <c r="I40" s="53">
        <v>7245850138</v>
      </c>
      <c r="J40" s="53">
        <v>97704314</v>
      </c>
      <c r="K40" s="53">
        <f ca="1">INDIRECT("ZS(-1)",0) * 'Correction factor'!$C$13</f>
        <v>135502494.59628433</v>
      </c>
      <c r="L40" s="53">
        <f ca="1">INDIRECT("ZS(-1)",0) + INDIRECT("ZS(-3)",0)</f>
        <v>7381352632.5962839</v>
      </c>
      <c r="M40" s="53">
        <f ca="1">INDIRECT("ZS(-1)",0) / INDIRECT("Z6S(-1)",0)</f>
        <v>4.8385021053736166</v>
      </c>
      <c r="N40" s="53">
        <v>4215936286</v>
      </c>
      <c r="O40" s="53">
        <v>19803671</v>
      </c>
      <c r="P40" s="53">
        <f ca="1">INDIRECT("ZS(-1)",0) * 'Correction factor'!$C$13</f>
        <v>27464977.878705461</v>
      </c>
      <c r="Q40" s="53">
        <f ca="1">INDIRECT("ZS(-1)",0) + INDIRECT("ZS(-3)",0)</f>
        <v>4243401263.8787055</v>
      </c>
      <c r="R40" s="53">
        <f ca="1">INDIRECT("ZS(-1)",0) / INDIRECT("Z6S(-1)",0)</f>
        <v>3.3035027913894868</v>
      </c>
      <c r="S40" s="53">
        <v>0</v>
      </c>
      <c r="T40" s="53">
        <v>0</v>
      </c>
      <c r="U40" s="53">
        <f ca="1">INDIRECT("ZS(-1)",0) * 'Correction factor'!$C$13</f>
        <v>0</v>
      </c>
      <c r="V40" s="53">
        <f ca="1">INDIRECT("ZS(-1)",0) + INDIRECT("ZS(-3)",0)</f>
        <v>0</v>
      </c>
      <c r="W40" s="53">
        <f ca="1">INDIRECT("ZS(-1)",0) / INDIRECT("Z6S(-1)",0)</f>
        <v>0</v>
      </c>
      <c r="X40" s="53">
        <v>6128255620</v>
      </c>
      <c r="Y40" s="53">
        <v>32065957</v>
      </c>
      <c r="Z40" s="53">
        <f ca="1">INDIRECT("ZS(-1)",0) * 'Correction factor'!$C$13</f>
        <v>44471088.196957044</v>
      </c>
      <c r="AA40" s="53">
        <f ca="1">INDIRECT("ZS(-1)",0) + INDIRECT("ZS(-3)",0)</f>
        <v>6172726708.1969566</v>
      </c>
      <c r="AB40" s="53">
        <f ca="1">INDIRECT("ZS(-1)",0) / INDIRECT("Z6S(-1)",0)</f>
        <v>4.305040708140111</v>
      </c>
      <c r="AC40" s="53">
        <v>3065478112</v>
      </c>
      <c r="AD40" s="53">
        <v>19512475</v>
      </c>
      <c r="AE40" s="53">
        <f ca="1">INDIRECT("ZS(-1)",0) * 'Correction factor'!$C$13</f>
        <v>27061128.930782247</v>
      </c>
      <c r="AF40" s="53">
        <f ca="1">INDIRECT("ZS(-1)",0) + INDIRECT("ZS(-3)",0)</f>
        <v>3092539240.9307823</v>
      </c>
      <c r="AG40" s="53">
        <f ca="1">INDIRECT("ZS(-1)",0) / INDIRECT("Z6S(-1)",0)</f>
        <v>1.9950407305707043</v>
      </c>
      <c r="AH40" s="53">
        <v>0</v>
      </c>
      <c r="AI40" s="53">
        <v>0</v>
      </c>
      <c r="AJ40" s="53">
        <f ca="1">INDIRECT("ZS(-1)",0) * 'Correction factor'!$C$13</f>
        <v>0</v>
      </c>
      <c r="AK40" s="53">
        <f ca="1">INDIRECT("ZS(-1)",0) + INDIRECT("ZS(-3)",0)</f>
        <v>0</v>
      </c>
      <c r="AL40" s="53">
        <f ca="1">INDIRECT("ZS(-1)",0) / INDIRECT("Z6S(-1)",0)</f>
        <v>0</v>
      </c>
      <c r="AM40" s="53">
        <v>0</v>
      </c>
      <c r="AN40" s="53">
        <v>0</v>
      </c>
      <c r="AO40" s="53">
        <f ca="1">INDIRECT("ZS(-1)",0) * 'Correction factor'!$C$13</f>
        <v>0</v>
      </c>
      <c r="AP40" s="53">
        <f ca="1">INDIRECT("ZS(-1)",0) + INDIRECT("ZS(-3)",0)</f>
        <v>0</v>
      </c>
      <c r="AQ40" s="53">
        <f ca="1">INDIRECT("ZS(-1)",0) / INDIRECT("Z6S(-1)",0)</f>
        <v>0</v>
      </c>
      <c r="AR40" s="53">
        <v>0</v>
      </c>
      <c r="AS40" s="53">
        <v>0</v>
      </c>
      <c r="AT40" s="53">
        <f ca="1">INDIRECT("ZS(-1)",0) * 'Correction factor'!$C$13</f>
        <v>0</v>
      </c>
      <c r="AU40" s="53">
        <f ca="1">INDIRECT("ZS(-1)",0) + INDIRECT("ZS(-3)",0)</f>
        <v>0</v>
      </c>
      <c r="AV40" s="53">
        <f ca="1">INDIRECT("ZS(-1)",0) / INDIRECT("Z6S(-1)",0)</f>
        <v>0</v>
      </c>
      <c r="AW40" s="53">
        <v>0</v>
      </c>
      <c r="AX40" s="53">
        <v>0</v>
      </c>
      <c r="AY40" s="53">
        <f ca="1">INDIRECT("ZS(-1)",0) * 'Correction factor'!$C$13</f>
        <v>0</v>
      </c>
      <c r="AZ40" s="53">
        <f ca="1">INDIRECT("ZS(-1)",0) + INDIRECT("ZS(-3)",0)</f>
        <v>0</v>
      </c>
      <c r="BA40" s="53">
        <f ca="1">INDIRECT("ZS(-1)",0) / INDIRECT("Z6S(-1)",0)</f>
        <v>0</v>
      </c>
      <c r="BB40" s="53">
        <v>66159954</v>
      </c>
      <c r="BC40" s="53">
        <v>170657183</v>
      </c>
      <c r="BD40" s="53">
        <f ca="1">INDIRECT("ZS(-1)",0) * 'Correction factor'!$C$13</f>
        <v>236678126.79463267</v>
      </c>
      <c r="BE40" s="53">
        <f ca="1">INDIRECT("ZS(-1)",0) + INDIRECT("ZS(-3)",0)</f>
        <v>302838080.79463267</v>
      </c>
      <c r="BF40" s="53">
        <f ca="1">INDIRECT("ZS(-1)",0) / INDIRECT("Z6S(-1)",0)</f>
        <v>0.20555664460150222</v>
      </c>
      <c r="BG40" s="53">
        <v>80639000</v>
      </c>
      <c r="BH40" s="53">
        <v>24995883</v>
      </c>
      <c r="BI40" s="53">
        <f ca="1">INDIRECT("ZS(-1)",0) * 'Correction factor'!$C$13</f>
        <v>34665864.407347001</v>
      </c>
      <c r="BJ40" s="53">
        <f ca="1">INDIRECT("ZS(-1)",0) + INDIRECT("ZS(-3)",0)</f>
        <v>115304864.40734699</v>
      </c>
      <c r="BK40" s="53">
        <f ca="1">INDIRECT("ZS(-1)",0) / INDIRECT("Z6S(-1)",0)</f>
        <v>7.0231903557205128E-2</v>
      </c>
      <c r="BL40" s="53">
        <v>2481407889</v>
      </c>
      <c r="BM40" s="53">
        <v>27421094857</v>
      </c>
      <c r="BN40" s="53">
        <f ca="1">INDIRECT("ZS(-1)",0) * 'Correction factor'!$C$13</f>
        <v>38029300913.824974</v>
      </c>
      <c r="BO40" s="53">
        <f ca="1">INDIRECT("ZS(-1)",0) + INDIRECT("ZS(-3)",0)</f>
        <v>40510708802.824974</v>
      </c>
      <c r="BP40" s="53">
        <f ca="1">INDIRECT("ZS(-1)",0) / INDIRECT("Z6S(-1)",0)</f>
        <v>194.29054567301142</v>
      </c>
      <c r="BQ40" s="53">
        <v>2039490514</v>
      </c>
      <c r="BR40" s="53">
        <v>23725839956</v>
      </c>
      <c r="BS40" s="53">
        <f ca="1">INDIRECT("ZS(-1)",0) * 'Correction factor'!$C$13</f>
        <v>32904488745.811127</v>
      </c>
      <c r="BT40" s="53">
        <f ca="1">INDIRECT("ZS(-1)",0) + INDIRECT("ZS(-3)",0)</f>
        <v>34943979259.811127</v>
      </c>
      <c r="BU40" s="53">
        <f ca="1">INDIRECT("ZS(-1)",0) / INDIRECT("Z6S(-1)",0)</f>
        <v>205.15119467668524</v>
      </c>
      <c r="BV40" s="53">
        <v>0</v>
      </c>
      <c r="BW40" s="53">
        <v>0</v>
      </c>
      <c r="BX40" s="53">
        <f ca="1">INDIRECT("ZS(-1)",0) * 'Correction factor'!$C$13</f>
        <v>0</v>
      </c>
      <c r="BY40" s="53">
        <f ca="1">INDIRECT("ZS(-1)",0) + INDIRECT("ZS(-3)",0)</f>
        <v>0</v>
      </c>
      <c r="BZ40" s="53">
        <f ca="1">INDIRECT("ZS(-1)",0) / INDIRECT("Z6S(-1)",0)</f>
        <v>0</v>
      </c>
      <c r="CA40" s="53">
        <v>1527615553</v>
      </c>
      <c r="CB40" s="53">
        <v>18151161510</v>
      </c>
      <c r="CC40" s="53">
        <f ca="1">INDIRECT("ZS(-1)",0) * 'Correction factor'!$C$13</f>
        <v>25173173667.900261</v>
      </c>
      <c r="CD40" s="53">
        <f ca="1">INDIRECT("ZS(-1)",0) + INDIRECT("ZS(-3)",0)</f>
        <v>26700789220.900261</v>
      </c>
      <c r="CE40" s="53">
        <f ca="1">INDIRECT("ZS(-1)",0) / INDIRECT("Z6S(-1)",0)</f>
        <v>151.13317895036516</v>
      </c>
      <c r="CF40" s="53">
        <v>0</v>
      </c>
      <c r="CG40" s="53">
        <v>0</v>
      </c>
      <c r="CH40" s="53">
        <f ca="1">INDIRECT("ZS(-1)",0) * 'Correction factor'!$C$13</f>
        <v>0</v>
      </c>
      <c r="CI40" s="53">
        <f ca="1">INDIRECT("ZS(-1)",0) + INDIRECT("ZS(-3)",0)</f>
        <v>0</v>
      </c>
      <c r="CJ40" s="53">
        <f ca="1">INDIRECT("ZS(-1)",0) / INDIRECT("Z6S(-1)",0)</f>
        <v>0</v>
      </c>
      <c r="CK40" s="53">
        <v>0</v>
      </c>
      <c r="CL40" s="53">
        <v>0</v>
      </c>
      <c r="CM40" s="53">
        <f ca="1">INDIRECT("ZS(-1)",0) * 'Correction factor'!$C$13</f>
        <v>0</v>
      </c>
      <c r="CN40" s="53">
        <f ca="1">INDIRECT("ZS(-1)",0) + INDIRECT("ZS(-3)",0)</f>
        <v>0</v>
      </c>
      <c r="CO40" s="53">
        <f ca="1">INDIRECT("ZS(-1)",0) / INDIRECT("Z6S(-1)",0)</f>
        <v>0</v>
      </c>
      <c r="CP40" s="53">
        <v>658307083</v>
      </c>
      <c r="CQ40" s="53">
        <v>30812260</v>
      </c>
      <c r="CR40" s="53">
        <f ca="1">INDIRECT("ZS(-1)",0) * 'Correction factor'!$C$13</f>
        <v>42732382.25846719</v>
      </c>
      <c r="CS40" s="53">
        <f ca="1">INDIRECT("ZS(-1)",0) + INDIRECT("ZS(-3)",0)</f>
        <v>701039465.2584672</v>
      </c>
      <c r="CT40" s="53">
        <f ca="1">INDIRECT("ZS(-1)",0) / INDIRECT("Z6S(-1)",0)</f>
        <v>0.47756899015445636</v>
      </c>
      <c r="CU40" s="53">
        <v>730079469</v>
      </c>
      <c r="CV40" s="53">
        <v>844596745</v>
      </c>
      <c r="CW40" s="53">
        <f ca="1">INDIRECT("ZS(-1)",0) * 'Correction factor'!$C$13</f>
        <v>1171339945.9045568</v>
      </c>
      <c r="CX40" s="53">
        <f ca="1">INDIRECT("ZS(-1)",0) + INDIRECT("ZS(-3)",0)</f>
        <v>1901419414.9045568</v>
      </c>
      <c r="CY40" s="53">
        <f ca="1">INDIRECT("ZS(-1)",0) / INDIRECT("Z6S(-1)",0)</f>
        <v>1.4548082707138943</v>
      </c>
      <c r="CZ40" s="53">
        <v>0</v>
      </c>
      <c r="DA40" s="53">
        <v>0</v>
      </c>
      <c r="DB40" s="53">
        <f ca="1">INDIRECT("ZS(-1)",0) * 'Correction factor'!$C$13</f>
        <v>0</v>
      </c>
      <c r="DC40" s="53">
        <f ca="1">INDIRECT("ZS(-1)",0) + INDIRECT("ZS(-3)",0)</f>
        <v>0</v>
      </c>
      <c r="DD40" s="53">
        <f ca="1">INDIRECT("ZS(-1)",0) / INDIRECT("Z6S(-1)",0)</f>
        <v>0</v>
      </c>
      <c r="DE40" s="53">
        <v>1134907040</v>
      </c>
      <c r="DF40" s="53">
        <v>8382348811</v>
      </c>
      <c r="DG40" s="53">
        <f ca="1">INDIRECT("ZS(-1)",0) * 'Correction factor'!$C$13</f>
        <v>11625169124.739956</v>
      </c>
      <c r="DH40" s="53">
        <f ca="1">INDIRECT("ZS(-1)",0) + INDIRECT("ZS(-3)",0)</f>
        <v>12760076164.739956</v>
      </c>
      <c r="DI40" s="53">
        <f ca="1">INDIRECT("ZS(-1)",0) / INDIRECT("Z6S(-1)",0)</f>
        <v>9.2910911154867968</v>
      </c>
      <c r="DJ40" s="53">
        <v>1605950815</v>
      </c>
      <c r="DK40" s="53">
        <v>17552442226</v>
      </c>
      <c r="DL40" s="53">
        <f ca="1">INDIRECT("ZS(-1)",0) * 'Correction factor'!$C$13</f>
        <v>24342832066.557037</v>
      </c>
      <c r="DM40" s="53">
        <f ca="1">INDIRECT("ZS(-1)",0) + INDIRECT("ZS(-3)",0)</f>
        <v>25948782881.557037</v>
      </c>
      <c r="DN40" s="53">
        <f ca="1">INDIRECT("ZS(-1)",0) / INDIRECT("Z6S(-1)",0)</f>
        <v>21.388031801474767</v>
      </c>
      <c r="DO40" s="53">
        <v>552781246</v>
      </c>
      <c r="DP40" s="53">
        <v>2507049440</v>
      </c>
      <c r="DQ40" s="53">
        <f ca="1">INDIRECT("ZS(-1)",0) * 'Correction factor'!$C$13</f>
        <v>3476934019.4765363</v>
      </c>
      <c r="DR40" s="53">
        <f ca="1">INDIRECT("ZS(-1)",0) + INDIRECT("ZS(-3)",0)</f>
        <v>4029715265.4765363</v>
      </c>
      <c r="DS40" s="53">
        <f ca="1">INDIRECT("ZS(-1)",0) / INDIRECT("Z6S(-1)",0)</f>
        <v>3.0359843122235808</v>
      </c>
      <c r="DT40" s="53">
        <v>2082601568</v>
      </c>
      <c r="DU40" s="53">
        <v>21606954524</v>
      </c>
      <c r="DV40" s="53">
        <f ca="1">INDIRECT("ZS(-1)",0) * 'Correction factor'!$C$13</f>
        <v>29965885013.331867</v>
      </c>
      <c r="DW40" s="53">
        <f ca="1">INDIRECT("ZS(-1)",0) + INDIRECT("ZS(-3)",0)</f>
        <v>32048486581.331867</v>
      </c>
      <c r="DX40" s="53">
        <f ca="1">INDIRECT("ZS(-1)",0) / INDIRECT("Z6S(-1)",0)</f>
        <v>23.599696918418189</v>
      </c>
      <c r="DY40" s="53">
        <v>1689262767</v>
      </c>
      <c r="DZ40" s="53">
        <v>18031219718</v>
      </c>
      <c r="EA40" s="53">
        <f ca="1">INDIRECT("ZS(-1)",0) * 'Correction factor'!$C$13</f>
        <v>25006830838.633289</v>
      </c>
      <c r="EB40" s="53">
        <f ca="1">INDIRECT("ZS(-1)",0) + INDIRECT("ZS(-3)",0)</f>
        <v>26696093605.633289</v>
      </c>
      <c r="EC40" s="53">
        <f ca="1">INDIRECT("ZS(-1)",0) / INDIRECT("Z6S(-1)",0)</f>
        <v>18.879481055725346</v>
      </c>
      <c r="ED40" s="53">
        <v>0</v>
      </c>
      <c r="EE40" s="53">
        <v>0</v>
      </c>
      <c r="EF40" s="53">
        <f ca="1">INDIRECT("ZS(-1)",0) * 'Correction factor'!$C$13</f>
        <v>0</v>
      </c>
      <c r="EG40" s="53">
        <f ca="1">INDIRECT("ZS(-1)",0) + INDIRECT("ZS(-3)",0)</f>
        <v>0</v>
      </c>
      <c r="EH40" s="53">
        <f ca="1">INDIRECT("ZS(-1)",0) / INDIRECT("Z6S(-1)",0)</f>
        <v>0</v>
      </c>
      <c r="EI40" s="53">
        <v>0</v>
      </c>
      <c r="EJ40" s="53">
        <v>0</v>
      </c>
      <c r="EK40" s="53">
        <f ca="1">INDIRECT("ZS(-1)",0) * 'Correction factor'!$C$13</f>
        <v>0</v>
      </c>
      <c r="EL40" s="53">
        <f ca="1">INDIRECT("ZS(-1)",0) + INDIRECT("ZS(-3)",0)</f>
        <v>0</v>
      </c>
      <c r="EM40" s="53">
        <f ca="1">INDIRECT("ZS(-1)",0) / INDIRECT("Z6S(-1)",0)</f>
        <v>0</v>
      </c>
      <c r="EN40" s="53">
        <v>1515591671</v>
      </c>
      <c r="EO40" s="53">
        <v>98451979</v>
      </c>
      <c r="EP40" s="53">
        <f ca="1">INDIRECT("ZS(-1)",0) * 'Correction factor'!$C$13</f>
        <v>136539403.49492651</v>
      </c>
      <c r="EQ40" s="53">
        <f ca="1">INDIRECT("ZS(-1)",0) + INDIRECT("ZS(-3)",0)</f>
        <v>1652131074.4949265</v>
      </c>
      <c r="ER40" s="53">
        <f ca="1">INDIRECT("ZS(-1)",0) / INDIRECT("Z6S(-1)",0)</f>
        <v>1.1233118814573397</v>
      </c>
      <c r="ES40" s="53">
        <v>3147617284</v>
      </c>
      <c r="ET40" s="53">
        <v>128007159</v>
      </c>
      <c r="EU40" s="53">
        <f ca="1">INDIRECT("ZS(-1)",0) * 'Correction factor'!$C$13</f>
        <v>177528388.05749363</v>
      </c>
      <c r="EV40" s="53">
        <f ca="1">INDIRECT("ZS(-1)",0) + INDIRECT("ZS(-3)",0)</f>
        <v>3325145672.0574937</v>
      </c>
      <c r="EW40" s="53">
        <f ca="1">INDIRECT("ZS(-1)",0) / INDIRECT("Z6S(-1)",0)</f>
        <v>2.2729451367262756</v>
      </c>
      <c r="EX40" s="53">
        <v>1482455136</v>
      </c>
      <c r="EY40" s="53">
        <v>87452724</v>
      </c>
      <c r="EZ40" s="53">
        <f ca="1">INDIRECT("ZS(-1)",0) * 'Correction factor'!$C$13</f>
        <v>121284944.09407903</v>
      </c>
      <c r="FA40" s="53">
        <f ca="1">INDIRECT("ZS(-1)",0) + INDIRECT("ZS(-3)",0)</f>
        <v>1603740080.094079</v>
      </c>
      <c r="FB40" s="53">
        <f ca="1">INDIRECT("ZS(-1)",0) / INDIRECT("Z6S(-1)",0)</f>
        <v>1.1434181429469823</v>
      </c>
      <c r="FC40" s="53">
        <v>1070020397</v>
      </c>
      <c r="FD40" s="53">
        <v>10252877652</v>
      </c>
      <c r="FE40" s="53">
        <f ca="1">INDIRECT("ZS(-1)",0) * 'Correction factor'!$C$13</f>
        <v>14219336299.075743</v>
      </c>
      <c r="FF40" s="53">
        <f ca="1">INDIRECT("ZS(-1)",0) + INDIRECT("ZS(-3)",0)</f>
        <v>15289356696.075743</v>
      </c>
      <c r="FG40" s="53">
        <f ca="1">INDIRECT("ZS(-1)",0) / INDIRECT("Z6S(-1)",0)</f>
        <v>11.799478656531397</v>
      </c>
      <c r="FH40" s="53">
        <v>1875937932</v>
      </c>
      <c r="FI40" s="53">
        <v>8319037976</v>
      </c>
      <c r="FJ40" s="53">
        <f ca="1">INDIRECT("ZS(-1)",0) * 'Correction factor'!$C$13</f>
        <v>11537365672.402388</v>
      </c>
      <c r="FK40" s="53">
        <f ca="1">INDIRECT("ZS(-1)",0) + INDIRECT("ZS(-3)",0)</f>
        <v>13413303604.402388</v>
      </c>
      <c r="FL40" s="53">
        <f ca="1">INDIRECT("ZS(-1)",0) / INDIRECT("Z6S(-1)",0)</f>
        <v>7.5563715643353166</v>
      </c>
      <c r="FM40" s="53">
        <v>799037073</v>
      </c>
      <c r="FN40" s="53">
        <v>122409681</v>
      </c>
      <c r="FO40" s="53">
        <f ca="1">INDIRECT("ZS(-1)",0) * 'Correction factor'!$C$13</f>
        <v>169765453.12252423</v>
      </c>
      <c r="FP40" s="53">
        <f ca="1">INDIRECT("ZS(-1)",0) + INDIRECT("ZS(-3)",0)</f>
        <v>968802526.12252426</v>
      </c>
      <c r="FQ40" s="53">
        <f ca="1">INDIRECT("ZS(-1)",0) / INDIRECT("Z6S(-1)",0)</f>
        <v>0.6846640551315365</v>
      </c>
      <c r="FR40" s="53">
        <v>647003978</v>
      </c>
      <c r="FS40" s="53">
        <v>796381797</v>
      </c>
      <c r="FT40" s="53">
        <f ca="1">INDIRECT("ZS(-1)",0) * 'Correction factor'!$C$13</f>
        <v>1104472420.1694071</v>
      </c>
      <c r="FU40" s="53">
        <f ca="1">INDIRECT("ZS(-1)",0) + INDIRECT("ZS(-3)",0)</f>
        <v>1751476398.1694071</v>
      </c>
      <c r="FV40" s="53">
        <f ca="1">INDIRECT("ZS(-1)",0) / INDIRECT("Z6S(-1)",0)</f>
        <v>1.2218380786625251</v>
      </c>
      <c r="FW40" s="53">
        <v>2135967103</v>
      </c>
      <c r="FX40" s="53">
        <v>20839602971</v>
      </c>
      <c r="FY40" s="53">
        <f ca="1">INDIRECT("ZS(-1)",0) * 'Correction factor'!$C$13</f>
        <v>28901673563.427692</v>
      </c>
      <c r="FZ40" s="53">
        <f ca="1">INDIRECT("ZS(-1)",0) + INDIRECT("ZS(-3)",0)</f>
        <v>31037640666.427692</v>
      </c>
      <c r="GA40" s="53">
        <f ca="1">INDIRECT("ZS(-1)",0) / INDIRECT("Z6S(-1)",0)</f>
        <v>24.907680999131131</v>
      </c>
      <c r="GB40" s="53">
        <v>2737862845</v>
      </c>
      <c r="GC40" s="53">
        <v>60693703</v>
      </c>
      <c r="GD40" s="53">
        <f ca="1">INDIRECT("ZS(-1)",0) * 'Correction factor'!$C$13</f>
        <v>84173848.89254722</v>
      </c>
      <c r="GE40" s="53">
        <f ca="1">INDIRECT("ZS(-1)",0) + INDIRECT("ZS(-3)",0)</f>
        <v>2822036693.8925471</v>
      </c>
      <c r="GF40" s="53">
        <f ca="1">INDIRECT("ZS(-1)",0) / INDIRECT("Z6S(-1)",0)</f>
        <v>1.967933931228486</v>
      </c>
      <c r="GG40" s="53">
        <v>2128026084</v>
      </c>
      <c r="GH40" s="53">
        <v>79475722</v>
      </c>
      <c r="GI40" s="53">
        <f ca="1">INDIRECT("ZS(-1)",0) * 'Correction factor'!$C$13</f>
        <v>110221935.44945</v>
      </c>
      <c r="GJ40" s="53">
        <f ca="1">INDIRECT("ZS(-1)",0) + INDIRECT("ZS(-3)",0)</f>
        <v>2238248019.44945</v>
      </c>
      <c r="GK40" s="53">
        <f ca="1">INDIRECT("ZS(-1)",0) / INDIRECT("Z6S(-1)",0)</f>
        <v>1.5607207129933092</v>
      </c>
      <c r="GL40" s="53">
        <v>603401484</v>
      </c>
      <c r="GM40" s="53">
        <v>7308512776</v>
      </c>
      <c r="GN40" s="53">
        <f ca="1">INDIRECT("ZS(-1)",0) * 'Correction factor'!$C$13</f>
        <v>10135905697.437422</v>
      </c>
      <c r="GO40" s="53">
        <f ca="1">INDIRECT("ZS(-1)",0) + INDIRECT("ZS(-3)",0)</f>
        <v>10739307181.437422</v>
      </c>
      <c r="GP40" s="53">
        <f ca="1">INDIRECT("ZS(-1)",0) / INDIRECT("Z6S(-1)",0)</f>
        <v>7.4085315716420777</v>
      </c>
      <c r="GQ40" s="53">
        <v>2019741633</v>
      </c>
      <c r="GR40" s="53">
        <v>106483568</v>
      </c>
      <c r="GS40" s="53">
        <f ca="1">INDIRECT("ZS(-1)",0) * 'Correction factor'!$C$13</f>
        <v>147678116.82821983</v>
      </c>
      <c r="GT40" s="53">
        <f ca="1">INDIRECT("ZS(-1)",0) + INDIRECT("ZS(-3)",0)</f>
        <v>2167419749.8282199</v>
      </c>
      <c r="GU40" s="53">
        <f ca="1">INDIRECT("ZS(-1)",0) / INDIRECT("Z6S(-1)",0)</f>
        <v>2.2473629286726533</v>
      </c>
      <c r="GV40" s="53">
        <v>3624807058</v>
      </c>
      <c r="GW40" s="53">
        <v>842470124</v>
      </c>
      <c r="GX40" s="53">
        <f ca="1">INDIRECT("ZS(-1)",0) * 'Correction factor'!$C$13</f>
        <v>1168390613.999306</v>
      </c>
      <c r="GY40" s="53">
        <f ca="1">INDIRECT("ZS(-1)",0) + INDIRECT("ZS(-3)",0)</f>
        <v>4793197671.9993057</v>
      </c>
      <c r="GZ40" s="53">
        <f ca="1">INDIRECT("ZS(-1)",0) / INDIRECT("Z6S(-1)",0)</f>
        <v>3.4027218202598282</v>
      </c>
      <c r="HA40" s="53">
        <v>801800986</v>
      </c>
      <c r="HB40" s="53">
        <v>9611804898</v>
      </c>
      <c r="HC40" s="53">
        <f ca="1">INDIRECT("ZS(-1)",0) * 'Correction factor'!$C$13</f>
        <v>13330256238.755068</v>
      </c>
      <c r="HD40" s="53">
        <f ca="1">INDIRECT("ZS(-1)",0) + INDIRECT("ZS(-3)",0)</f>
        <v>14132057224.755068</v>
      </c>
      <c r="HE40" s="53">
        <f ca="1">INDIRECT("ZS(-1)",0) / INDIRECT("Z6S(-1)",0)</f>
        <v>10.349986686117315</v>
      </c>
      <c r="HF40" s="53">
        <v>1548782472</v>
      </c>
      <c r="HG40" s="53">
        <v>17996868517</v>
      </c>
      <c r="HH40" s="53">
        <f ca="1">INDIRECT("ZS(-1)",0) * 'Correction factor'!$C$13</f>
        <v>24959190430.167004</v>
      </c>
      <c r="HI40" s="53">
        <f ca="1">INDIRECT("ZS(-1)",0) + INDIRECT("ZS(-3)",0)</f>
        <v>26507972902.167004</v>
      </c>
      <c r="HJ40" s="53">
        <f ca="1">INDIRECT("ZS(-1)",0) / INDIRECT("Z6S(-1)",0)</f>
        <v>19.526566393509579</v>
      </c>
      <c r="HK40" s="53">
        <v>2514733262</v>
      </c>
      <c r="HL40" s="53">
        <v>27600278943</v>
      </c>
      <c r="HM40" s="53">
        <f ca="1">INDIRECT("ZS(-1)",0) * 'Correction factor'!$C$13</f>
        <v>38277804686.59549</v>
      </c>
      <c r="HN40" s="53">
        <f ca="1">INDIRECT("ZS(-1)",0) + INDIRECT("ZS(-3)",0)</f>
        <v>40792537948.59549</v>
      </c>
      <c r="HO40" s="53">
        <f ca="1">INDIRECT("ZS(-1)",0) / INDIRECT("Z6S(-1)",0)</f>
        <v>30.367772037057815</v>
      </c>
      <c r="HP40" s="53">
        <v>4479784989</v>
      </c>
      <c r="HQ40" s="53">
        <v>16903459</v>
      </c>
      <c r="HR40" s="53">
        <f ca="1">INDIRECT("ZS(-1)",0) * 'Correction factor'!$C$13</f>
        <v>23442781.265584789</v>
      </c>
      <c r="HS40" s="53">
        <f ca="1">INDIRECT("ZS(-1)",0) + INDIRECT("ZS(-3)",0)</f>
        <v>4503227770.2655849</v>
      </c>
      <c r="HT40" s="53">
        <f ca="1">INDIRECT("ZS(-1)",0) / INDIRECT("Z6S(-1)",0)</f>
        <v>2.9194086015079135</v>
      </c>
      <c r="HU40" s="53">
        <v>1630154871</v>
      </c>
      <c r="HV40" s="53">
        <v>3052353986</v>
      </c>
      <c r="HW40" s="53">
        <f ca="1">INDIRECT("ZS(-1)",0) * 'Correction factor'!$C$13</f>
        <v>4233196698.9084215</v>
      </c>
      <c r="HX40" s="53">
        <f ca="1">INDIRECT("ZS(-1)",0) + INDIRECT("ZS(-3)",0)</f>
        <v>5863351569.9084215</v>
      </c>
      <c r="HY40" s="53">
        <f ca="1">INDIRECT("ZS(-1)",0) / INDIRECT("Z6S(-1)",0)</f>
        <v>4.6009910767582172</v>
      </c>
      <c r="HZ40" s="53">
        <v>483643491</v>
      </c>
      <c r="IA40" s="53">
        <v>6048210758</v>
      </c>
      <c r="IB40" s="53">
        <f ca="1">INDIRECT("ZS(-1)",0) * 'Correction factor'!$C$13</f>
        <v>8388039504.1009512</v>
      </c>
      <c r="IC40" s="53">
        <f ca="1">INDIRECT("ZS(-1)",0) + INDIRECT("ZS(-3)",0)</f>
        <v>8871682995.1009521</v>
      </c>
      <c r="ID40" s="53">
        <f ca="1">INDIRECT("ZS(-1)",0) / INDIRECT("Z6S(-1)",0)</f>
        <v>6.8793941845458502</v>
      </c>
      <c r="IE40" s="53">
        <v>0</v>
      </c>
      <c r="IF40" s="53">
        <v>0</v>
      </c>
      <c r="IG40" s="53">
        <f ca="1">INDIRECT("ZS(-1)",0) * 'Correction factor'!$C$13</f>
        <v>0</v>
      </c>
      <c r="IH40" s="53">
        <f ca="1">INDIRECT("ZS(-1)",0) + INDIRECT("ZS(-3)",0)</f>
        <v>0</v>
      </c>
      <c r="II40" s="61">
        <f ca="1">INDIRECT("ZS(-1)",0) / INDIRECT("Z6S(-1)",0)</f>
        <v>0</v>
      </c>
    </row>
    <row r="41" spans="1:243" x14ac:dyDescent="0.25">
      <c r="A41" s="5">
        <v>37</v>
      </c>
      <c r="B41" s="30">
        <v>45528</v>
      </c>
      <c r="C41" s="29" t="s">
        <v>40</v>
      </c>
      <c r="D41" s="37"/>
      <c r="E41" s="49"/>
      <c r="F41" s="9"/>
      <c r="G41" s="16"/>
      <c r="H41" s="20"/>
      <c r="I41" s="14"/>
      <c r="J41" s="49"/>
      <c r="K41" s="9"/>
      <c r="L41" s="16"/>
      <c r="M41" s="20"/>
      <c r="N41" s="14"/>
      <c r="O41" s="49"/>
      <c r="P41" s="9"/>
      <c r="Q41" s="16"/>
      <c r="R41" s="20"/>
      <c r="S41" s="14"/>
      <c r="T41" s="49"/>
      <c r="U41" s="9"/>
      <c r="V41" s="16"/>
      <c r="W41" s="20"/>
      <c r="X41" s="14"/>
      <c r="Y41" s="49"/>
      <c r="Z41" s="9"/>
      <c r="AA41" s="16"/>
      <c r="AB41" s="20"/>
      <c r="AC41" s="33"/>
      <c r="AD41" s="33"/>
      <c r="AE41" s="33"/>
      <c r="AF41" s="33"/>
      <c r="AG41" s="33"/>
      <c r="AH41" s="37"/>
      <c r="AI41" s="49"/>
      <c r="AJ41" s="9"/>
      <c r="AK41" s="16"/>
      <c r="AL41" s="20"/>
      <c r="AM41" s="14"/>
      <c r="AN41" s="49"/>
      <c r="AO41" s="9"/>
      <c r="AP41" s="16"/>
      <c r="AQ41" s="20"/>
      <c r="AR41" s="14"/>
      <c r="AS41" s="49"/>
      <c r="AT41" s="9"/>
      <c r="AU41" s="16"/>
      <c r="AV41" s="20"/>
      <c r="AW41" s="14"/>
      <c r="AX41" s="49"/>
      <c r="AY41" s="9"/>
      <c r="AZ41" s="16"/>
      <c r="BA41" s="20"/>
      <c r="BB41" s="14"/>
      <c r="BC41" s="49"/>
      <c r="BD41" s="9"/>
      <c r="BE41" s="16"/>
      <c r="BF41" s="20"/>
      <c r="BG41" s="33"/>
      <c r="BH41" s="33"/>
      <c r="BI41" s="33"/>
      <c r="BJ41" s="33"/>
      <c r="BK41" s="38"/>
      <c r="BL41" s="37"/>
      <c r="BM41" s="49"/>
      <c r="BN41" s="9"/>
      <c r="BO41" s="16"/>
      <c r="BP41" s="20"/>
      <c r="BQ41" s="53"/>
      <c r="BR41" s="53"/>
      <c r="BS41" s="53"/>
      <c r="BT41" s="53"/>
      <c r="BU41" s="53"/>
      <c r="BV41" s="14"/>
      <c r="BW41" s="49"/>
      <c r="BX41" s="9"/>
      <c r="BY41" s="16"/>
      <c r="BZ41" s="38"/>
      <c r="CA41" s="37"/>
      <c r="CB41" s="49"/>
      <c r="CC41" s="9"/>
      <c r="CD41" s="16"/>
      <c r="CE41" s="20"/>
      <c r="CF41" s="26"/>
      <c r="CG41" s="49"/>
      <c r="CH41" s="9"/>
      <c r="CI41" s="16"/>
      <c r="CJ41" s="20"/>
      <c r="CK41" s="14"/>
      <c r="CL41" s="49"/>
      <c r="CM41" s="9"/>
      <c r="CN41" s="16"/>
      <c r="CO41" s="38"/>
      <c r="CP41" s="37"/>
      <c r="CQ41" s="49"/>
      <c r="CR41" s="9"/>
      <c r="CS41" s="16"/>
      <c r="CT41" s="20"/>
      <c r="CU41" s="14"/>
      <c r="CV41" s="49"/>
      <c r="CW41" s="9"/>
      <c r="CX41" s="16"/>
      <c r="CY41" s="20"/>
      <c r="CZ41" s="14"/>
      <c r="DA41" s="49"/>
      <c r="DB41" s="9"/>
      <c r="DC41" s="16"/>
      <c r="DD41" s="20"/>
      <c r="DE41" s="15"/>
      <c r="DF41" s="49"/>
      <c r="DG41" s="9"/>
      <c r="DH41" s="16"/>
      <c r="DI41" s="20"/>
      <c r="DJ41" s="14"/>
      <c r="DK41" s="49"/>
      <c r="DL41" s="9"/>
      <c r="DM41" s="16"/>
      <c r="DN41" s="20"/>
      <c r="DO41" s="14"/>
      <c r="DP41" s="49"/>
      <c r="DQ41" s="9"/>
      <c r="DR41" s="16"/>
      <c r="DS41" s="20"/>
      <c r="DT41" s="14"/>
      <c r="DU41" s="49"/>
      <c r="DV41" s="9"/>
      <c r="DW41" s="16"/>
      <c r="DX41" s="20"/>
      <c r="DY41" s="14"/>
      <c r="DZ41" s="49"/>
      <c r="EA41" s="9"/>
      <c r="EB41" s="16"/>
      <c r="EC41" s="20"/>
      <c r="ED41" s="14"/>
      <c r="EE41" s="49"/>
      <c r="EF41" s="9"/>
      <c r="EG41" s="16"/>
      <c r="EH41" s="20"/>
      <c r="EI41" s="14"/>
      <c r="EJ41" s="49"/>
      <c r="EK41" s="9"/>
      <c r="EL41" s="16"/>
      <c r="EM41" s="20"/>
      <c r="EN41" s="37"/>
      <c r="EO41" s="49"/>
      <c r="EP41" s="9"/>
      <c r="EQ41" s="16"/>
      <c r="ER41" s="33"/>
      <c r="ES41" s="14"/>
      <c r="ET41" s="49"/>
      <c r="EU41" s="9"/>
      <c r="EV41" s="16"/>
      <c r="EW41" s="33"/>
      <c r="EX41" s="15"/>
      <c r="EY41" s="49"/>
      <c r="EZ41" s="9"/>
      <c r="FA41" s="16"/>
      <c r="FB41" s="33"/>
      <c r="FC41" s="14"/>
      <c r="FD41" s="49"/>
      <c r="FE41" s="9"/>
      <c r="FF41" s="16"/>
      <c r="FG41" s="33"/>
      <c r="FH41" s="14"/>
      <c r="FI41" s="49"/>
      <c r="FJ41" s="9"/>
      <c r="FK41" s="16"/>
      <c r="FL41" s="33"/>
      <c r="FM41" s="14"/>
      <c r="FN41" s="49"/>
      <c r="FO41" s="9"/>
      <c r="FP41" s="16"/>
      <c r="FQ41" s="33"/>
      <c r="FR41" s="15"/>
      <c r="FS41" s="49"/>
      <c r="FT41" s="9"/>
      <c r="FU41" s="16"/>
      <c r="FV41" s="33"/>
      <c r="FW41" s="14"/>
      <c r="FX41" s="49"/>
      <c r="FY41" s="9"/>
      <c r="FZ41" s="16"/>
      <c r="GA41" s="33"/>
      <c r="GB41" s="14"/>
      <c r="GC41" s="49"/>
      <c r="GD41" s="9"/>
      <c r="GE41" s="16"/>
      <c r="GF41" s="33"/>
      <c r="GG41" s="14"/>
      <c r="GH41" s="49"/>
      <c r="GI41" s="9"/>
      <c r="GJ41" s="16"/>
      <c r="GK41" s="33"/>
      <c r="GL41" s="37"/>
      <c r="GM41" s="49"/>
      <c r="GN41" s="9"/>
      <c r="GO41" s="16"/>
      <c r="GP41" s="33"/>
      <c r="GQ41" s="14"/>
      <c r="GR41" s="49"/>
      <c r="GS41" s="9"/>
      <c r="GT41" s="16"/>
      <c r="GU41" s="33"/>
      <c r="GV41" s="14"/>
      <c r="GW41" s="49"/>
      <c r="GX41" s="9"/>
      <c r="GY41" s="16"/>
      <c r="GZ41" s="33"/>
      <c r="HA41" s="14"/>
      <c r="HB41" s="49"/>
      <c r="HC41" s="9"/>
      <c r="HD41" s="16"/>
      <c r="HE41" s="33"/>
      <c r="HF41" s="14"/>
      <c r="HG41" s="49"/>
      <c r="HH41" s="9"/>
      <c r="HI41" s="16"/>
      <c r="HJ41" s="33"/>
      <c r="HK41" s="15"/>
      <c r="HL41" s="49"/>
      <c r="HM41" s="9"/>
      <c r="HN41" s="16"/>
      <c r="HO41" s="33"/>
      <c r="HP41" s="14"/>
      <c r="HQ41" s="49"/>
      <c r="HR41" s="9"/>
      <c r="HS41" s="16"/>
      <c r="HT41" s="33"/>
      <c r="HU41" s="15"/>
      <c r="HV41" s="49"/>
      <c r="HW41" s="9"/>
      <c r="HX41" s="16"/>
      <c r="HY41" s="33"/>
      <c r="HZ41" s="14"/>
      <c r="IA41" s="49"/>
      <c r="IB41" s="9"/>
      <c r="IC41" s="16"/>
      <c r="ID41" s="33"/>
      <c r="IE41" s="15"/>
      <c r="IF41" s="49"/>
      <c r="IG41" s="9"/>
      <c r="IH41" s="16"/>
      <c r="II41" s="33"/>
    </row>
    <row r="42" spans="1:243" x14ac:dyDescent="0.25">
      <c r="A42" s="57">
        <v>38</v>
      </c>
      <c r="B42" s="56">
        <v>45529</v>
      </c>
      <c r="C42" s="29" t="s">
        <v>34</v>
      </c>
      <c r="D42" s="36"/>
      <c r="E42" s="49"/>
      <c r="F42" s="9"/>
      <c r="G42" s="17"/>
      <c r="H42" s="19"/>
      <c r="I42" s="12"/>
      <c r="J42" s="49"/>
      <c r="K42" s="9"/>
      <c r="L42" s="17"/>
      <c r="M42" s="19"/>
      <c r="N42" s="22"/>
      <c r="O42" s="49"/>
      <c r="P42" s="9"/>
      <c r="Q42" s="17"/>
      <c r="R42" s="21"/>
      <c r="S42" s="12"/>
      <c r="T42" s="49"/>
      <c r="U42" s="9"/>
      <c r="V42" s="17"/>
      <c r="W42" s="19"/>
      <c r="X42" s="12"/>
      <c r="Y42" s="49"/>
      <c r="Z42" s="9"/>
      <c r="AA42" s="17"/>
      <c r="AB42" s="19"/>
      <c r="AC42" s="11"/>
      <c r="AD42" s="11"/>
      <c r="AE42" s="11"/>
      <c r="AF42" s="11"/>
      <c r="AG42" s="11"/>
      <c r="AH42" s="36"/>
      <c r="AI42" s="49"/>
      <c r="AJ42" s="9"/>
      <c r="AK42" s="17"/>
      <c r="AL42" s="19"/>
      <c r="AM42" s="12"/>
      <c r="AN42" s="49"/>
      <c r="AO42" s="9"/>
      <c r="AP42" s="17"/>
      <c r="AQ42" s="19"/>
      <c r="AR42" s="22"/>
      <c r="AS42" s="49"/>
      <c r="AT42" s="9"/>
      <c r="AU42" s="17"/>
      <c r="AV42" s="21"/>
      <c r="AW42" s="12"/>
      <c r="AX42" s="49"/>
      <c r="AY42" s="9"/>
      <c r="AZ42" s="17"/>
      <c r="BA42" s="19"/>
      <c r="BB42" s="12"/>
      <c r="BC42" s="49"/>
      <c r="BD42" s="9"/>
      <c r="BE42" s="17"/>
      <c r="BF42" s="19"/>
      <c r="BG42" s="11"/>
      <c r="BH42" s="11"/>
      <c r="BI42" s="11"/>
      <c r="BJ42" s="11"/>
      <c r="BK42" s="35"/>
      <c r="BL42" s="36"/>
      <c r="BM42" s="49"/>
      <c r="BN42" s="9"/>
      <c r="BO42" s="17"/>
      <c r="BP42" s="19"/>
      <c r="BQ42" s="53"/>
      <c r="BR42" s="53"/>
      <c r="BS42" s="53"/>
      <c r="BT42" s="53"/>
      <c r="BU42" s="53"/>
      <c r="BV42" s="12"/>
      <c r="BW42" s="49"/>
      <c r="BX42" s="9"/>
      <c r="BY42" s="17"/>
      <c r="BZ42" s="35"/>
      <c r="CA42" s="36"/>
      <c r="CB42" s="49"/>
      <c r="CC42" s="9"/>
      <c r="CD42" s="17"/>
      <c r="CE42" s="19"/>
      <c r="CF42" s="25"/>
      <c r="CG42" s="49"/>
      <c r="CH42" s="9"/>
      <c r="CI42" s="17"/>
      <c r="CJ42" s="19"/>
      <c r="CK42" s="12"/>
      <c r="CL42" s="49"/>
      <c r="CM42" s="9"/>
      <c r="CN42" s="17"/>
      <c r="CO42" s="35"/>
      <c r="CP42" s="36"/>
      <c r="CQ42" s="49"/>
      <c r="CR42" s="9"/>
      <c r="CS42" s="17"/>
      <c r="CT42" s="19"/>
      <c r="CU42" s="12"/>
      <c r="CV42" s="49"/>
      <c r="CW42" s="9"/>
      <c r="CX42" s="17"/>
      <c r="CY42" s="19"/>
      <c r="CZ42" s="12"/>
      <c r="DA42" s="49"/>
      <c r="DB42" s="9"/>
      <c r="DC42" s="17"/>
      <c r="DD42" s="19"/>
      <c r="DE42" s="13"/>
      <c r="DF42" s="49"/>
      <c r="DG42" s="9"/>
      <c r="DH42" s="17"/>
      <c r="DI42" s="19"/>
      <c r="DJ42" s="12"/>
      <c r="DK42" s="49"/>
      <c r="DL42" s="9"/>
      <c r="DM42" s="17"/>
      <c r="DN42" s="19"/>
      <c r="DO42" s="12"/>
      <c r="DP42" s="49"/>
      <c r="DQ42" s="9"/>
      <c r="DR42" s="17"/>
      <c r="DS42" s="19"/>
      <c r="DT42" s="12"/>
      <c r="DU42" s="49"/>
      <c r="DV42" s="9"/>
      <c r="DW42" s="17"/>
      <c r="DX42" s="19"/>
      <c r="DY42" s="12"/>
      <c r="DZ42" s="49"/>
      <c r="EA42" s="9"/>
      <c r="EB42" s="17"/>
      <c r="EC42" s="19"/>
      <c r="ED42" s="12"/>
      <c r="EE42" s="49"/>
      <c r="EF42" s="9"/>
      <c r="EG42" s="17"/>
      <c r="EH42" s="19"/>
      <c r="EI42" s="12"/>
      <c r="EJ42" s="49"/>
      <c r="EK42" s="9"/>
      <c r="EL42" s="17"/>
      <c r="EM42" s="19"/>
      <c r="EN42" s="36"/>
      <c r="EO42" s="49"/>
      <c r="EP42" s="9"/>
      <c r="EQ42" s="17"/>
      <c r="ER42" s="11"/>
      <c r="ES42" s="12"/>
      <c r="ET42" s="49"/>
      <c r="EU42" s="9"/>
      <c r="EV42" s="17"/>
      <c r="EW42" s="11"/>
      <c r="EX42" s="13"/>
      <c r="EY42" s="49"/>
      <c r="EZ42" s="9"/>
      <c r="FA42" s="17"/>
      <c r="FB42" s="11"/>
      <c r="FC42" s="12"/>
      <c r="FD42" s="49"/>
      <c r="FE42" s="9"/>
      <c r="FF42" s="17"/>
      <c r="FG42" s="11"/>
      <c r="FH42" s="12"/>
      <c r="FI42" s="49"/>
      <c r="FJ42" s="9"/>
      <c r="FK42" s="17"/>
      <c r="FL42" s="11"/>
      <c r="FM42" s="12"/>
      <c r="FN42" s="49"/>
      <c r="FO42" s="9"/>
      <c r="FP42" s="17"/>
      <c r="FQ42" s="11"/>
      <c r="FR42" s="13"/>
      <c r="FS42" s="49"/>
      <c r="FT42" s="9"/>
      <c r="FU42" s="17"/>
      <c r="FV42" s="11"/>
      <c r="FW42" s="12"/>
      <c r="FX42" s="49"/>
      <c r="FY42" s="9"/>
      <c r="FZ42" s="17"/>
      <c r="GA42" s="11"/>
      <c r="GB42" s="12"/>
      <c r="GC42" s="49"/>
      <c r="GD42" s="9"/>
      <c r="GE42" s="17"/>
      <c r="GF42" s="11"/>
      <c r="GG42" s="12"/>
      <c r="GH42" s="49"/>
      <c r="GI42" s="9"/>
      <c r="GJ42" s="17"/>
      <c r="GK42" s="11"/>
      <c r="GL42" s="36"/>
      <c r="GM42" s="49"/>
      <c r="GN42" s="9"/>
      <c r="GO42" s="17"/>
      <c r="GP42" s="11"/>
      <c r="GQ42" s="12"/>
      <c r="GR42" s="49"/>
      <c r="GS42" s="9"/>
      <c r="GT42" s="17"/>
      <c r="GU42" s="11"/>
      <c r="GV42" s="12"/>
      <c r="GW42" s="49"/>
      <c r="GX42" s="9"/>
      <c r="GY42" s="17"/>
      <c r="GZ42" s="11"/>
      <c r="HA42" s="12"/>
      <c r="HB42" s="49"/>
      <c r="HC42" s="9"/>
      <c r="HD42" s="17"/>
      <c r="HE42" s="11"/>
      <c r="HF42" s="12"/>
      <c r="HG42" s="49"/>
      <c r="HH42" s="9"/>
      <c r="HI42" s="17"/>
      <c r="HJ42" s="11"/>
      <c r="HK42" s="13"/>
      <c r="HL42" s="49"/>
      <c r="HM42" s="9"/>
      <c r="HN42" s="17"/>
      <c r="HO42" s="11"/>
      <c r="HP42" s="12"/>
      <c r="HQ42" s="49"/>
      <c r="HR42" s="9"/>
      <c r="HS42" s="17"/>
      <c r="HT42" s="11"/>
      <c r="HU42" s="13"/>
      <c r="HV42" s="49"/>
      <c r="HW42" s="9"/>
      <c r="HX42" s="17"/>
      <c r="HY42" s="11"/>
      <c r="HZ42" s="12"/>
      <c r="IA42" s="49"/>
      <c r="IB42" s="9"/>
      <c r="IC42" s="17"/>
      <c r="ID42" s="11"/>
      <c r="IE42" s="13"/>
      <c r="IF42" s="49"/>
      <c r="IG42" s="9"/>
      <c r="IH42" s="17"/>
      <c r="II42" s="11"/>
    </row>
    <row r="43" spans="1:243" x14ac:dyDescent="0.25">
      <c r="A43" s="5">
        <v>39</v>
      </c>
      <c r="B43" s="30">
        <v>45530</v>
      </c>
      <c r="C43" s="29" t="s">
        <v>35</v>
      </c>
      <c r="D43" s="52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8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9"/>
      <c r="BL43" s="58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9"/>
      <c r="CA43" s="58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9"/>
      <c r="CP43" s="58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8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8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</row>
    <row r="44" spans="1:243" x14ac:dyDescent="0.25">
      <c r="A44" s="57">
        <v>40</v>
      </c>
      <c r="B44" s="56">
        <v>45531</v>
      </c>
      <c r="C44" s="29" t="s">
        <v>36</v>
      </c>
      <c r="D44" s="52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8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9"/>
      <c r="BL44" s="58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9"/>
      <c r="CA44" s="58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9"/>
      <c r="CP44" s="58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8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8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</row>
    <row r="45" spans="1:243" x14ac:dyDescent="0.25">
      <c r="A45" s="5">
        <v>41</v>
      </c>
      <c r="B45" s="30">
        <v>45532</v>
      </c>
      <c r="C45" s="29" t="s">
        <v>37</v>
      </c>
      <c r="D45" s="52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8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9"/>
      <c r="BL45" s="58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9"/>
      <c r="CA45" s="58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9"/>
      <c r="CP45" s="58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8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8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</row>
    <row r="46" spans="1:243" x14ac:dyDescent="0.25">
      <c r="A46" s="57">
        <v>42</v>
      </c>
      <c r="B46" s="56">
        <v>45533</v>
      </c>
      <c r="C46" s="29" t="s">
        <v>38</v>
      </c>
      <c r="D46" s="52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8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9"/>
      <c r="BL46" s="58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9"/>
      <c r="CA46" s="58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9"/>
      <c r="CP46" s="58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8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8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</row>
    <row r="47" spans="1:243" x14ac:dyDescent="0.25">
      <c r="A47" s="5">
        <v>43</v>
      </c>
      <c r="B47" s="30">
        <v>45534</v>
      </c>
      <c r="C47" s="29" t="s">
        <v>39</v>
      </c>
      <c r="D47" s="52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8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9"/>
      <c r="BL47" s="58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9"/>
      <c r="CA47" s="58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9"/>
      <c r="CP47" s="58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8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8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</row>
    <row r="48" spans="1:243" x14ac:dyDescent="0.25">
      <c r="A48" s="57">
        <v>44</v>
      </c>
      <c r="B48" s="56">
        <v>45535</v>
      </c>
      <c r="C48" s="29" t="s">
        <v>40</v>
      </c>
      <c r="D48" s="52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8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9"/>
      <c r="BL48" s="58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9"/>
      <c r="CA48" s="58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9"/>
      <c r="CP48" s="58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8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8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</row>
    <row r="49" spans="1:243" x14ac:dyDescent="0.25">
      <c r="A49" s="5">
        <v>45</v>
      </c>
      <c r="B49" s="30">
        <v>45536</v>
      </c>
      <c r="C49" s="29" t="s">
        <v>34</v>
      </c>
      <c r="D49" s="52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8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9"/>
      <c r="BL49" s="58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9"/>
      <c r="CA49" s="58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9"/>
      <c r="CP49" s="58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8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8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</row>
    <row r="50" spans="1:243" x14ac:dyDescent="0.25">
      <c r="A50" s="57">
        <v>46</v>
      </c>
      <c r="B50" s="56">
        <v>45537</v>
      </c>
      <c r="C50" s="29" t="s">
        <v>35</v>
      </c>
      <c r="D50" s="52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8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9"/>
      <c r="BL50" s="58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9"/>
      <c r="CA50" s="58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9"/>
      <c r="CP50" s="58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8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8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</row>
    <row r="51" spans="1:243" x14ac:dyDescent="0.25">
      <c r="A51" s="5">
        <v>47</v>
      </c>
      <c r="B51" s="30">
        <v>45538</v>
      </c>
      <c r="C51" s="29" t="s">
        <v>36</v>
      </c>
      <c r="D51" s="52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8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9"/>
      <c r="BL51" s="58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9"/>
      <c r="CA51" s="58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9"/>
      <c r="CP51" s="58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8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8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</row>
    <row r="52" spans="1:243" x14ac:dyDescent="0.25">
      <c r="A52" s="57">
        <v>48</v>
      </c>
      <c r="B52" s="56">
        <v>45539</v>
      </c>
      <c r="C52" s="29" t="s">
        <v>37</v>
      </c>
      <c r="D52" s="52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8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9"/>
      <c r="BL52" s="58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9"/>
      <c r="CA52" s="58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9"/>
      <c r="CP52" s="58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8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8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</row>
    <row r="53" spans="1:243" x14ac:dyDescent="0.25">
      <c r="A53" s="5">
        <v>49</v>
      </c>
      <c r="B53" s="30">
        <v>45540</v>
      </c>
      <c r="C53" s="29" t="s">
        <v>38</v>
      </c>
    </row>
    <row r="54" spans="1:243" x14ac:dyDescent="0.25">
      <c r="A54" s="57">
        <v>50</v>
      </c>
      <c r="B54" s="56">
        <v>45541</v>
      </c>
      <c r="C54" s="29" t="s">
        <v>39</v>
      </c>
      <c r="D54" s="39"/>
      <c r="E54" s="50"/>
      <c r="F54" s="9"/>
      <c r="G54" s="17"/>
      <c r="H54" s="19"/>
      <c r="I54" s="18"/>
      <c r="J54" s="50"/>
      <c r="K54" s="9"/>
      <c r="L54" s="17"/>
      <c r="M54" s="19"/>
      <c r="N54" s="23"/>
      <c r="O54" s="50"/>
      <c r="P54" s="9"/>
      <c r="Q54" s="17"/>
      <c r="R54" s="21"/>
      <c r="S54" s="18"/>
      <c r="T54" s="50"/>
      <c r="U54" s="9"/>
      <c r="V54" s="17"/>
      <c r="W54" s="19"/>
      <c r="X54" s="18"/>
      <c r="Y54" s="50"/>
      <c r="Z54" s="9"/>
      <c r="AA54" s="17"/>
      <c r="AB54" s="19"/>
      <c r="AC54" s="11"/>
      <c r="AD54" s="11"/>
      <c r="AE54" s="11"/>
      <c r="AF54" s="11"/>
      <c r="AG54" s="11"/>
      <c r="AH54" s="39"/>
      <c r="AI54" s="50"/>
      <c r="AJ54" s="9"/>
      <c r="AK54" s="17"/>
      <c r="AL54" s="19"/>
      <c r="AM54" s="18"/>
      <c r="AN54" s="50"/>
      <c r="AO54" s="9"/>
      <c r="AP54" s="17"/>
      <c r="AQ54" s="19"/>
      <c r="AR54" s="23"/>
      <c r="AS54" s="50"/>
      <c r="AT54" s="9"/>
      <c r="AU54" s="17"/>
      <c r="AV54" s="21"/>
      <c r="AW54" s="18"/>
      <c r="AX54" s="50"/>
      <c r="AY54" s="9"/>
      <c r="AZ54" s="17"/>
      <c r="BA54" s="19"/>
      <c r="BB54" s="18"/>
      <c r="BC54" s="50"/>
      <c r="BD54" s="9"/>
      <c r="BE54" s="17"/>
      <c r="BF54" s="19"/>
      <c r="BG54" s="11"/>
      <c r="BH54" s="11"/>
      <c r="BI54" s="11"/>
      <c r="BJ54" s="11"/>
      <c r="BK54" s="35"/>
      <c r="BL54" s="39"/>
      <c r="BM54" s="50"/>
      <c r="BN54" s="9"/>
      <c r="BO54" s="17"/>
      <c r="BP54" s="19"/>
      <c r="BQ54" s="18"/>
      <c r="BR54" s="50"/>
      <c r="BS54" s="9"/>
      <c r="BT54" s="17"/>
      <c r="BU54" s="19"/>
      <c r="BV54" s="18"/>
      <c r="BW54" s="50"/>
      <c r="BX54" s="9"/>
      <c r="BY54" s="17"/>
      <c r="BZ54" s="35"/>
      <c r="CA54" s="39"/>
      <c r="CB54" s="50"/>
      <c r="CC54" s="9"/>
      <c r="CD54" s="17"/>
      <c r="CE54" s="19"/>
      <c r="CF54" s="27"/>
      <c r="CG54" s="50"/>
      <c r="CH54" s="9"/>
      <c r="CI54" s="17"/>
      <c r="CJ54" s="19"/>
      <c r="CK54" s="18"/>
      <c r="CL54" s="50"/>
      <c r="CM54" s="9"/>
      <c r="CN54" s="17"/>
      <c r="CO54" s="35"/>
      <c r="CP54" s="39"/>
      <c r="CQ54" s="50"/>
      <c r="CR54" s="9"/>
      <c r="CS54" s="17"/>
      <c r="CT54" s="19"/>
      <c r="CU54" s="18"/>
      <c r="CV54" s="50"/>
      <c r="CW54" s="9"/>
      <c r="CX54" s="17"/>
      <c r="CY54" s="19"/>
      <c r="CZ54" s="18"/>
      <c r="DA54" s="50"/>
      <c r="DB54" s="9"/>
      <c r="DC54" s="17"/>
      <c r="DD54" s="19"/>
      <c r="DE54" s="11"/>
      <c r="DF54" s="50"/>
      <c r="DG54" s="9"/>
      <c r="DH54" s="17"/>
      <c r="DI54" s="19"/>
      <c r="DJ54" s="18"/>
      <c r="DK54" s="50"/>
      <c r="DL54" s="9"/>
      <c r="DM54" s="17"/>
      <c r="DN54" s="19"/>
      <c r="DO54" s="18"/>
      <c r="DP54" s="50"/>
      <c r="DQ54" s="9"/>
      <c r="DR54" s="17"/>
      <c r="DS54" s="19"/>
      <c r="DT54" s="18"/>
      <c r="DU54" s="50"/>
      <c r="DV54" s="9"/>
      <c r="DW54" s="17"/>
      <c r="DX54" s="19"/>
      <c r="DY54" s="18"/>
      <c r="DZ54" s="50"/>
      <c r="EA54" s="9"/>
      <c r="EB54" s="17"/>
      <c r="EC54" s="19"/>
      <c r="ED54" s="18"/>
      <c r="EE54" s="50"/>
      <c r="EF54" s="9"/>
      <c r="EG54" s="17"/>
      <c r="EH54" s="19"/>
      <c r="EI54" s="18"/>
      <c r="EJ54" s="50"/>
      <c r="EK54" s="9"/>
      <c r="EL54" s="17"/>
      <c r="EM54" s="19"/>
      <c r="EN54" s="39"/>
      <c r="EO54" s="50"/>
      <c r="EP54" s="9"/>
      <c r="EQ54" s="17"/>
      <c r="ER54" s="11"/>
      <c r="ES54" s="18"/>
      <c r="ET54" s="50"/>
      <c r="EU54" s="9"/>
      <c r="EV54" s="17"/>
      <c r="EW54" s="11"/>
      <c r="EX54" s="11"/>
      <c r="EY54" s="50"/>
      <c r="EZ54" s="9"/>
      <c r="FA54" s="17"/>
      <c r="FB54" s="11"/>
      <c r="FC54" s="18"/>
      <c r="FD54" s="50"/>
      <c r="FE54" s="9"/>
      <c r="FF54" s="17"/>
      <c r="FG54" s="11"/>
      <c r="FH54" s="18"/>
      <c r="FI54" s="50"/>
      <c r="FJ54" s="9"/>
      <c r="FK54" s="17"/>
      <c r="FL54" s="11"/>
      <c r="FM54" s="18"/>
      <c r="FN54" s="50"/>
      <c r="FO54" s="9"/>
      <c r="FP54" s="17"/>
      <c r="FQ54" s="11"/>
      <c r="FR54" s="11"/>
      <c r="FS54" s="50"/>
      <c r="FT54" s="9"/>
      <c r="FU54" s="17"/>
      <c r="FV54" s="11"/>
      <c r="FW54" s="18"/>
      <c r="FX54" s="50"/>
      <c r="FY54" s="9"/>
      <c r="FZ54" s="17"/>
      <c r="GA54" s="11"/>
      <c r="GB54" s="18"/>
      <c r="GC54" s="50"/>
      <c r="GD54" s="9"/>
      <c r="GE54" s="17"/>
      <c r="GF54" s="11"/>
      <c r="GG54" s="18"/>
      <c r="GH54" s="50"/>
      <c r="GI54" s="9"/>
      <c r="GJ54" s="17"/>
      <c r="GK54" s="11"/>
      <c r="GL54" s="39"/>
      <c r="GM54" s="50"/>
      <c r="GN54" s="9"/>
      <c r="GO54" s="17"/>
      <c r="GP54" s="11"/>
      <c r="GQ54" s="18"/>
      <c r="GR54" s="50"/>
      <c r="GS54" s="9"/>
      <c r="GT54" s="17"/>
      <c r="GU54" s="11"/>
      <c r="GV54" s="18"/>
      <c r="GW54" s="50"/>
      <c r="GX54" s="9"/>
      <c r="GY54" s="17"/>
      <c r="GZ54" s="11"/>
      <c r="HA54" s="18"/>
      <c r="HB54" s="50"/>
      <c r="HC54" s="9"/>
      <c r="HD54" s="17"/>
      <c r="HE54" s="11"/>
      <c r="HF54" s="18"/>
      <c r="HG54" s="50"/>
      <c r="HH54" s="9"/>
      <c r="HI54" s="17"/>
      <c r="HJ54" s="11"/>
      <c r="HK54" s="11"/>
      <c r="HL54" s="50"/>
      <c r="HM54" s="9"/>
      <c r="HN54" s="17"/>
      <c r="HO54" s="11"/>
      <c r="HP54" s="18"/>
      <c r="HQ54" s="50"/>
      <c r="HR54" s="9"/>
      <c r="HS54" s="17"/>
      <c r="HT54" s="11"/>
      <c r="HU54" s="11"/>
      <c r="HV54" s="50"/>
      <c r="HW54" s="9"/>
      <c r="HX54" s="17"/>
      <c r="HY54" s="11"/>
      <c r="HZ54" s="18"/>
      <c r="IA54" s="50"/>
      <c r="IB54" s="9"/>
      <c r="IC54" s="17"/>
      <c r="ID54" s="11"/>
      <c r="IE54" s="11"/>
      <c r="IF54" s="50"/>
      <c r="IG54" s="9"/>
      <c r="IH54" s="17"/>
      <c r="II54" s="11"/>
    </row>
    <row r="55" spans="1:243" ht="15.75" thickBot="1" x14ac:dyDescent="0.3">
      <c r="A55" s="5">
        <v>51</v>
      </c>
      <c r="B55" s="30">
        <v>45542</v>
      </c>
      <c r="C55" s="29" t="s">
        <v>40</v>
      </c>
      <c r="D55" s="40"/>
      <c r="E55" s="51"/>
      <c r="F55" s="9"/>
      <c r="G55" s="42"/>
      <c r="H55" s="43"/>
      <c r="I55" s="44"/>
      <c r="J55" s="51"/>
      <c r="K55" s="9"/>
      <c r="L55" s="42"/>
      <c r="M55" s="43"/>
      <c r="N55" s="45"/>
      <c r="O55" s="51"/>
      <c r="P55" s="9"/>
      <c r="Q55" s="42"/>
      <c r="R55" s="43"/>
      <c r="S55" s="44"/>
      <c r="T55" s="51"/>
      <c r="U55" s="9"/>
      <c r="V55" s="42"/>
      <c r="W55" s="43"/>
      <c r="X55" s="44"/>
      <c r="Y55" s="51"/>
      <c r="Z55" s="9"/>
      <c r="AA55" s="42"/>
      <c r="AB55" s="43"/>
      <c r="AC55" s="47"/>
      <c r="AD55" s="47"/>
      <c r="AE55" s="47"/>
      <c r="AF55" s="47"/>
      <c r="AG55" s="47"/>
      <c r="AH55" s="40"/>
      <c r="AI55" s="51"/>
      <c r="AJ55" s="60"/>
      <c r="AK55" s="42"/>
      <c r="AL55" s="43"/>
      <c r="AM55" s="44"/>
      <c r="AN55" s="51"/>
      <c r="AO55" s="60"/>
      <c r="AP55" s="42"/>
      <c r="AQ55" s="43"/>
      <c r="AR55" s="45"/>
      <c r="AS55" s="51"/>
      <c r="AT55" s="60"/>
      <c r="AU55" s="42"/>
      <c r="AV55" s="43"/>
      <c r="AW55" s="44"/>
      <c r="AX55" s="51"/>
      <c r="AY55" s="60"/>
      <c r="AZ55" s="42"/>
      <c r="BA55" s="43"/>
      <c r="BB55" s="44"/>
      <c r="BC55" s="51"/>
      <c r="BD55" s="60"/>
      <c r="BE55" s="42"/>
      <c r="BF55" s="43"/>
      <c r="BG55" s="47"/>
      <c r="BH55" s="47"/>
      <c r="BI55" s="47"/>
      <c r="BJ55" s="47"/>
      <c r="BK55" s="48"/>
      <c r="BL55" s="40"/>
      <c r="BM55" s="51"/>
      <c r="BN55" s="60"/>
      <c r="BO55" s="42"/>
      <c r="BP55" s="43"/>
      <c r="BQ55" s="44"/>
      <c r="BR55" s="51"/>
      <c r="BS55" s="60"/>
      <c r="BT55" s="42"/>
      <c r="BU55" s="43"/>
      <c r="BV55" s="44"/>
      <c r="BW55" s="51"/>
      <c r="BX55" s="60"/>
      <c r="BY55" s="42"/>
      <c r="BZ55" s="48"/>
      <c r="CA55" s="40"/>
      <c r="CB55" s="51"/>
      <c r="CC55" s="60"/>
      <c r="CD55" s="42"/>
      <c r="CE55" s="43"/>
      <c r="CF55" s="46"/>
      <c r="CG55" s="51"/>
      <c r="CH55" s="60"/>
      <c r="CI55" s="42"/>
      <c r="CJ55" s="43"/>
      <c r="CK55" s="44"/>
      <c r="CL55" s="51"/>
      <c r="CM55" s="60"/>
      <c r="CN55" s="42"/>
      <c r="CO55" s="48"/>
      <c r="CP55" s="40"/>
      <c r="CQ55" s="51"/>
      <c r="CR55" s="60"/>
      <c r="CS55" s="42"/>
      <c r="CT55" s="43"/>
      <c r="CU55" s="44"/>
      <c r="CV55" s="51"/>
      <c r="CW55" s="60"/>
      <c r="CX55" s="42"/>
      <c r="CY55" s="43"/>
      <c r="CZ55" s="44"/>
      <c r="DA55" s="51"/>
      <c r="DB55" s="60"/>
      <c r="DC55" s="42"/>
      <c r="DD55" s="43"/>
      <c r="DE55" s="41"/>
      <c r="DF55" s="51"/>
      <c r="DG55" s="60"/>
      <c r="DH55" s="42"/>
      <c r="DI55" s="43"/>
      <c r="DJ55" s="44"/>
      <c r="DK55" s="51"/>
      <c r="DL55" s="60"/>
      <c r="DM55" s="42"/>
      <c r="DN55" s="43"/>
      <c r="DO55" s="44"/>
      <c r="DP55" s="51"/>
      <c r="DQ55" s="60"/>
      <c r="DR55" s="42"/>
      <c r="DS55" s="43"/>
      <c r="DT55" s="44"/>
      <c r="DU55" s="51"/>
      <c r="DV55" s="60"/>
      <c r="DW55" s="42"/>
      <c r="DX55" s="43"/>
      <c r="DY55" s="44"/>
      <c r="DZ55" s="51"/>
      <c r="EA55" s="60"/>
      <c r="EB55" s="42"/>
      <c r="EC55" s="43"/>
      <c r="ED55" s="44"/>
      <c r="EE55" s="51"/>
      <c r="EF55" s="60"/>
      <c r="EG55" s="42"/>
      <c r="EH55" s="43"/>
      <c r="EI55" s="44"/>
      <c r="EJ55" s="51"/>
      <c r="EK55" s="60"/>
      <c r="EL55" s="42"/>
      <c r="EM55" s="43"/>
      <c r="EN55" s="40"/>
      <c r="EO55" s="51"/>
      <c r="EP55" s="60"/>
      <c r="EQ55" s="42"/>
      <c r="ER55" s="47"/>
      <c r="ES55" s="44"/>
      <c r="ET55" s="51"/>
      <c r="EU55" s="60"/>
      <c r="EV55" s="42"/>
      <c r="EW55" s="47"/>
      <c r="EX55" s="41"/>
      <c r="EY55" s="51"/>
      <c r="EZ55" s="60"/>
      <c r="FA55" s="42"/>
      <c r="FB55" s="47"/>
      <c r="FC55" s="44"/>
      <c r="FD55" s="51"/>
      <c r="FE55" s="60"/>
      <c r="FF55" s="42"/>
      <c r="FG55" s="47"/>
      <c r="FH55" s="44"/>
      <c r="FI55" s="51"/>
      <c r="FJ55" s="60"/>
      <c r="FK55" s="42"/>
      <c r="FL55" s="47"/>
      <c r="FM55" s="44"/>
      <c r="FN55" s="51"/>
      <c r="FO55" s="60"/>
      <c r="FP55" s="42"/>
      <c r="FQ55" s="47"/>
      <c r="FR55" s="41"/>
      <c r="FS55" s="51"/>
      <c r="FT55" s="60"/>
      <c r="FU55" s="42"/>
      <c r="FV55" s="47"/>
      <c r="FW55" s="44"/>
      <c r="FX55" s="51"/>
      <c r="FY55" s="60"/>
      <c r="FZ55" s="42"/>
      <c r="GA55" s="47"/>
      <c r="GB55" s="44"/>
      <c r="GC55" s="51"/>
      <c r="GD55" s="60"/>
      <c r="GE55" s="42"/>
      <c r="GF55" s="47"/>
      <c r="GG55" s="44"/>
      <c r="GH55" s="51"/>
      <c r="GI55" s="60"/>
      <c r="GJ55" s="42"/>
      <c r="GK55" s="47"/>
      <c r="GL55" s="40"/>
      <c r="GM55" s="51"/>
      <c r="GN55" s="60"/>
      <c r="GO55" s="42"/>
      <c r="GP55" s="47"/>
      <c r="GQ55" s="44"/>
      <c r="GR55" s="51"/>
      <c r="GS55" s="60"/>
      <c r="GT55" s="42"/>
      <c r="GU55" s="47"/>
      <c r="GV55" s="44"/>
      <c r="GW55" s="51"/>
      <c r="GX55" s="60"/>
      <c r="GY55" s="42"/>
      <c r="GZ55" s="47"/>
      <c r="HA55" s="44"/>
      <c r="HB55" s="51"/>
      <c r="HC55" s="60"/>
      <c r="HD55" s="42"/>
      <c r="HE55" s="47"/>
      <c r="HF55" s="44"/>
      <c r="HG55" s="51"/>
      <c r="HH55" s="60"/>
      <c r="HI55" s="42"/>
      <c r="HJ55" s="47"/>
      <c r="HK55" s="41"/>
      <c r="HL55" s="51"/>
      <c r="HM55" s="60"/>
      <c r="HN55" s="42"/>
      <c r="HO55" s="47"/>
      <c r="HP55" s="44"/>
      <c r="HQ55" s="51"/>
      <c r="HR55" s="60"/>
      <c r="HS55" s="42"/>
      <c r="HT55" s="47"/>
      <c r="HU55" s="41"/>
      <c r="HV55" s="51"/>
      <c r="HW55" s="60"/>
      <c r="HX55" s="42"/>
      <c r="HY55" s="47"/>
      <c r="HZ55" s="44"/>
      <c r="IA55" s="51"/>
      <c r="IB55" s="60"/>
      <c r="IC55" s="42"/>
      <c r="ID55" s="47"/>
      <c r="IE55" s="41"/>
      <c r="IF55" s="51"/>
      <c r="IG55" s="60"/>
      <c r="IH55" s="42"/>
      <c r="II55" s="47"/>
    </row>
    <row r="56" spans="1:243" x14ac:dyDescent="0.25">
      <c r="C56" s="29"/>
      <c r="D56" s="18"/>
      <c r="E56" s="11"/>
      <c r="F56" s="11"/>
      <c r="G56" s="11"/>
      <c r="H56" s="19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</row>
    <row r="57" spans="1:243" x14ac:dyDescent="0.25"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</row>
    <row r="58" spans="1:243" x14ac:dyDescent="0.25"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</row>
    <row r="59" spans="1:243" x14ac:dyDescent="0.25"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</row>
    <row r="60" spans="1:243" x14ac:dyDescent="0.25"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</row>
    <row r="61" spans="1:243" x14ac:dyDescent="0.25"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</row>
    <row r="62" spans="1:243" x14ac:dyDescent="0.25"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</row>
    <row r="63" spans="1:243" x14ac:dyDescent="0.25"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</row>
    <row r="64" spans="1:243" x14ac:dyDescent="0.25"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</row>
    <row r="65" spans="2:118" x14ac:dyDescent="0.25"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</row>
    <row r="66" spans="2:118" x14ac:dyDescent="0.25"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</row>
    <row r="67" spans="2:118" x14ac:dyDescent="0.25"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</row>
    <row r="68" spans="2:118" x14ac:dyDescent="0.25"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</row>
    <row r="69" spans="2:118" x14ac:dyDescent="0.25"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</row>
    <row r="70" spans="2:118" x14ac:dyDescent="0.25"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</row>
    <row r="71" spans="2:118" x14ac:dyDescent="0.25"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</row>
    <row r="72" spans="2:118" x14ac:dyDescent="0.25"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</row>
    <row r="73" spans="2:118" x14ac:dyDescent="0.25"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</row>
    <row r="74" spans="2:118" x14ac:dyDescent="0.25"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</row>
    <row r="75" spans="2:118" x14ac:dyDescent="0.25"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</row>
    <row r="76" spans="2:118" x14ac:dyDescent="0.25"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</row>
    <row r="77" spans="2:118" x14ac:dyDescent="0.25">
      <c r="B77" s="4" t="s">
        <v>6</v>
      </c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</row>
    <row r="78" spans="2:118" x14ac:dyDescent="0.25">
      <c r="B78" s="2" t="s">
        <v>7</v>
      </c>
    </row>
    <row r="79" spans="2:118" x14ac:dyDescent="0.25">
      <c r="B79" s="1" t="s">
        <v>8</v>
      </c>
    </row>
    <row r="80" spans="2:118" x14ac:dyDescent="0.25">
      <c r="B80" s="6" t="s">
        <v>32</v>
      </c>
    </row>
  </sheetData>
  <mergeCells count="59">
    <mergeCell ref="IE3:II3"/>
    <mergeCell ref="GL2:II2"/>
    <mergeCell ref="D1:II1"/>
    <mergeCell ref="CP2:EM2"/>
    <mergeCell ref="HK3:HO3"/>
    <mergeCell ref="HP3:HT3"/>
    <mergeCell ref="HU3:HY3"/>
    <mergeCell ref="HZ3:ID3"/>
    <mergeCell ref="AC3:AG3"/>
    <mergeCell ref="D2:AG2"/>
    <mergeCell ref="AH2:BK2"/>
    <mergeCell ref="BL2:BZ2"/>
    <mergeCell ref="CA2:CO2"/>
    <mergeCell ref="BQ3:BU3"/>
    <mergeCell ref="BV3:BZ3"/>
    <mergeCell ref="CA3:CE3"/>
    <mergeCell ref="B2:C2"/>
    <mergeCell ref="EN2:GK2"/>
    <mergeCell ref="B3:C3"/>
    <mergeCell ref="D3:H3"/>
    <mergeCell ref="I3:M3"/>
    <mergeCell ref="N3:R3"/>
    <mergeCell ref="S3:W3"/>
    <mergeCell ref="X3:AB3"/>
    <mergeCell ref="AH3:AL3"/>
    <mergeCell ref="AM3:AQ3"/>
    <mergeCell ref="AR3:AV3"/>
    <mergeCell ref="CZ3:DD3"/>
    <mergeCell ref="AW3:BA3"/>
    <mergeCell ref="BB3:BF3"/>
    <mergeCell ref="BG3:BK3"/>
    <mergeCell ref="BL3:BP3"/>
    <mergeCell ref="CF3:CJ3"/>
    <mergeCell ref="CK3:CO3"/>
    <mergeCell ref="CP3:CT3"/>
    <mergeCell ref="CU3:CY3"/>
    <mergeCell ref="EN3:ER3"/>
    <mergeCell ref="EX3:FB3"/>
    <mergeCell ref="DE3:DI3"/>
    <mergeCell ref="DJ3:DN3"/>
    <mergeCell ref="DO3:DS3"/>
    <mergeCell ref="DT3:DX3"/>
    <mergeCell ref="DY3:EC3"/>
    <mergeCell ref="HF3:HJ3"/>
    <mergeCell ref="B4:C4"/>
    <mergeCell ref="GB3:GF3"/>
    <mergeCell ref="GG3:GK3"/>
    <mergeCell ref="GL3:GP3"/>
    <mergeCell ref="GQ3:GU3"/>
    <mergeCell ref="GV3:GZ3"/>
    <mergeCell ref="HA3:HE3"/>
    <mergeCell ref="FC3:FG3"/>
    <mergeCell ref="FH3:FL3"/>
    <mergeCell ref="FM3:FQ3"/>
    <mergeCell ref="FR3:FV3"/>
    <mergeCell ref="FW3:GA3"/>
    <mergeCell ref="ED3:EH3"/>
    <mergeCell ref="EI3:EM3"/>
    <mergeCell ref="ES3:EW3"/>
  </mergeCells>
  <conditionalFormatting sqref="S56:T1048576">
    <cfRule type="cellIs" dxfId="29" priority="89" operator="lessThan">
      <formula>$Q$6</formula>
    </cfRule>
    <cfRule type="cellIs" dxfId="28" priority="90" operator="greaterThan">
      <formula>$Q$6</formula>
    </cfRule>
  </conditionalFormatting>
  <conditionalFormatting sqref="CT5:CT18 CY5:CY18 DD5:DD18 DI5:DI18 DN5:DN18 DS5:DS18 DX5:DX18 EC5:EC18 EH5:EH18 EM5:EM18 CT54:CT55 CT20:CT52 CY54:CY55 CY20:CY52 DD54:DD55 DD20:DD52 DI54:DI55 DI20:DI52 DN54:DN55 DN20:DN52 DS54:DS55 DS20:DS52 DX54:DX55 DX20:DX52 EC54:EC55 EC20:EC52 EH54:EH55 EH20:EH52 EM54:EM55 EM20:EM52">
    <cfRule type="cellIs" dxfId="27" priority="87" operator="greaterThan">
      <formula>1</formula>
    </cfRule>
    <cfRule type="cellIs" dxfId="26" priority="88" operator="lessThan">
      <formula>1</formula>
    </cfRule>
  </conditionalFormatting>
  <conditionalFormatting sqref="ER5:ER18 EW5:EW18 FB5:FB18 FG5:FG18 FL5:FL18 FQ5:FQ18 FV5:FV18 GA5:GA18 GF5:GF18 GK5:GK18 ER54:ER55 ER20:ER52 EW54:EW55 EW20:EW52 FB54:FB55 FB20:FB52 FG54:FG55 FG20:FG52 FL54:FL55 FL20:FL52 FQ54:FQ55 FQ20:FQ52 FV54:FV55 FV20:FV52 GA54:GA55 GA20:GA52 GF54:GF55 GF20:GF52 GK54:GK55 GK20:GK52">
    <cfRule type="cellIs" dxfId="25" priority="66" operator="between">
      <formula>0.8</formula>
      <formula>1</formula>
    </cfRule>
    <cfRule type="cellIs" dxfId="24" priority="67" operator="lessThan">
      <formula>0.8</formula>
    </cfRule>
    <cfRule type="cellIs" dxfId="23" priority="68" operator="greaterThan">
      <formula>1</formula>
    </cfRule>
  </conditionalFormatting>
  <conditionalFormatting sqref="GP5:GP18 GU5:GU18 GZ5:GZ18 HE5:HE18 HJ5:HJ18 HO5:HO18 HT5:HT18 HY5:HY18 ID5:ID18 II5:II18 GP54:GP55 GP20:GP52 GU54:GU55 GU20:GU52 GZ54:GZ55 GZ20:GZ52 HE54:HE55 HE20:HE52 HJ54:HJ55 HJ20:HJ52 HO54:HO55 HO20:HO52 HT54:HT55 HT20:HT52 HY54:HY55 HY20:HY52 ID54:ID55 ID20:ID52 II54:II55 II20:II52">
    <cfRule type="cellIs" dxfId="22" priority="36" operator="between">
      <formula>0.5</formula>
      <formula>1</formula>
    </cfRule>
    <cfRule type="cellIs" dxfId="21" priority="37" operator="between">
      <formula>0.5</formula>
      <formula>1</formula>
    </cfRule>
    <cfRule type="cellIs" dxfId="20" priority="38" operator="greaterThan">
      <formula>1</formula>
    </cfRule>
  </conditionalFormatting>
  <conditionalFormatting sqref="CT19 CY19 DD19 DI19 DN19 DS19 DX19 EC19 EH19 EM19">
    <cfRule type="cellIs" dxfId="19" priority="7" operator="greaterThan">
      <formula>1</formula>
    </cfRule>
    <cfRule type="cellIs" dxfId="18" priority="8" operator="lessThan">
      <formula>1</formula>
    </cfRule>
  </conditionalFormatting>
  <conditionalFormatting sqref="ER19 EW19 FB19 FG19 FL19 FQ19 FV19 GA19 GF19 GK19">
    <cfRule type="cellIs" dxfId="17" priority="4" operator="between">
      <formula>0.8</formula>
      <formula>1</formula>
    </cfRule>
    <cfRule type="cellIs" dxfId="16" priority="5" operator="lessThan">
      <formula>0.8</formula>
    </cfRule>
    <cfRule type="cellIs" dxfId="15" priority="6" operator="greaterThan">
      <formula>1</formula>
    </cfRule>
  </conditionalFormatting>
  <conditionalFormatting sqref="GP19 GU19 GZ19 HE19 HJ19 HO19 HT19 HY19 ID19 II19">
    <cfRule type="cellIs" dxfId="14" priority="1" operator="between">
      <formula>0.5</formula>
      <formula>1</formula>
    </cfRule>
    <cfRule type="cellIs" dxfId="13" priority="2" operator="between">
      <formula>0.5</formula>
      <formula>1</formula>
    </cfRule>
    <cfRule type="cellIs" dxfId="12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1365-A10A-4B4E-9E0F-F769A0C10FD1}">
  <dimension ref="A1:AY53"/>
  <sheetViews>
    <sheetView tabSelected="1" zoomScale="55" zoomScaleNormal="70" workbookViewId="0">
      <selection activeCell="R52" sqref="R52"/>
    </sheetView>
  </sheetViews>
  <sheetFormatPr baseColWidth="10" defaultRowHeight="15" x14ac:dyDescent="0.25"/>
  <cols>
    <col min="3" max="6" width="3.5703125" bestFit="1" customWidth="1"/>
    <col min="7" max="7" width="3.42578125" bestFit="1" customWidth="1"/>
    <col min="8" max="11" width="4" bestFit="1" customWidth="1"/>
    <col min="12" max="12" width="3.85546875" bestFit="1" customWidth="1"/>
    <col min="13" max="16" width="4" bestFit="1" customWidth="1"/>
    <col min="17" max="17" width="3.85546875" bestFit="1" customWidth="1"/>
    <col min="18" max="21" width="4" bestFit="1" customWidth="1"/>
    <col min="22" max="22" width="3.85546875" bestFit="1" customWidth="1"/>
    <col min="23" max="24" width="4" bestFit="1" customWidth="1"/>
    <col min="25" max="25" width="4" customWidth="1"/>
    <col min="26" max="26" width="3.85546875" bestFit="1" customWidth="1"/>
    <col min="27" max="34" width="4" bestFit="1" customWidth="1"/>
    <col min="35" max="35" width="3.85546875" bestFit="1" customWidth="1"/>
    <col min="36" max="38" width="4" bestFit="1" customWidth="1"/>
    <col min="39" max="39" width="3.85546875" bestFit="1" customWidth="1"/>
    <col min="40" max="40" width="3.42578125" bestFit="1" customWidth="1"/>
    <col min="41" max="43" width="3.85546875" bestFit="1" customWidth="1"/>
    <col min="44" max="50" width="3.85546875" customWidth="1"/>
    <col min="51" max="51" width="13.140625" bestFit="1" customWidth="1"/>
  </cols>
  <sheetData>
    <row r="1" spans="1:51" x14ac:dyDescent="0.25">
      <c r="C1" t="s">
        <v>59</v>
      </c>
      <c r="D1" t="s">
        <v>28</v>
      </c>
      <c r="E1" t="s">
        <v>29</v>
      </c>
      <c r="F1" t="s">
        <v>30</v>
      </c>
      <c r="G1" t="s">
        <v>31</v>
      </c>
      <c r="H1" t="s">
        <v>113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72</v>
      </c>
      <c r="O1" t="s">
        <v>61</v>
      </c>
      <c r="P1" t="s">
        <v>62</v>
      </c>
      <c r="Q1" t="s">
        <v>63</v>
      </c>
      <c r="R1" t="s">
        <v>60</v>
      </c>
      <c r="S1" t="s">
        <v>64</v>
      </c>
      <c r="T1" t="s">
        <v>117</v>
      </c>
      <c r="U1" t="s">
        <v>48</v>
      </c>
      <c r="V1" t="s">
        <v>52</v>
      </c>
      <c r="W1" t="s">
        <v>53</v>
      </c>
      <c r="X1" t="s">
        <v>54</v>
      </c>
      <c r="Y1" t="s">
        <v>55</v>
      </c>
      <c r="Z1" t="s">
        <v>49</v>
      </c>
      <c r="AA1" t="s">
        <v>9</v>
      </c>
      <c r="AB1" t="s">
        <v>10</v>
      </c>
      <c r="AC1" t="s">
        <v>11</v>
      </c>
      <c r="AD1" t="s">
        <v>12</v>
      </c>
      <c r="AE1" t="s">
        <v>50</v>
      </c>
      <c r="AF1" t="s">
        <v>13</v>
      </c>
      <c r="AG1" t="s">
        <v>14</v>
      </c>
      <c r="AH1" t="s">
        <v>41</v>
      </c>
      <c r="AI1" t="s">
        <v>15</v>
      </c>
      <c r="AJ1" t="s">
        <v>51</v>
      </c>
      <c r="AK1" t="s">
        <v>16</v>
      </c>
      <c r="AL1" t="s">
        <v>17</v>
      </c>
      <c r="AM1" t="s">
        <v>18</v>
      </c>
      <c r="AN1" t="s">
        <v>19</v>
      </c>
      <c r="AO1" t="s">
        <v>57</v>
      </c>
      <c r="AP1" t="s">
        <v>20</v>
      </c>
      <c r="AQ1" t="s">
        <v>21</v>
      </c>
      <c r="AR1" t="s">
        <v>22</v>
      </c>
      <c r="AS1" t="s">
        <v>23</v>
      </c>
      <c r="AT1" t="s">
        <v>58</v>
      </c>
      <c r="AU1" t="s">
        <v>24</v>
      </c>
      <c r="AV1" t="s">
        <v>25</v>
      </c>
      <c r="AW1" t="s">
        <v>26</v>
      </c>
      <c r="AX1" t="s">
        <v>27</v>
      </c>
    </row>
    <row r="2" spans="1:51" x14ac:dyDescent="0.25">
      <c r="C2" t="s">
        <v>130</v>
      </c>
      <c r="D2" t="s">
        <v>130</v>
      </c>
      <c r="E2" t="s">
        <v>130</v>
      </c>
      <c r="F2" t="s">
        <v>130</v>
      </c>
      <c r="G2" t="s">
        <v>130</v>
      </c>
      <c r="H2" t="s">
        <v>130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115</v>
      </c>
      <c r="P2" t="s">
        <v>115</v>
      </c>
      <c r="Q2" t="s">
        <v>115</v>
      </c>
      <c r="R2" t="s">
        <v>131</v>
      </c>
      <c r="S2" t="s">
        <v>131</v>
      </c>
      <c r="T2" t="s">
        <v>131</v>
      </c>
      <c r="U2" t="s">
        <v>132</v>
      </c>
      <c r="V2" t="s">
        <v>133</v>
      </c>
      <c r="W2" t="s">
        <v>134</v>
      </c>
      <c r="X2" t="s">
        <v>135</v>
      </c>
      <c r="Y2" t="s">
        <v>136</v>
      </c>
      <c r="Z2" t="s">
        <v>137</v>
      </c>
      <c r="AA2" t="s">
        <v>138</v>
      </c>
      <c r="AB2" t="s">
        <v>139</v>
      </c>
      <c r="AC2" t="s">
        <v>140</v>
      </c>
      <c r="AD2" t="s">
        <v>141</v>
      </c>
      <c r="AE2" t="s">
        <v>142</v>
      </c>
      <c r="AF2" t="s">
        <v>143</v>
      </c>
      <c r="AG2" t="s">
        <v>144</v>
      </c>
      <c r="AH2" t="s">
        <v>145</v>
      </c>
      <c r="AI2" t="s">
        <v>146</v>
      </c>
      <c r="AJ2" t="s">
        <v>147</v>
      </c>
      <c r="AK2" t="s">
        <v>148</v>
      </c>
      <c r="AL2" t="s">
        <v>149</v>
      </c>
      <c r="AM2" t="s">
        <v>150</v>
      </c>
      <c r="AN2" t="s">
        <v>151</v>
      </c>
      <c r="AO2" t="s">
        <v>152</v>
      </c>
      <c r="AP2" t="s">
        <v>153</v>
      </c>
      <c r="AQ2" t="s">
        <v>154</v>
      </c>
      <c r="AR2" t="s">
        <v>155</v>
      </c>
      <c r="AS2" t="s">
        <v>156</v>
      </c>
      <c r="AT2" t="s">
        <v>157</v>
      </c>
      <c r="AU2" t="s">
        <v>158</v>
      </c>
      <c r="AV2" t="s">
        <v>159</v>
      </c>
      <c r="AW2" t="s">
        <v>160</v>
      </c>
      <c r="AX2" t="s">
        <v>161</v>
      </c>
    </row>
    <row r="3" spans="1:51" x14ac:dyDescent="0.25">
      <c r="A3" t="s">
        <v>77</v>
      </c>
      <c r="B3" s="30">
        <v>45492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 s="54">
        <v>45492</v>
      </c>
    </row>
    <row r="4" spans="1:51" x14ac:dyDescent="0.25">
      <c r="A4" s="55" t="s">
        <v>78</v>
      </c>
      <c r="B4" s="56">
        <v>45493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2</v>
      </c>
      <c r="S4">
        <v>2</v>
      </c>
      <c r="T4">
        <v>2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 s="54">
        <v>45493</v>
      </c>
    </row>
    <row r="5" spans="1:51" x14ac:dyDescent="0.25">
      <c r="A5" t="s">
        <v>79</v>
      </c>
      <c r="B5" s="30">
        <v>45494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2</v>
      </c>
      <c r="S5">
        <v>2</v>
      </c>
      <c r="T5">
        <v>2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 s="54">
        <v>45494</v>
      </c>
    </row>
    <row r="6" spans="1:51" x14ac:dyDescent="0.25">
      <c r="A6" s="55" t="s">
        <v>80</v>
      </c>
      <c r="B6" s="56">
        <v>45495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2</v>
      </c>
      <c r="S6">
        <v>0</v>
      </c>
      <c r="T6">
        <v>0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1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 s="54">
        <v>45495</v>
      </c>
    </row>
    <row r="7" spans="1:51" x14ac:dyDescent="0.25">
      <c r="A7" t="s">
        <v>81</v>
      </c>
      <c r="B7" s="30">
        <v>45496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</v>
      </c>
      <c r="S7">
        <v>0</v>
      </c>
      <c r="T7">
        <v>0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1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 s="54">
        <v>45496</v>
      </c>
    </row>
    <row r="8" spans="1:51" x14ac:dyDescent="0.25">
      <c r="A8" s="55" t="s">
        <v>82</v>
      </c>
      <c r="B8" s="56">
        <v>45497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2</v>
      </c>
      <c r="S8">
        <v>0</v>
      </c>
      <c r="T8">
        <v>0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 s="54">
        <v>45497</v>
      </c>
    </row>
    <row r="9" spans="1:51" x14ac:dyDescent="0.25">
      <c r="A9" t="s">
        <v>83</v>
      </c>
      <c r="B9" s="30">
        <v>45498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2</v>
      </c>
      <c r="S9">
        <v>0</v>
      </c>
      <c r="T9">
        <v>0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 s="54">
        <v>45498</v>
      </c>
    </row>
    <row r="10" spans="1:51" x14ac:dyDescent="0.25">
      <c r="A10" s="55" t="s">
        <v>84</v>
      </c>
      <c r="B10" s="56">
        <v>45499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2</v>
      </c>
      <c r="S10">
        <v>0</v>
      </c>
      <c r="T10">
        <v>0</v>
      </c>
      <c r="U10">
        <v>1</v>
      </c>
      <c r="V10">
        <v>1</v>
      </c>
      <c r="W10">
        <v>2</v>
      </c>
      <c r="X10">
        <v>1</v>
      </c>
      <c r="Y10">
        <v>1</v>
      </c>
      <c r="Z10">
        <v>2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2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2</v>
      </c>
      <c r="AO10">
        <v>1</v>
      </c>
      <c r="AP10">
        <v>2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 s="54">
        <v>45499</v>
      </c>
    </row>
    <row r="11" spans="1:51" x14ac:dyDescent="0.25">
      <c r="A11" t="s">
        <v>85</v>
      </c>
      <c r="B11" s="30">
        <v>45500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2</v>
      </c>
      <c r="S11">
        <v>0</v>
      </c>
      <c r="T11">
        <v>0</v>
      </c>
      <c r="U11">
        <v>1</v>
      </c>
      <c r="V11">
        <v>1</v>
      </c>
      <c r="W11">
        <v>2</v>
      </c>
      <c r="X11">
        <v>1</v>
      </c>
      <c r="Y11">
        <v>1</v>
      </c>
      <c r="Z11">
        <v>2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2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2</v>
      </c>
      <c r="AO11">
        <v>1</v>
      </c>
      <c r="AP11">
        <v>2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 s="54">
        <v>45500</v>
      </c>
    </row>
    <row r="12" spans="1:51" x14ac:dyDescent="0.25">
      <c r="A12" s="55" t="s">
        <v>86</v>
      </c>
      <c r="B12" s="56">
        <v>45501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2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2</v>
      </c>
      <c r="AQ12">
        <v>2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 s="54">
        <v>45501</v>
      </c>
    </row>
    <row r="13" spans="1:51" x14ac:dyDescent="0.25">
      <c r="A13" t="s">
        <v>87</v>
      </c>
      <c r="B13" s="30">
        <v>45502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2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2</v>
      </c>
      <c r="AQ13">
        <v>2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 s="54">
        <v>45502</v>
      </c>
    </row>
    <row r="14" spans="1:51" x14ac:dyDescent="0.25">
      <c r="A14" s="55" t="s">
        <v>88</v>
      </c>
      <c r="B14" s="56">
        <v>45503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2</v>
      </c>
      <c r="S14">
        <v>0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2</v>
      </c>
      <c r="AQ14">
        <v>2</v>
      </c>
      <c r="AR14">
        <v>2</v>
      </c>
      <c r="AS14">
        <v>1</v>
      </c>
      <c r="AT14">
        <v>1</v>
      </c>
      <c r="AU14">
        <v>2</v>
      </c>
      <c r="AV14">
        <v>1</v>
      </c>
      <c r="AW14">
        <v>1</v>
      </c>
      <c r="AX14">
        <v>1</v>
      </c>
      <c r="AY14" s="54">
        <v>45503</v>
      </c>
    </row>
    <row r="15" spans="1:51" x14ac:dyDescent="0.25">
      <c r="A15" t="s">
        <v>89</v>
      </c>
      <c r="B15" s="30">
        <v>45504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2</v>
      </c>
      <c r="S15">
        <v>0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2</v>
      </c>
      <c r="AQ15">
        <v>2</v>
      </c>
      <c r="AR15">
        <v>2</v>
      </c>
      <c r="AS15">
        <v>1</v>
      </c>
      <c r="AT15">
        <v>1</v>
      </c>
      <c r="AU15">
        <v>2</v>
      </c>
      <c r="AV15">
        <v>1</v>
      </c>
      <c r="AW15">
        <v>1</v>
      </c>
      <c r="AX15">
        <v>1</v>
      </c>
      <c r="AY15" s="54">
        <v>45504</v>
      </c>
    </row>
    <row r="16" spans="1:51" x14ac:dyDescent="0.25">
      <c r="A16" s="55" t="s">
        <v>90</v>
      </c>
      <c r="B16" s="56">
        <v>45505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2</v>
      </c>
      <c r="S16">
        <v>0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3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3</v>
      </c>
      <c r="AM16">
        <v>1</v>
      </c>
      <c r="AN16">
        <v>1</v>
      </c>
      <c r="AO16">
        <v>1</v>
      </c>
      <c r="AP16">
        <v>1</v>
      </c>
      <c r="AQ16">
        <v>2</v>
      </c>
      <c r="AR16">
        <v>2</v>
      </c>
      <c r="AS16">
        <v>1</v>
      </c>
      <c r="AT16">
        <v>1</v>
      </c>
      <c r="AU16">
        <v>2</v>
      </c>
      <c r="AV16">
        <v>2</v>
      </c>
      <c r="AW16">
        <v>1</v>
      </c>
      <c r="AX16">
        <v>2</v>
      </c>
      <c r="AY16" s="54">
        <v>45505</v>
      </c>
    </row>
    <row r="17" spans="1:51" x14ac:dyDescent="0.25">
      <c r="A17" t="s">
        <v>91</v>
      </c>
      <c r="B17" s="56">
        <v>45506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4</v>
      </c>
      <c r="J17">
        <v>4</v>
      </c>
      <c r="K17">
        <v>1</v>
      </c>
      <c r="L17">
        <v>4</v>
      </c>
      <c r="M17">
        <v>1</v>
      </c>
      <c r="N17">
        <v>1</v>
      </c>
      <c r="O17">
        <v>1</v>
      </c>
      <c r="P17">
        <v>1</v>
      </c>
      <c r="Q17">
        <v>0</v>
      </c>
      <c r="R17">
        <v>2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3</v>
      </c>
      <c r="AM17">
        <v>1</v>
      </c>
      <c r="AN17">
        <v>1</v>
      </c>
      <c r="AO17">
        <v>1</v>
      </c>
      <c r="AP17">
        <v>1</v>
      </c>
      <c r="AQ17">
        <v>2</v>
      </c>
      <c r="AR17">
        <v>2</v>
      </c>
      <c r="AS17">
        <v>1</v>
      </c>
      <c r="AT17">
        <v>1</v>
      </c>
      <c r="AU17">
        <v>2</v>
      </c>
      <c r="AV17">
        <v>2</v>
      </c>
      <c r="AW17">
        <v>1</v>
      </c>
      <c r="AX17">
        <v>5</v>
      </c>
      <c r="AY17" s="54">
        <v>45506</v>
      </c>
    </row>
    <row r="18" spans="1:51" x14ac:dyDescent="0.25">
      <c r="A18" s="55" t="s">
        <v>92</v>
      </c>
      <c r="B18" s="56">
        <v>45507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4</v>
      </c>
      <c r="J18">
        <v>4</v>
      </c>
      <c r="K18">
        <v>1</v>
      </c>
      <c r="L18">
        <v>4</v>
      </c>
      <c r="M18">
        <v>1</v>
      </c>
      <c r="N18">
        <v>1</v>
      </c>
      <c r="O18">
        <v>1</v>
      </c>
      <c r="P18">
        <v>1</v>
      </c>
      <c r="Q18">
        <v>0</v>
      </c>
      <c r="R18">
        <v>2</v>
      </c>
      <c r="S18">
        <v>0</v>
      </c>
      <c r="T18">
        <v>0</v>
      </c>
      <c r="U18">
        <v>1</v>
      </c>
      <c r="V18">
        <v>3</v>
      </c>
      <c r="W18">
        <v>1</v>
      </c>
      <c r="X18">
        <v>1</v>
      </c>
      <c r="Y18">
        <v>1</v>
      </c>
      <c r="Z18">
        <v>1</v>
      </c>
      <c r="AA18">
        <v>1</v>
      </c>
      <c r="AB18">
        <v>3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3</v>
      </c>
      <c r="AM18">
        <v>1</v>
      </c>
      <c r="AN18">
        <v>1</v>
      </c>
      <c r="AO18">
        <v>1</v>
      </c>
      <c r="AP18">
        <v>1</v>
      </c>
      <c r="AQ18">
        <v>2</v>
      </c>
      <c r="AR18">
        <v>1</v>
      </c>
      <c r="AS18">
        <v>1</v>
      </c>
      <c r="AT18">
        <v>3</v>
      </c>
      <c r="AU18">
        <v>2</v>
      </c>
      <c r="AV18">
        <v>2</v>
      </c>
      <c r="AW18">
        <v>1</v>
      </c>
      <c r="AX18">
        <v>5</v>
      </c>
      <c r="AY18" s="54">
        <v>45507</v>
      </c>
    </row>
    <row r="19" spans="1:51" x14ac:dyDescent="0.25">
      <c r="A19" t="s">
        <v>93</v>
      </c>
      <c r="B19" s="30">
        <v>45508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4</v>
      </c>
      <c r="J19">
        <v>4</v>
      </c>
      <c r="K19">
        <v>1</v>
      </c>
      <c r="L19">
        <v>4</v>
      </c>
      <c r="M19">
        <v>1</v>
      </c>
      <c r="N19">
        <v>1</v>
      </c>
      <c r="O19">
        <v>1</v>
      </c>
      <c r="P19">
        <v>1</v>
      </c>
      <c r="Q19">
        <v>0</v>
      </c>
      <c r="R19">
        <v>2</v>
      </c>
      <c r="S19">
        <v>0</v>
      </c>
      <c r="T19">
        <v>0</v>
      </c>
      <c r="U19">
        <v>1</v>
      </c>
      <c r="V19">
        <v>3</v>
      </c>
      <c r="W19">
        <v>1</v>
      </c>
      <c r="X19">
        <v>1</v>
      </c>
      <c r="Y19">
        <v>1</v>
      </c>
      <c r="Z19">
        <v>1</v>
      </c>
      <c r="AA19">
        <v>1</v>
      </c>
      <c r="AB19">
        <v>3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3</v>
      </c>
      <c r="AM19">
        <v>1</v>
      </c>
      <c r="AN19">
        <v>1</v>
      </c>
      <c r="AO19">
        <v>1</v>
      </c>
      <c r="AP19">
        <v>1</v>
      </c>
      <c r="AQ19">
        <v>2</v>
      </c>
      <c r="AR19">
        <v>1</v>
      </c>
      <c r="AS19">
        <v>1</v>
      </c>
      <c r="AT19">
        <v>3</v>
      </c>
      <c r="AU19">
        <v>2</v>
      </c>
      <c r="AV19">
        <v>2</v>
      </c>
      <c r="AW19">
        <v>1</v>
      </c>
      <c r="AX19">
        <v>5</v>
      </c>
      <c r="AY19" s="54">
        <v>45508</v>
      </c>
    </row>
    <row r="20" spans="1:51" x14ac:dyDescent="0.25">
      <c r="A20" s="55" t="s">
        <v>94</v>
      </c>
      <c r="B20" s="56">
        <v>45509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4</v>
      </c>
      <c r="J20">
        <v>4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0</v>
      </c>
      <c r="R20">
        <v>2</v>
      </c>
      <c r="S20">
        <v>0</v>
      </c>
      <c r="T20">
        <v>0</v>
      </c>
      <c r="U20">
        <v>3</v>
      </c>
      <c r="V20">
        <v>3</v>
      </c>
      <c r="W20">
        <v>1</v>
      </c>
      <c r="X20">
        <v>3</v>
      </c>
      <c r="Y20">
        <v>3</v>
      </c>
      <c r="Z20">
        <v>1</v>
      </c>
      <c r="AA20">
        <v>3</v>
      </c>
      <c r="AB20">
        <v>3</v>
      </c>
      <c r="AC20">
        <v>0</v>
      </c>
      <c r="AD20">
        <v>3</v>
      </c>
      <c r="AE20">
        <v>1</v>
      </c>
      <c r="AF20">
        <v>1</v>
      </c>
      <c r="AG20">
        <v>1</v>
      </c>
      <c r="AH20">
        <v>3</v>
      </c>
      <c r="AI20">
        <v>1</v>
      </c>
      <c r="AJ20">
        <v>3</v>
      </c>
      <c r="AK20">
        <v>3</v>
      </c>
      <c r="AL20">
        <v>3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3</v>
      </c>
      <c r="AT20">
        <v>3</v>
      </c>
      <c r="AU20">
        <v>2</v>
      </c>
      <c r="AV20">
        <v>2</v>
      </c>
      <c r="AW20">
        <v>1</v>
      </c>
      <c r="AX20">
        <v>5</v>
      </c>
      <c r="AY20" s="54">
        <v>45509</v>
      </c>
    </row>
    <row r="21" spans="1:51" x14ac:dyDescent="0.25">
      <c r="A21" t="s">
        <v>95</v>
      </c>
      <c r="B21" s="30">
        <v>45510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4</v>
      </c>
      <c r="J21">
        <v>4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0</v>
      </c>
      <c r="R21">
        <v>2</v>
      </c>
      <c r="S21">
        <v>0</v>
      </c>
      <c r="T21">
        <v>0</v>
      </c>
      <c r="U21">
        <v>3</v>
      </c>
      <c r="V21">
        <v>3</v>
      </c>
      <c r="W21">
        <v>1</v>
      </c>
      <c r="X21">
        <v>3</v>
      </c>
      <c r="Y21">
        <v>3</v>
      </c>
      <c r="Z21">
        <v>1</v>
      </c>
      <c r="AA21">
        <v>3</v>
      </c>
      <c r="AB21">
        <v>3</v>
      </c>
      <c r="AC21">
        <v>0</v>
      </c>
      <c r="AD21">
        <v>3</v>
      </c>
      <c r="AE21">
        <v>1</v>
      </c>
      <c r="AF21">
        <v>1</v>
      </c>
      <c r="AG21">
        <v>1</v>
      </c>
      <c r="AH21">
        <v>3</v>
      </c>
      <c r="AI21">
        <v>1</v>
      </c>
      <c r="AJ21">
        <v>3</v>
      </c>
      <c r="AK21">
        <v>3</v>
      </c>
      <c r="AL21">
        <v>3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3</v>
      </c>
      <c r="AT21">
        <v>3</v>
      </c>
      <c r="AU21">
        <v>2</v>
      </c>
      <c r="AV21">
        <v>2</v>
      </c>
      <c r="AW21">
        <v>1</v>
      </c>
      <c r="AX21">
        <v>5</v>
      </c>
      <c r="AY21" s="54">
        <v>45510</v>
      </c>
    </row>
    <row r="22" spans="1:51" x14ac:dyDescent="0.25">
      <c r="A22" s="55" t="s">
        <v>96</v>
      </c>
      <c r="B22" s="56">
        <v>45511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4</v>
      </c>
      <c r="J22">
        <v>4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0</v>
      </c>
      <c r="R22">
        <v>2</v>
      </c>
      <c r="S22">
        <v>0</v>
      </c>
      <c r="T22">
        <v>0</v>
      </c>
      <c r="U22">
        <v>3</v>
      </c>
      <c r="V22">
        <v>3</v>
      </c>
      <c r="W22">
        <v>1</v>
      </c>
      <c r="X22">
        <v>3</v>
      </c>
      <c r="Y22">
        <v>3</v>
      </c>
      <c r="Z22">
        <v>1</v>
      </c>
      <c r="AA22">
        <v>3</v>
      </c>
      <c r="AB22">
        <v>3</v>
      </c>
      <c r="AC22">
        <v>0</v>
      </c>
      <c r="AD22">
        <v>3</v>
      </c>
      <c r="AE22">
        <v>1</v>
      </c>
      <c r="AF22">
        <v>1</v>
      </c>
      <c r="AG22">
        <v>1</v>
      </c>
      <c r="AH22">
        <v>3</v>
      </c>
      <c r="AI22">
        <v>1</v>
      </c>
      <c r="AJ22">
        <v>3</v>
      </c>
      <c r="AK22">
        <v>3</v>
      </c>
      <c r="AL22">
        <v>3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3</v>
      </c>
      <c r="AT22">
        <v>3</v>
      </c>
      <c r="AU22">
        <v>1</v>
      </c>
      <c r="AV22">
        <v>2</v>
      </c>
      <c r="AW22">
        <v>3</v>
      </c>
      <c r="AX22">
        <v>5</v>
      </c>
      <c r="AY22" s="54">
        <v>45511</v>
      </c>
    </row>
    <row r="23" spans="1:51" x14ac:dyDescent="0.25">
      <c r="A23" t="s">
        <v>97</v>
      </c>
      <c r="B23" s="30">
        <v>45512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0</v>
      </c>
      <c r="J23">
        <v>4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0</v>
      </c>
      <c r="R23">
        <v>2</v>
      </c>
      <c r="S23">
        <v>0</v>
      </c>
      <c r="T23">
        <v>0</v>
      </c>
      <c r="U23">
        <v>3</v>
      </c>
      <c r="V23">
        <v>3</v>
      </c>
      <c r="W23">
        <v>1</v>
      </c>
      <c r="X23">
        <v>3</v>
      </c>
      <c r="Y23">
        <v>3</v>
      </c>
      <c r="Z23">
        <v>1</v>
      </c>
      <c r="AA23">
        <v>3</v>
      </c>
      <c r="AB23">
        <v>3</v>
      </c>
      <c r="AC23">
        <v>0</v>
      </c>
      <c r="AD23">
        <v>3</v>
      </c>
      <c r="AE23">
        <v>1</v>
      </c>
      <c r="AF23">
        <v>1</v>
      </c>
      <c r="AG23">
        <v>1</v>
      </c>
      <c r="AH23">
        <v>3</v>
      </c>
      <c r="AI23">
        <v>1</v>
      </c>
      <c r="AJ23">
        <v>3</v>
      </c>
      <c r="AK23">
        <v>3</v>
      </c>
      <c r="AL23">
        <v>3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3</v>
      </c>
      <c r="AS23">
        <v>3</v>
      </c>
      <c r="AT23">
        <v>3</v>
      </c>
      <c r="AU23">
        <v>1</v>
      </c>
      <c r="AV23">
        <v>1</v>
      </c>
      <c r="AW23">
        <v>3</v>
      </c>
      <c r="AX23">
        <v>5</v>
      </c>
      <c r="AY23" s="54">
        <v>45512</v>
      </c>
    </row>
    <row r="24" spans="1:51" x14ac:dyDescent="0.25">
      <c r="A24" s="55" t="s">
        <v>98</v>
      </c>
      <c r="B24" s="56">
        <v>45513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0</v>
      </c>
      <c r="J24">
        <v>4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2</v>
      </c>
      <c r="S24">
        <v>0</v>
      </c>
      <c r="T24">
        <v>0</v>
      </c>
      <c r="U24">
        <v>3</v>
      </c>
      <c r="V24">
        <v>3</v>
      </c>
      <c r="W24">
        <v>3</v>
      </c>
      <c r="X24">
        <v>3</v>
      </c>
      <c r="Y24">
        <v>3</v>
      </c>
      <c r="Z24">
        <v>1</v>
      </c>
      <c r="AA24">
        <v>3</v>
      </c>
      <c r="AB24">
        <v>3</v>
      </c>
      <c r="AC24">
        <v>0</v>
      </c>
      <c r="AD24">
        <v>3</v>
      </c>
      <c r="AE24">
        <v>1</v>
      </c>
      <c r="AF24">
        <v>1</v>
      </c>
      <c r="AG24">
        <v>1</v>
      </c>
      <c r="AH24">
        <v>3</v>
      </c>
      <c r="AI24">
        <v>1</v>
      </c>
      <c r="AJ24">
        <v>3</v>
      </c>
      <c r="AK24">
        <v>3</v>
      </c>
      <c r="AL24">
        <v>3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3</v>
      </c>
      <c r="AS24">
        <v>3</v>
      </c>
      <c r="AT24">
        <v>3</v>
      </c>
      <c r="AU24">
        <v>1</v>
      </c>
      <c r="AV24">
        <v>1</v>
      </c>
      <c r="AW24">
        <v>3</v>
      </c>
      <c r="AX24">
        <v>5</v>
      </c>
      <c r="AY24" s="54">
        <v>45513</v>
      </c>
    </row>
    <row r="25" spans="1:51" x14ac:dyDescent="0.25">
      <c r="A25" t="s">
        <v>99</v>
      </c>
      <c r="B25" s="30">
        <v>45514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0</v>
      </c>
      <c r="J25">
        <v>4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0</v>
      </c>
      <c r="R25">
        <v>2</v>
      </c>
      <c r="S25">
        <v>0</v>
      </c>
      <c r="T25">
        <v>0</v>
      </c>
      <c r="U25">
        <v>3</v>
      </c>
      <c r="V25">
        <v>3</v>
      </c>
      <c r="W25">
        <v>0</v>
      </c>
      <c r="X25">
        <v>3</v>
      </c>
      <c r="Y25">
        <v>3</v>
      </c>
      <c r="Z25">
        <v>1</v>
      </c>
      <c r="AA25">
        <v>3</v>
      </c>
      <c r="AB25">
        <v>3</v>
      </c>
      <c r="AC25">
        <v>0</v>
      </c>
      <c r="AD25">
        <v>3</v>
      </c>
      <c r="AE25">
        <v>1</v>
      </c>
      <c r="AF25">
        <v>1</v>
      </c>
      <c r="AG25">
        <v>3</v>
      </c>
      <c r="AH25">
        <v>3</v>
      </c>
      <c r="AI25">
        <v>1</v>
      </c>
      <c r="AJ25">
        <v>3</v>
      </c>
      <c r="AK25">
        <v>3</v>
      </c>
      <c r="AL25">
        <v>3</v>
      </c>
      <c r="AM25">
        <v>1</v>
      </c>
      <c r="AN25">
        <v>1</v>
      </c>
      <c r="AO25">
        <v>1</v>
      </c>
      <c r="AP25">
        <v>3</v>
      </c>
      <c r="AQ25">
        <v>1</v>
      </c>
      <c r="AR25">
        <v>3</v>
      </c>
      <c r="AS25">
        <v>3</v>
      </c>
      <c r="AT25">
        <v>3</v>
      </c>
      <c r="AU25">
        <v>1</v>
      </c>
      <c r="AV25">
        <v>1</v>
      </c>
      <c r="AW25">
        <v>3</v>
      </c>
      <c r="AX25">
        <v>4</v>
      </c>
      <c r="AY25" s="54">
        <v>45514</v>
      </c>
    </row>
    <row r="26" spans="1:51" x14ac:dyDescent="0.25">
      <c r="A26" s="55" t="s">
        <v>100</v>
      </c>
      <c r="B26" s="56">
        <v>45515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0</v>
      </c>
      <c r="J26">
        <v>4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  <c r="R26">
        <v>2</v>
      </c>
      <c r="S26">
        <v>0</v>
      </c>
      <c r="T26">
        <v>0</v>
      </c>
      <c r="U26">
        <v>3</v>
      </c>
      <c r="V26">
        <v>3</v>
      </c>
      <c r="W26">
        <v>0</v>
      </c>
      <c r="X26">
        <v>3</v>
      </c>
      <c r="Y26">
        <v>3</v>
      </c>
      <c r="Z26">
        <v>1</v>
      </c>
      <c r="AA26">
        <v>3</v>
      </c>
      <c r="AB26">
        <v>3</v>
      </c>
      <c r="AC26">
        <v>0</v>
      </c>
      <c r="AD26">
        <v>3</v>
      </c>
      <c r="AE26">
        <v>1</v>
      </c>
      <c r="AF26">
        <v>1</v>
      </c>
      <c r="AG26">
        <v>3</v>
      </c>
      <c r="AH26">
        <v>3</v>
      </c>
      <c r="AI26">
        <v>1</v>
      </c>
      <c r="AJ26">
        <v>3</v>
      </c>
      <c r="AK26">
        <v>3</v>
      </c>
      <c r="AL26">
        <v>3</v>
      </c>
      <c r="AM26">
        <v>1</v>
      </c>
      <c r="AN26">
        <v>1</v>
      </c>
      <c r="AO26">
        <v>1</v>
      </c>
      <c r="AP26">
        <v>3</v>
      </c>
      <c r="AQ26">
        <v>1</v>
      </c>
      <c r="AR26">
        <v>3</v>
      </c>
      <c r="AS26">
        <v>3</v>
      </c>
      <c r="AT26">
        <v>3</v>
      </c>
      <c r="AU26">
        <v>1</v>
      </c>
      <c r="AV26">
        <v>1</v>
      </c>
      <c r="AW26">
        <v>3</v>
      </c>
      <c r="AX26">
        <v>4</v>
      </c>
      <c r="AY26" s="54">
        <v>45515</v>
      </c>
    </row>
    <row r="27" spans="1:51" x14ac:dyDescent="0.25">
      <c r="A27" t="s">
        <v>101</v>
      </c>
      <c r="B27" s="30">
        <v>45516</v>
      </c>
      <c r="C27">
        <v>2</v>
      </c>
      <c r="D27">
        <v>2</v>
      </c>
      <c r="E27">
        <v>2</v>
      </c>
      <c r="F27">
        <v>0</v>
      </c>
      <c r="G27">
        <v>2</v>
      </c>
      <c r="H27">
        <v>2</v>
      </c>
      <c r="I27">
        <v>0</v>
      </c>
      <c r="J27">
        <v>4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0</v>
      </c>
      <c r="R27">
        <v>2</v>
      </c>
      <c r="S27">
        <v>0</v>
      </c>
      <c r="T27">
        <v>0</v>
      </c>
      <c r="U27">
        <v>3</v>
      </c>
      <c r="V27">
        <v>3</v>
      </c>
      <c r="W27">
        <v>0</v>
      </c>
      <c r="X27">
        <v>3</v>
      </c>
      <c r="Y27">
        <v>3</v>
      </c>
      <c r="Z27">
        <v>1</v>
      </c>
      <c r="AA27">
        <v>3</v>
      </c>
      <c r="AB27">
        <v>3</v>
      </c>
      <c r="AC27">
        <v>0</v>
      </c>
      <c r="AD27">
        <v>3</v>
      </c>
      <c r="AE27">
        <v>1</v>
      </c>
      <c r="AF27">
        <v>1</v>
      </c>
      <c r="AG27">
        <v>3</v>
      </c>
      <c r="AH27">
        <v>3</v>
      </c>
      <c r="AI27">
        <v>1</v>
      </c>
      <c r="AJ27">
        <v>3</v>
      </c>
      <c r="AK27">
        <v>3</v>
      </c>
      <c r="AL27">
        <v>3</v>
      </c>
      <c r="AM27">
        <v>1</v>
      </c>
      <c r="AN27">
        <v>1</v>
      </c>
      <c r="AO27">
        <v>1</v>
      </c>
      <c r="AP27">
        <v>3</v>
      </c>
      <c r="AQ27">
        <v>1</v>
      </c>
      <c r="AR27">
        <v>3</v>
      </c>
      <c r="AS27">
        <v>3</v>
      </c>
      <c r="AT27">
        <v>3</v>
      </c>
      <c r="AU27">
        <v>1</v>
      </c>
      <c r="AV27">
        <v>1</v>
      </c>
      <c r="AW27">
        <v>3</v>
      </c>
      <c r="AX27">
        <v>4</v>
      </c>
      <c r="AY27" s="54">
        <v>45516</v>
      </c>
    </row>
    <row r="28" spans="1:51" x14ac:dyDescent="0.25">
      <c r="A28" s="55" t="s">
        <v>102</v>
      </c>
      <c r="B28" s="56">
        <v>45517</v>
      </c>
      <c r="C28">
        <v>2</v>
      </c>
      <c r="D28">
        <v>2</v>
      </c>
      <c r="E28">
        <v>2</v>
      </c>
      <c r="F28">
        <v>0</v>
      </c>
      <c r="G28">
        <v>2</v>
      </c>
      <c r="H28">
        <v>2</v>
      </c>
      <c r="I28">
        <v>0</v>
      </c>
      <c r="J28">
        <v>4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0</v>
      </c>
      <c r="R28">
        <v>2</v>
      </c>
      <c r="S28">
        <v>0</v>
      </c>
      <c r="T28">
        <v>0</v>
      </c>
      <c r="U28">
        <v>3</v>
      </c>
      <c r="V28">
        <v>3</v>
      </c>
      <c r="W28">
        <v>0</v>
      </c>
      <c r="X28">
        <v>3</v>
      </c>
      <c r="Y28">
        <v>3</v>
      </c>
      <c r="Z28">
        <v>3</v>
      </c>
      <c r="AA28">
        <v>3</v>
      </c>
      <c r="AB28">
        <v>3</v>
      </c>
      <c r="AC28">
        <v>0</v>
      </c>
      <c r="AD28">
        <v>3</v>
      </c>
      <c r="AE28">
        <v>3</v>
      </c>
      <c r="AF28">
        <v>1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1</v>
      </c>
      <c r="AN28">
        <v>1</v>
      </c>
      <c r="AO28">
        <v>1</v>
      </c>
      <c r="AP28">
        <v>3</v>
      </c>
      <c r="AQ28">
        <v>1</v>
      </c>
      <c r="AR28">
        <v>3</v>
      </c>
      <c r="AS28">
        <v>3</v>
      </c>
      <c r="AT28">
        <v>3</v>
      </c>
      <c r="AU28">
        <v>1</v>
      </c>
      <c r="AV28">
        <v>3</v>
      </c>
      <c r="AW28">
        <v>3</v>
      </c>
      <c r="AX28">
        <v>4</v>
      </c>
      <c r="AY28" s="54">
        <v>45517</v>
      </c>
    </row>
    <row r="29" spans="1:51" x14ac:dyDescent="0.25">
      <c r="A29" t="s">
        <v>103</v>
      </c>
      <c r="B29" s="30">
        <v>45518</v>
      </c>
      <c r="C29">
        <v>2</v>
      </c>
      <c r="D29">
        <v>2</v>
      </c>
      <c r="E29">
        <v>2</v>
      </c>
      <c r="F29">
        <v>0</v>
      </c>
      <c r="G29">
        <v>2</v>
      </c>
      <c r="H29">
        <v>2</v>
      </c>
      <c r="I29">
        <v>0</v>
      </c>
      <c r="J29">
        <v>4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2</v>
      </c>
      <c r="S29">
        <v>0</v>
      </c>
      <c r="T29">
        <v>0</v>
      </c>
      <c r="U29">
        <v>3</v>
      </c>
      <c r="V29">
        <v>3</v>
      </c>
      <c r="W29">
        <v>0</v>
      </c>
      <c r="X29">
        <v>3</v>
      </c>
      <c r="Y29">
        <v>3</v>
      </c>
      <c r="Z29">
        <v>3</v>
      </c>
      <c r="AA29">
        <v>3</v>
      </c>
      <c r="AB29">
        <v>3</v>
      </c>
      <c r="AC29">
        <v>0</v>
      </c>
      <c r="AD29">
        <v>3</v>
      </c>
      <c r="AE29">
        <v>3</v>
      </c>
      <c r="AF29">
        <v>1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1</v>
      </c>
      <c r="AN29">
        <v>1</v>
      </c>
      <c r="AO29">
        <v>1</v>
      </c>
      <c r="AP29">
        <v>3</v>
      </c>
      <c r="AQ29">
        <v>1</v>
      </c>
      <c r="AR29">
        <v>3</v>
      </c>
      <c r="AS29">
        <v>3</v>
      </c>
      <c r="AT29">
        <v>3</v>
      </c>
      <c r="AU29">
        <v>1</v>
      </c>
      <c r="AV29">
        <v>3</v>
      </c>
      <c r="AW29">
        <v>3</v>
      </c>
      <c r="AX29">
        <v>4</v>
      </c>
      <c r="AY29" s="54">
        <v>45518</v>
      </c>
    </row>
    <row r="30" spans="1:51" x14ac:dyDescent="0.25">
      <c r="A30" s="55" t="s">
        <v>104</v>
      </c>
      <c r="B30" s="56">
        <v>45519</v>
      </c>
      <c r="C30">
        <v>2</v>
      </c>
      <c r="D30">
        <v>2</v>
      </c>
      <c r="E30">
        <v>2</v>
      </c>
      <c r="F30">
        <v>0</v>
      </c>
      <c r="G30">
        <v>2</v>
      </c>
      <c r="H30">
        <v>2</v>
      </c>
      <c r="I30">
        <v>0</v>
      </c>
      <c r="J30">
        <v>4</v>
      </c>
      <c r="K30">
        <v>0</v>
      </c>
      <c r="L30">
        <v>0</v>
      </c>
      <c r="M30">
        <v>1</v>
      </c>
      <c r="N30">
        <v>1</v>
      </c>
      <c r="O30">
        <v>1</v>
      </c>
      <c r="P30">
        <v>1</v>
      </c>
      <c r="Q30">
        <v>0</v>
      </c>
      <c r="R30">
        <v>2</v>
      </c>
      <c r="S30">
        <v>0</v>
      </c>
      <c r="T30">
        <v>0</v>
      </c>
      <c r="U30">
        <v>3</v>
      </c>
      <c r="V30">
        <v>2</v>
      </c>
      <c r="W30">
        <v>0</v>
      </c>
      <c r="X30">
        <v>3</v>
      </c>
      <c r="Y30">
        <v>3</v>
      </c>
      <c r="Z30">
        <v>3</v>
      </c>
      <c r="AA30">
        <v>3</v>
      </c>
      <c r="AB30">
        <v>3</v>
      </c>
      <c r="AC30">
        <v>0</v>
      </c>
      <c r="AD30">
        <v>3</v>
      </c>
      <c r="AE30">
        <v>3</v>
      </c>
      <c r="AF30">
        <v>1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1</v>
      </c>
      <c r="AN30">
        <v>1</v>
      </c>
      <c r="AO30">
        <v>3</v>
      </c>
      <c r="AP30">
        <v>3</v>
      </c>
      <c r="AQ30">
        <v>3</v>
      </c>
      <c r="AR30">
        <v>3</v>
      </c>
      <c r="AS30">
        <v>3</v>
      </c>
      <c r="AT30">
        <v>3</v>
      </c>
      <c r="AU30">
        <v>1</v>
      </c>
      <c r="AV30">
        <v>3</v>
      </c>
      <c r="AW30">
        <v>3</v>
      </c>
      <c r="AX30">
        <v>4</v>
      </c>
      <c r="AY30" s="54">
        <v>45519</v>
      </c>
    </row>
    <row r="31" spans="1:51" x14ac:dyDescent="0.25">
      <c r="A31" t="s">
        <v>105</v>
      </c>
      <c r="B31" s="30">
        <v>45520</v>
      </c>
      <c r="C31">
        <v>2</v>
      </c>
      <c r="D31">
        <v>2</v>
      </c>
      <c r="E31">
        <v>2</v>
      </c>
      <c r="F31">
        <v>0</v>
      </c>
      <c r="G31">
        <v>2</v>
      </c>
      <c r="H31">
        <v>2</v>
      </c>
      <c r="I31">
        <v>0</v>
      </c>
      <c r="J31">
        <v>4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2</v>
      </c>
      <c r="S31">
        <v>0</v>
      </c>
      <c r="T31">
        <v>0</v>
      </c>
      <c r="U31">
        <v>3</v>
      </c>
      <c r="V31">
        <v>2</v>
      </c>
      <c r="W31">
        <v>0</v>
      </c>
      <c r="X31">
        <v>3</v>
      </c>
      <c r="Y31">
        <v>3</v>
      </c>
      <c r="Z31">
        <v>3</v>
      </c>
      <c r="AA31">
        <v>3</v>
      </c>
      <c r="AB31">
        <v>3</v>
      </c>
      <c r="AC31">
        <v>0</v>
      </c>
      <c r="AD31">
        <v>3</v>
      </c>
      <c r="AE31">
        <v>3</v>
      </c>
      <c r="AF31">
        <v>1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1</v>
      </c>
      <c r="AN31">
        <v>1</v>
      </c>
      <c r="AO31">
        <v>3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1</v>
      </c>
      <c r="AV31">
        <v>3</v>
      </c>
      <c r="AW31">
        <v>3</v>
      </c>
      <c r="AX31">
        <v>4</v>
      </c>
      <c r="AY31" s="54">
        <v>45520</v>
      </c>
    </row>
    <row r="32" spans="1:51" x14ac:dyDescent="0.25">
      <c r="A32" s="55" t="s">
        <v>106</v>
      </c>
      <c r="B32" s="56">
        <v>45521</v>
      </c>
      <c r="C32">
        <v>2</v>
      </c>
      <c r="D32">
        <v>2</v>
      </c>
      <c r="E32">
        <v>2</v>
      </c>
      <c r="F32">
        <v>0</v>
      </c>
      <c r="G32">
        <v>2</v>
      </c>
      <c r="H32">
        <v>2</v>
      </c>
      <c r="I32">
        <v>0</v>
      </c>
      <c r="J32">
        <v>4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0</v>
      </c>
      <c r="R32">
        <v>2</v>
      </c>
      <c r="S32">
        <v>0</v>
      </c>
      <c r="T32">
        <v>0</v>
      </c>
      <c r="U32">
        <v>3</v>
      </c>
      <c r="V32">
        <v>2</v>
      </c>
      <c r="W32">
        <v>0</v>
      </c>
      <c r="X32">
        <v>3</v>
      </c>
      <c r="Y32">
        <v>3</v>
      </c>
      <c r="Z32">
        <v>3</v>
      </c>
      <c r="AA32">
        <v>3</v>
      </c>
      <c r="AB32">
        <v>3</v>
      </c>
      <c r="AC32">
        <v>0</v>
      </c>
      <c r="AD32">
        <v>3</v>
      </c>
      <c r="AE32">
        <v>3</v>
      </c>
      <c r="AF32">
        <v>1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1</v>
      </c>
      <c r="AN32">
        <v>1</v>
      </c>
      <c r="AO32">
        <v>3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1</v>
      </c>
      <c r="AV32">
        <v>3</v>
      </c>
      <c r="AW32">
        <v>3</v>
      </c>
      <c r="AX32">
        <v>4</v>
      </c>
      <c r="AY32" s="54">
        <v>45521</v>
      </c>
    </row>
    <row r="33" spans="1:51" x14ac:dyDescent="0.25">
      <c r="A33" t="s">
        <v>107</v>
      </c>
      <c r="B33" s="30">
        <v>45522</v>
      </c>
      <c r="C33">
        <v>2</v>
      </c>
      <c r="D33">
        <v>2</v>
      </c>
      <c r="E33">
        <v>2</v>
      </c>
      <c r="F33">
        <v>0</v>
      </c>
      <c r="G33">
        <v>2</v>
      </c>
      <c r="H33">
        <v>2</v>
      </c>
      <c r="I33">
        <v>0</v>
      </c>
      <c r="J33">
        <v>4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0</v>
      </c>
      <c r="R33">
        <v>2</v>
      </c>
      <c r="S33">
        <v>0</v>
      </c>
      <c r="T33">
        <v>0</v>
      </c>
      <c r="U33">
        <v>3</v>
      </c>
      <c r="V33">
        <v>2</v>
      </c>
      <c r="W33">
        <v>0</v>
      </c>
      <c r="X33">
        <v>3</v>
      </c>
      <c r="Y33">
        <v>3</v>
      </c>
      <c r="Z33">
        <v>3</v>
      </c>
      <c r="AA33">
        <v>3</v>
      </c>
      <c r="AB33">
        <v>3</v>
      </c>
      <c r="AC33">
        <v>0</v>
      </c>
      <c r="AD33">
        <v>3</v>
      </c>
      <c r="AE33">
        <v>3</v>
      </c>
      <c r="AF33">
        <v>1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1</v>
      </c>
      <c r="AN33">
        <v>1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1</v>
      </c>
      <c r="AV33">
        <v>3</v>
      </c>
      <c r="AW33">
        <v>3</v>
      </c>
      <c r="AX33">
        <v>4</v>
      </c>
      <c r="AY33" s="54">
        <v>45522</v>
      </c>
    </row>
    <row r="34" spans="1:51" x14ac:dyDescent="0.25">
      <c r="A34" s="55" t="s">
        <v>108</v>
      </c>
      <c r="B34" s="71">
        <v>45523</v>
      </c>
      <c r="C34">
        <v>2</v>
      </c>
      <c r="D34">
        <v>2</v>
      </c>
      <c r="E34">
        <v>2</v>
      </c>
      <c r="F34">
        <v>0</v>
      </c>
      <c r="G34">
        <v>2</v>
      </c>
      <c r="H34">
        <v>2</v>
      </c>
      <c r="I34">
        <v>0</v>
      </c>
      <c r="J34">
        <v>4</v>
      </c>
      <c r="K34">
        <v>0</v>
      </c>
      <c r="L34">
        <v>0</v>
      </c>
      <c r="M34">
        <v>1</v>
      </c>
      <c r="N34">
        <v>1</v>
      </c>
      <c r="O34">
        <v>1</v>
      </c>
      <c r="P34">
        <v>1</v>
      </c>
      <c r="Q34">
        <v>0</v>
      </c>
      <c r="R34">
        <v>2</v>
      </c>
      <c r="S34">
        <v>0</v>
      </c>
      <c r="T34">
        <v>0</v>
      </c>
      <c r="U34">
        <v>3</v>
      </c>
      <c r="V34">
        <v>1</v>
      </c>
      <c r="W34">
        <v>0</v>
      </c>
      <c r="X34">
        <v>3</v>
      </c>
      <c r="Y34">
        <v>3</v>
      </c>
      <c r="Z34">
        <v>3</v>
      </c>
      <c r="AA34">
        <v>3</v>
      </c>
      <c r="AB34">
        <v>3</v>
      </c>
      <c r="AC34">
        <v>0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1</v>
      </c>
      <c r="AN34">
        <v>1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0</v>
      </c>
      <c r="AY34" s="54">
        <v>45523</v>
      </c>
    </row>
    <row r="35" spans="1:51" x14ac:dyDescent="0.25">
      <c r="A35" t="s">
        <v>109</v>
      </c>
      <c r="B35" s="30">
        <v>45524</v>
      </c>
      <c r="C35">
        <v>2</v>
      </c>
      <c r="D35">
        <v>2</v>
      </c>
      <c r="E35">
        <v>2</v>
      </c>
      <c r="F35">
        <v>0</v>
      </c>
      <c r="G35">
        <v>2</v>
      </c>
      <c r="H35">
        <v>2</v>
      </c>
      <c r="I35">
        <v>0</v>
      </c>
      <c r="J35">
        <v>4</v>
      </c>
      <c r="K35">
        <v>0</v>
      </c>
      <c r="L35">
        <v>0</v>
      </c>
      <c r="M35">
        <v>1</v>
      </c>
      <c r="N35">
        <v>1</v>
      </c>
      <c r="O35">
        <v>1</v>
      </c>
      <c r="P35">
        <v>1</v>
      </c>
      <c r="Q35">
        <v>0</v>
      </c>
      <c r="R35">
        <v>2</v>
      </c>
      <c r="S35">
        <v>0</v>
      </c>
      <c r="T35">
        <v>0</v>
      </c>
      <c r="U35">
        <v>3</v>
      </c>
      <c r="V35">
        <v>1</v>
      </c>
      <c r="W35">
        <v>0</v>
      </c>
      <c r="X35">
        <v>3</v>
      </c>
      <c r="Y35">
        <v>3</v>
      </c>
      <c r="Z35">
        <v>3</v>
      </c>
      <c r="AA35">
        <v>3</v>
      </c>
      <c r="AB35">
        <v>3</v>
      </c>
      <c r="AC35">
        <v>0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1</v>
      </c>
      <c r="AN35">
        <v>1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3</v>
      </c>
      <c r="AX35">
        <v>0</v>
      </c>
      <c r="AY35" s="54">
        <v>45524</v>
      </c>
    </row>
    <row r="36" spans="1:51" x14ac:dyDescent="0.25">
      <c r="A36" s="55" t="s">
        <v>110</v>
      </c>
      <c r="B36" s="56">
        <v>45525</v>
      </c>
      <c r="C36">
        <v>2</v>
      </c>
      <c r="D36">
        <v>2</v>
      </c>
      <c r="E36">
        <v>2</v>
      </c>
      <c r="F36">
        <v>0</v>
      </c>
      <c r="G36">
        <v>2</v>
      </c>
      <c r="H36">
        <v>2</v>
      </c>
      <c r="I36">
        <v>0</v>
      </c>
      <c r="J36">
        <v>4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0</v>
      </c>
      <c r="R36">
        <v>2</v>
      </c>
      <c r="S36">
        <v>0</v>
      </c>
      <c r="T36">
        <v>0</v>
      </c>
      <c r="U36">
        <v>2</v>
      </c>
      <c r="V36">
        <v>1</v>
      </c>
      <c r="W36">
        <v>0</v>
      </c>
      <c r="X36">
        <v>3</v>
      </c>
      <c r="Y36">
        <v>3</v>
      </c>
      <c r="Z36">
        <v>3</v>
      </c>
      <c r="AA36">
        <v>3</v>
      </c>
      <c r="AB36">
        <v>3</v>
      </c>
      <c r="AC36">
        <v>0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3</v>
      </c>
      <c r="AJ36">
        <v>2</v>
      </c>
      <c r="AK36">
        <v>3</v>
      </c>
      <c r="AL36">
        <v>3</v>
      </c>
      <c r="AM36">
        <v>1</v>
      </c>
      <c r="AN36">
        <v>1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3</v>
      </c>
      <c r="AV36">
        <v>3</v>
      </c>
      <c r="AW36">
        <v>3</v>
      </c>
      <c r="AX36">
        <v>0</v>
      </c>
      <c r="AY36" s="54">
        <v>45525</v>
      </c>
    </row>
    <row r="37" spans="1:51" x14ac:dyDescent="0.25">
      <c r="A37" t="s">
        <v>111</v>
      </c>
      <c r="B37" s="30">
        <v>45526</v>
      </c>
      <c r="C37">
        <v>2</v>
      </c>
      <c r="D37">
        <v>2</v>
      </c>
      <c r="E37">
        <v>2</v>
      </c>
      <c r="F37">
        <v>0</v>
      </c>
      <c r="G37">
        <v>2</v>
      </c>
      <c r="H37">
        <v>2</v>
      </c>
      <c r="I37">
        <v>0</v>
      </c>
      <c r="J37">
        <v>4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0</v>
      </c>
      <c r="R37">
        <v>2</v>
      </c>
      <c r="S37">
        <v>0</v>
      </c>
      <c r="T37">
        <v>0</v>
      </c>
      <c r="U37">
        <v>2</v>
      </c>
      <c r="V37">
        <v>1</v>
      </c>
      <c r="W37">
        <v>0</v>
      </c>
      <c r="X37">
        <v>3</v>
      </c>
      <c r="Y37">
        <v>3</v>
      </c>
      <c r="Z37">
        <v>3</v>
      </c>
      <c r="AA37">
        <v>3</v>
      </c>
      <c r="AB37">
        <v>3</v>
      </c>
      <c r="AC37">
        <v>0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2</v>
      </c>
      <c r="AK37">
        <v>3</v>
      </c>
      <c r="AL37">
        <v>3</v>
      </c>
      <c r="AM37">
        <v>1</v>
      </c>
      <c r="AN37">
        <v>1</v>
      </c>
      <c r="AO37">
        <v>3</v>
      </c>
      <c r="AP37">
        <v>3</v>
      </c>
      <c r="AQ37">
        <v>3</v>
      </c>
      <c r="AR37">
        <v>3</v>
      </c>
      <c r="AS37">
        <v>3</v>
      </c>
      <c r="AT37">
        <v>3</v>
      </c>
      <c r="AU37">
        <v>3</v>
      </c>
      <c r="AV37">
        <v>3</v>
      </c>
      <c r="AW37">
        <v>3</v>
      </c>
      <c r="AX37">
        <v>0</v>
      </c>
      <c r="AY37" s="54">
        <v>45526</v>
      </c>
    </row>
    <row r="38" spans="1:51" x14ac:dyDescent="0.25">
      <c r="A38" s="55" t="s">
        <v>112</v>
      </c>
      <c r="B38" s="56">
        <v>45527</v>
      </c>
      <c r="C38">
        <v>2</v>
      </c>
      <c r="D38">
        <v>2</v>
      </c>
      <c r="E38">
        <v>2</v>
      </c>
      <c r="F38">
        <v>0</v>
      </c>
      <c r="G38">
        <v>2</v>
      </c>
      <c r="H38">
        <v>2</v>
      </c>
      <c r="I38">
        <v>0</v>
      </c>
      <c r="J38">
        <v>4</v>
      </c>
      <c r="K38">
        <v>0</v>
      </c>
      <c r="L38">
        <v>0</v>
      </c>
      <c r="M38">
        <v>1</v>
      </c>
      <c r="N38">
        <v>1</v>
      </c>
      <c r="O38">
        <v>1</v>
      </c>
      <c r="P38">
        <v>1</v>
      </c>
      <c r="Q38">
        <v>0</v>
      </c>
      <c r="R38">
        <v>2</v>
      </c>
      <c r="S38">
        <v>0</v>
      </c>
      <c r="T38">
        <v>0</v>
      </c>
      <c r="U38">
        <v>2</v>
      </c>
      <c r="V38">
        <v>1</v>
      </c>
      <c r="W38">
        <v>0</v>
      </c>
      <c r="X38">
        <v>3</v>
      </c>
      <c r="Y38">
        <v>3</v>
      </c>
      <c r="Z38">
        <v>3</v>
      </c>
      <c r="AA38">
        <v>3</v>
      </c>
      <c r="AB38">
        <v>3</v>
      </c>
      <c r="AC38">
        <v>0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  <c r="AJ38">
        <v>2</v>
      </c>
      <c r="AK38">
        <v>3</v>
      </c>
      <c r="AL38">
        <v>3</v>
      </c>
      <c r="AM38">
        <v>1</v>
      </c>
      <c r="AN38">
        <v>1</v>
      </c>
      <c r="AO38">
        <v>3</v>
      </c>
      <c r="AP38">
        <v>3</v>
      </c>
      <c r="AQ38">
        <v>3</v>
      </c>
      <c r="AR38">
        <v>3</v>
      </c>
      <c r="AS38">
        <v>3</v>
      </c>
      <c r="AT38">
        <v>3</v>
      </c>
      <c r="AU38">
        <v>3</v>
      </c>
      <c r="AV38">
        <v>3</v>
      </c>
      <c r="AW38">
        <v>3</v>
      </c>
      <c r="AX38">
        <v>0</v>
      </c>
      <c r="AY38" s="54">
        <v>45527</v>
      </c>
    </row>
    <row r="39" spans="1:51" x14ac:dyDescent="0.25">
      <c r="B39" s="30"/>
      <c r="AY39" s="54"/>
    </row>
    <row r="40" spans="1:51" x14ac:dyDescent="0.25">
      <c r="A40" s="55"/>
      <c r="B40" s="56"/>
      <c r="AY40" s="54"/>
    </row>
    <row r="41" spans="1:51" x14ac:dyDescent="0.25">
      <c r="B41" s="30"/>
      <c r="AY41" s="54"/>
    </row>
    <row r="42" spans="1:51" x14ac:dyDescent="0.25">
      <c r="A42" s="55"/>
      <c r="B42" s="56"/>
      <c r="AY42" s="54"/>
    </row>
    <row r="43" spans="1:51" x14ac:dyDescent="0.25">
      <c r="B43" s="30"/>
      <c r="H43">
        <v>0</v>
      </c>
      <c r="I43" t="s">
        <v>126</v>
      </c>
      <c r="AY43" s="54"/>
    </row>
    <row r="44" spans="1:51" x14ac:dyDescent="0.25">
      <c r="A44" s="55"/>
      <c r="B44" s="56"/>
      <c r="H44">
        <v>1</v>
      </c>
      <c r="I44" t="s">
        <v>0</v>
      </c>
      <c r="AY44" s="54"/>
    </row>
    <row r="45" spans="1:51" x14ac:dyDescent="0.25">
      <c r="B45" s="30"/>
      <c r="H45">
        <v>2</v>
      </c>
      <c r="I45" t="s">
        <v>42</v>
      </c>
      <c r="AY45" s="54"/>
    </row>
    <row r="46" spans="1:51" x14ac:dyDescent="0.25">
      <c r="A46" s="55"/>
      <c r="B46" s="56"/>
      <c r="H46">
        <v>3</v>
      </c>
      <c r="I46" t="s">
        <v>127</v>
      </c>
      <c r="AY46" s="54"/>
    </row>
    <row r="47" spans="1:51" x14ac:dyDescent="0.25">
      <c r="B47" s="30"/>
      <c r="H47">
        <v>4</v>
      </c>
      <c r="I47" t="s">
        <v>129</v>
      </c>
      <c r="AY47" s="54"/>
    </row>
    <row r="48" spans="1:51" x14ac:dyDescent="0.25">
      <c r="A48" s="55"/>
      <c r="B48" s="56"/>
      <c r="H48">
        <v>5</v>
      </c>
      <c r="I48" t="s">
        <v>128</v>
      </c>
      <c r="AY48" s="54"/>
    </row>
    <row r="49" spans="1:51" x14ac:dyDescent="0.25">
      <c r="B49" s="30"/>
      <c r="AY49" s="54"/>
    </row>
    <row r="50" spans="1:51" x14ac:dyDescent="0.25">
      <c r="A50" s="55"/>
      <c r="B50" s="56"/>
    </row>
    <row r="51" spans="1:51" x14ac:dyDescent="0.25">
      <c r="B51" s="30"/>
    </row>
    <row r="52" spans="1:51" x14ac:dyDescent="0.25">
      <c r="A52" s="55"/>
      <c r="B52" s="56"/>
    </row>
    <row r="53" spans="1:51" x14ac:dyDescent="0.25">
      <c r="B53" s="30"/>
    </row>
  </sheetData>
  <conditionalFormatting sqref="C29:AX38 C39:D49 L39:AX49">
    <cfRule type="cellIs" dxfId="11" priority="12" operator="equal">
      <formula>1</formula>
    </cfRule>
    <cfRule type="cellIs" dxfId="10" priority="13" operator="greaterThan">
      <formula>0.5</formula>
    </cfRule>
    <cfRule type="cellIs" dxfId="9" priority="14" operator="greaterThan">
      <formula>"0.5"</formula>
    </cfRule>
  </conditionalFormatting>
  <conditionalFormatting sqref="C3:AX38 R52:AX52 S43:AX49 L43:R43 L50:AX51 C39:D52 L39:AX42">
    <cfRule type="cellIs" dxfId="8" priority="10" operator="equal">
      <formula>1</formula>
    </cfRule>
  </conditionalFormatting>
  <conditionalFormatting sqref="C3:AX38 C39:D49 L39:AX49">
    <cfRule type="cellIs" dxfId="7" priority="9" operator="equal">
      <formula>2</formula>
    </cfRule>
  </conditionalFormatting>
  <conditionalFormatting sqref="S9:T38">
    <cfRule type="cellIs" dxfId="6" priority="7" operator="equal">
      <formula>1</formula>
    </cfRule>
  </conditionalFormatting>
  <conditionalFormatting sqref="C27:C38 E27:G38 I27:I38 K27:M38 O27:O38 Q27:Q38 U27:V38 Y27:Z38 AB27:AB38 AH27:AI38">
    <cfRule type="cellIs" dxfId="5" priority="6" operator="equal">
      <formula>1</formula>
    </cfRule>
  </conditionalFormatting>
  <conditionalFormatting sqref="C28:C47 E28:G38 I28:I38 K28:M38 O28:O42 Q28:Q42 U28:V47 Y28:Z47 AB28:AB47 AH28:AI47 L39:M42">
    <cfRule type="cellIs" dxfId="4" priority="5" operator="equal">
      <formula>1</formula>
    </cfRule>
  </conditionalFormatting>
  <conditionalFormatting sqref="C3:AX38">
    <cfRule type="cellIs" dxfId="3" priority="4" operator="equal">
      <formula>3</formula>
    </cfRule>
  </conditionalFormatting>
  <conditionalFormatting sqref="C3:AX38 C39:D46 L39:AX46">
    <cfRule type="cellIs" dxfId="2" priority="2" operator="equal">
      <formula>4</formula>
    </cfRule>
    <cfRule type="cellIs" dxfId="1" priority="3" operator="equal">
      <formula>5</formula>
    </cfRule>
  </conditionalFormatting>
  <conditionalFormatting sqref="C3:AX38 R52:AX53 S43:AX49 L43:R44 L50:AX51 C39:D53 L39:AX42">
    <cfRule type="cellIs" dxfId="0" priority="1" operator="equal"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C29A-86F1-4B25-94D9-6336B4B3E5F5}">
  <dimension ref="B3:I13"/>
  <sheetViews>
    <sheetView workbookViewId="0">
      <selection activeCell="C13" sqref="C13"/>
    </sheetView>
  </sheetViews>
  <sheetFormatPr baseColWidth="10" defaultRowHeight="15" x14ac:dyDescent="0.25"/>
  <cols>
    <col min="2" max="2" width="36.7109375" bestFit="1" customWidth="1"/>
    <col min="3" max="3" width="12" bestFit="1" customWidth="1"/>
    <col min="4" max="4" width="21.28515625" bestFit="1" customWidth="1"/>
    <col min="7" max="7" width="22.140625" bestFit="1" customWidth="1"/>
    <col min="9" max="9" width="21.28515625" bestFit="1" customWidth="1"/>
  </cols>
  <sheetData>
    <row r="3" spans="2:9" ht="15.75" thickBot="1" x14ac:dyDescent="0.3">
      <c r="B3" t="s">
        <v>73</v>
      </c>
    </row>
    <row r="4" spans="2:9" x14ac:dyDescent="0.25">
      <c r="B4" s="62"/>
      <c r="C4" s="63" t="s">
        <v>124</v>
      </c>
      <c r="D4" s="63" t="s">
        <v>67</v>
      </c>
      <c r="E4" s="63"/>
      <c r="F4" s="63"/>
      <c r="G4" s="63"/>
      <c r="H4" s="63" t="s">
        <v>124</v>
      </c>
      <c r="I4" s="64" t="s">
        <v>67</v>
      </c>
    </row>
    <row r="5" spans="2:9" x14ac:dyDescent="0.25">
      <c r="B5" s="65" t="s">
        <v>121</v>
      </c>
      <c r="C5" s="11">
        <v>256</v>
      </c>
      <c r="D5" s="11">
        <v>128655469</v>
      </c>
      <c r="E5" s="11"/>
      <c r="F5" s="11"/>
      <c r="G5" s="11" t="s">
        <v>74</v>
      </c>
      <c r="H5" s="11">
        <v>634</v>
      </c>
      <c r="I5" s="66">
        <v>1313086635</v>
      </c>
    </row>
    <row r="6" spans="2:9" x14ac:dyDescent="0.25">
      <c r="B6" s="65" t="s">
        <v>122</v>
      </c>
      <c r="C6" s="11">
        <v>222</v>
      </c>
      <c r="D6" s="11">
        <v>114247346</v>
      </c>
      <c r="E6" s="11"/>
      <c r="F6" s="11"/>
      <c r="G6" s="11" t="s">
        <v>75</v>
      </c>
      <c r="H6" s="11">
        <v>644</v>
      </c>
      <c r="I6" s="66">
        <v>1402755464</v>
      </c>
    </row>
    <row r="7" spans="2:9" x14ac:dyDescent="0.25">
      <c r="B7" s="65" t="s">
        <v>123</v>
      </c>
      <c r="C7" s="11">
        <v>198</v>
      </c>
      <c r="D7" s="11">
        <v>121111073</v>
      </c>
      <c r="E7" s="11"/>
      <c r="F7" s="11"/>
      <c r="G7" s="11" t="s">
        <v>76</v>
      </c>
      <c r="H7" s="11">
        <v>657</v>
      </c>
      <c r="I7" s="66">
        <v>1420534295</v>
      </c>
    </row>
    <row r="8" spans="2:9" x14ac:dyDescent="0.25">
      <c r="B8" s="65" t="s">
        <v>69</v>
      </c>
      <c r="C8" s="11">
        <f xml:space="preserve"> AVERAGE(C5:C7)</f>
        <v>225.33333333333334</v>
      </c>
      <c r="D8" s="11">
        <f xml:space="preserve"> AVERAGE(D5:D7)</f>
        <v>121337962.66666667</v>
      </c>
      <c r="E8" s="11"/>
      <c r="F8" s="11"/>
      <c r="G8" s="11" t="s">
        <v>69</v>
      </c>
      <c r="H8" s="11">
        <f xml:space="preserve"> AVERAGE(H5:H7)</f>
        <v>645</v>
      </c>
      <c r="I8" s="66">
        <f xml:space="preserve"> AVERAGE(I5:I7)</f>
        <v>1378792131.3333333</v>
      </c>
    </row>
    <row r="9" spans="2:9" x14ac:dyDescent="0.25">
      <c r="B9" s="65" t="s">
        <v>125</v>
      </c>
      <c r="C9" s="11">
        <f>0.5 * 3.14 * (C8^2)</f>
        <v>79716.924444444463</v>
      </c>
      <c r="D9" s="11"/>
      <c r="E9" s="11"/>
      <c r="F9" s="11"/>
      <c r="G9" s="11"/>
      <c r="H9" s="11">
        <f>0.5 * 3.14 * (H8^2)</f>
        <v>653159.25</v>
      </c>
      <c r="I9" s="66"/>
    </row>
    <row r="10" spans="2:9" x14ac:dyDescent="0.25">
      <c r="B10" s="65"/>
      <c r="C10" s="11"/>
      <c r="D10" s="11"/>
      <c r="E10" s="11"/>
      <c r="F10" s="11"/>
      <c r="G10" s="11"/>
      <c r="H10" s="11"/>
      <c r="I10" s="66"/>
    </row>
    <row r="11" spans="2:9" x14ac:dyDescent="0.25">
      <c r="B11" s="65" t="s">
        <v>68</v>
      </c>
      <c r="C11" s="11" t="s">
        <v>71</v>
      </c>
      <c r="D11" s="11"/>
      <c r="E11" s="11"/>
      <c r="F11" s="11"/>
      <c r="G11" s="11"/>
      <c r="H11" s="11"/>
      <c r="I11" s="66"/>
    </row>
    <row r="12" spans="2:9" x14ac:dyDescent="0.25">
      <c r="B12" s="65"/>
      <c r="C12" s="11"/>
      <c r="D12" s="11"/>
      <c r="E12" s="11"/>
      <c r="F12" s="11"/>
      <c r="G12" s="11"/>
      <c r="H12" s="11"/>
      <c r="I12" s="66"/>
    </row>
    <row r="13" spans="2:9" ht="15.75" thickBot="1" x14ac:dyDescent="0.3">
      <c r="B13" s="67" t="s">
        <v>70</v>
      </c>
      <c r="C13" s="68">
        <f>(I8*C9/(H9*D8))</f>
        <v>1.3868629648869375</v>
      </c>
      <c r="D13" s="68"/>
      <c r="E13" s="68"/>
      <c r="F13" s="68"/>
      <c r="G13" s="68"/>
      <c r="H13" s="68"/>
      <c r="I13" s="69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1E6A95-5F98-47A7-99D2-0D46EEB1C1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Treatment</vt:lpstr>
      <vt:lpstr>Correction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Elias</dc:creator>
  <cp:lastModifiedBy>Maximilian Eiche</cp:lastModifiedBy>
  <dcterms:created xsi:type="dcterms:W3CDTF">2023-11-10T14:05:46Z</dcterms:created>
  <dcterms:modified xsi:type="dcterms:W3CDTF">2024-08-29T13:07:10Z</dcterms:modified>
</cp:coreProperties>
</file>